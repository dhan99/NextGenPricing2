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dmini/workspace/clients/armanino/"/>
    </mc:Choice>
  </mc:AlternateContent>
  <xr:revisionPtr revIDLastSave="0" documentId="13_ncr:1_{FCA1BCB5-8B6E-2E45-A939-51D7D98F48EC}" xr6:coauthVersionLast="47" xr6:coauthVersionMax="47" xr10:uidLastSave="{00000000-0000-0000-0000-000000000000}"/>
  <bookViews>
    <workbookView xWindow="52440" yWindow="9380" windowWidth="27640" windowHeight="16940" activeTab="6" xr2:uid="{74386245-E5F1-4140-B05D-951DA990E24E}"/>
  </bookViews>
  <sheets>
    <sheet name="Core Assumptions" sheetId="1" r:id="rId1"/>
    <sheet name="Pricing Calculator" sheetId="2" r:id="rId2"/>
    <sheet name="Pricing Summary" sheetId="3" r:id="rId3"/>
    <sheet name="outputs recap" sheetId="4" r:id="rId4"/>
    <sheet name="service recap" sheetId="5" r:id="rId5"/>
    <sheet name="onboarding template" sheetId="6" r:id="rId6"/>
    <sheet name="project profitability import" sheetId="7" r:id="rId7"/>
  </sheets>
  <externalReferences>
    <externalReference r:id="rId8"/>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G200" i="6" l="1"/>
  <c r="CG199" i="6"/>
  <c r="CG198" i="6"/>
  <c r="CG197" i="6"/>
  <c r="CG196" i="6"/>
  <c r="CG195" i="6"/>
  <c r="CG194" i="6"/>
  <c r="CG193" i="6"/>
  <c r="CG192" i="6"/>
  <c r="CG191" i="6"/>
  <c r="CG190" i="6"/>
  <c r="CG189" i="6"/>
  <c r="CG188" i="6"/>
  <c r="CG187" i="6"/>
  <c r="CG186" i="6"/>
  <c r="CG185" i="6"/>
  <c r="CG184" i="6"/>
  <c r="CG183" i="6"/>
  <c r="CG182" i="6"/>
  <c r="CG181" i="6"/>
  <c r="CG180" i="6"/>
  <c r="CG179" i="6"/>
  <c r="CG178" i="6"/>
  <c r="CG177" i="6"/>
  <c r="CG176" i="6"/>
  <c r="CG175" i="6"/>
  <c r="CG174" i="6"/>
  <c r="CG173" i="6"/>
  <c r="CG172" i="6"/>
  <c r="CG171" i="6"/>
  <c r="CG170" i="6"/>
  <c r="CG169" i="6"/>
  <c r="CG168" i="6"/>
  <c r="CG167" i="6"/>
  <c r="CG166" i="6"/>
  <c r="CG165" i="6"/>
  <c r="CG164" i="6"/>
  <c r="CG163" i="6"/>
  <c r="CG162" i="6"/>
  <c r="CG161" i="6"/>
  <c r="CG160" i="6"/>
  <c r="CG159" i="6"/>
  <c r="CG158" i="6"/>
  <c r="CG157" i="6"/>
  <c r="CG156" i="6"/>
  <c r="CG155" i="6"/>
  <c r="CG154" i="6"/>
  <c r="CG153" i="6"/>
  <c r="CG152" i="6"/>
  <c r="CG151" i="6"/>
  <c r="CG150" i="6"/>
  <c r="CG149" i="6"/>
  <c r="CG148" i="6"/>
  <c r="CG147" i="6"/>
  <c r="CG146" i="6"/>
  <c r="CG145" i="6"/>
  <c r="CG144" i="6"/>
  <c r="CG143" i="6"/>
  <c r="CG142" i="6"/>
  <c r="CG141" i="6"/>
  <c r="CG140" i="6"/>
  <c r="CG139" i="6"/>
  <c r="CG138" i="6"/>
  <c r="CG137" i="6"/>
  <c r="CG136" i="6"/>
  <c r="CG135" i="6"/>
  <c r="CG134" i="6"/>
  <c r="CG133" i="6"/>
  <c r="CG132" i="6"/>
  <c r="CG131" i="6"/>
  <c r="CG130" i="6"/>
  <c r="CG129" i="6"/>
  <c r="CG128" i="6"/>
  <c r="CG127" i="6"/>
  <c r="CG126" i="6"/>
  <c r="CG125" i="6"/>
  <c r="CG124" i="6"/>
  <c r="CG123" i="6"/>
  <c r="CG122" i="6"/>
  <c r="CG121" i="6"/>
  <c r="CG120" i="6"/>
  <c r="CG119" i="6"/>
  <c r="CG118" i="6"/>
  <c r="CG117" i="6"/>
  <c r="CG116" i="6"/>
  <c r="CG115" i="6"/>
  <c r="CG114" i="6"/>
  <c r="CG113" i="6"/>
  <c r="CG112" i="6"/>
  <c r="CG111" i="6"/>
  <c r="CG110" i="6"/>
  <c r="CG109" i="6"/>
  <c r="CG108" i="6"/>
  <c r="CG107" i="6"/>
  <c r="CG106" i="6"/>
  <c r="CG105" i="6"/>
  <c r="CG104" i="6"/>
  <c r="CG103" i="6"/>
  <c r="CG102" i="6"/>
  <c r="CG101" i="6"/>
  <c r="CG100" i="6"/>
  <c r="CG99" i="6"/>
  <c r="CG98" i="6"/>
  <c r="CG97" i="6"/>
  <c r="CG96" i="6"/>
  <c r="CG95" i="6"/>
  <c r="CG94" i="6"/>
  <c r="CG93" i="6"/>
  <c r="CG92" i="6"/>
  <c r="CG91" i="6"/>
  <c r="CG90" i="6"/>
  <c r="CG89" i="6"/>
  <c r="CG88" i="6"/>
  <c r="CG87" i="6"/>
  <c r="CG86" i="6"/>
  <c r="CG85" i="6"/>
  <c r="CG84" i="6"/>
  <c r="CG83" i="6"/>
  <c r="CG82" i="6"/>
  <c r="CG81" i="6"/>
  <c r="CG80" i="6"/>
  <c r="CG79" i="6"/>
  <c r="CG78" i="6"/>
  <c r="CG77" i="6"/>
  <c r="CG76" i="6"/>
  <c r="CG75" i="6"/>
  <c r="CG74" i="6"/>
  <c r="CG73" i="6"/>
  <c r="CG72" i="6"/>
  <c r="CG71" i="6"/>
  <c r="CG70" i="6"/>
  <c r="CG69" i="6"/>
  <c r="CG68" i="6"/>
  <c r="CG67" i="6"/>
  <c r="CG66" i="6"/>
  <c r="CG65" i="6"/>
  <c r="CG64" i="6"/>
  <c r="CG63" i="6"/>
  <c r="CG62" i="6"/>
  <c r="CG61" i="6"/>
  <c r="CG60" i="6"/>
  <c r="CG59" i="6"/>
  <c r="CG58" i="6"/>
  <c r="CG57" i="6"/>
  <c r="CG56" i="6"/>
  <c r="CG55" i="6"/>
  <c r="CG54" i="6"/>
  <c r="CG53" i="6"/>
  <c r="CG52" i="6"/>
  <c r="CG51" i="6"/>
  <c r="CG50" i="6"/>
  <c r="CG49" i="6"/>
  <c r="CG48" i="6"/>
  <c r="CG47" i="6"/>
  <c r="CG46" i="6"/>
  <c r="CG45" i="6"/>
  <c r="CG44" i="6"/>
  <c r="CG43" i="6"/>
  <c r="CG42" i="6"/>
  <c r="CG41" i="6"/>
  <c r="CG40" i="6"/>
  <c r="CG39" i="6"/>
  <c r="CG38" i="6"/>
  <c r="CG37" i="6"/>
  <c r="CG36" i="6"/>
  <c r="CG35" i="6"/>
  <c r="CG34" i="6"/>
  <c r="CG33" i="6"/>
  <c r="CG32" i="6"/>
  <c r="CG31" i="6"/>
  <c r="CG30" i="6"/>
  <c r="CG29" i="6"/>
  <c r="CG28" i="6"/>
  <c r="CG27" i="6"/>
  <c r="CG26" i="6"/>
  <c r="CG25" i="6"/>
  <c r="CG24" i="6"/>
  <c r="CG23" i="6"/>
  <c r="CG22" i="6"/>
  <c r="CG21" i="6"/>
  <c r="CG20" i="6"/>
  <c r="CG19" i="6"/>
  <c r="CG18" i="6"/>
  <c r="CG17" i="6"/>
  <c r="CG16" i="6"/>
  <c r="CG15" i="6"/>
  <c r="CG14" i="6"/>
  <c r="CG13" i="6"/>
  <c r="CG12" i="6"/>
  <c r="CH200" i="6"/>
  <c r="CF200" i="6"/>
  <c r="AV200" i="6"/>
  <c r="AS200" i="6"/>
  <c r="AQ200" i="6"/>
  <c r="AP200" i="6" a="1"/>
  <c r="AP200" i="6" s="1"/>
  <c r="AO200" i="6"/>
  <c r="AN200" i="6"/>
  <c r="AK200" i="6"/>
  <c r="AC200" i="6"/>
  <c r="AB200" i="6"/>
  <c r="CH199" i="6"/>
  <c r="CF199" i="6"/>
  <c r="AV199" i="6"/>
  <c r="AS199" i="6"/>
  <c r="AQ199" i="6"/>
  <c r="AP199" i="6" a="1"/>
  <c r="AP199" i="6" s="1"/>
  <c r="AO199" i="6"/>
  <c r="AN199" i="6"/>
  <c r="AK199" i="6"/>
  <c r="AC199" i="6"/>
  <c r="AB199" i="6"/>
  <c r="CH198" i="6"/>
  <c r="CF198" i="6"/>
  <c r="AV198" i="6"/>
  <c r="AS198" i="6"/>
  <c r="AQ198" i="6"/>
  <c r="AP198" i="6"/>
  <c r="AP198" i="6" a="1"/>
  <c r="AO198" i="6"/>
  <c r="AN198" i="6"/>
  <c r="AK198" i="6"/>
  <c r="AC198" i="6"/>
  <c r="AB198" i="6"/>
  <c r="CH197" i="6"/>
  <c r="CF197" i="6"/>
  <c r="AV197" i="6"/>
  <c r="AS197" i="6"/>
  <c r="AQ197" i="6"/>
  <c r="AP197" i="6" a="1"/>
  <c r="AP197" i="6" s="1"/>
  <c r="AO197" i="6"/>
  <c r="AN197" i="6"/>
  <c r="AK197" i="6"/>
  <c r="AC197" i="6"/>
  <c r="AB197" i="6"/>
  <c r="CH196" i="6"/>
  <c r="CF196" i="6"/>
  <c r="AV196" i="6"/>
  <c r="AS196" i="6"/>
  <c r="AQ196" i="6"/>
  <c r="AP196" i="6" a="1"/>
  <c r="AP196" i="6" s="1"/>
  <c r="AO196" i="6"/>
  <c r="AN196" i="6"/>
  <c r="AK196" i="6"/>
  <c r="AC196" i="6"/>
  <c r="AB196" i="6"/>
  <c r="CH195" i="6"/>
  <c r="CF195" i="6"/>
  <c r="AV195" i="6"/>
  <c r="AS195" i="6"/>
  <c r="AQ195" i="6"/>
  <c r="AP195" i="6" a="1"/>
  <c r="AP195" i="6" s="1"/>
  <c r="AO195" i="6"/>
  <c r="AN195" i="6"/>
  <c r="AK195" i="6"/>
  <c r="AC195" i="6"/>
  <c r="AB195" i="6"/>
  <c r="CH194" i="6"/>
  <c r="CF194" i="6"/>
  <c r="AV194" i="6"/>
  <c r="AS194" i="6"/>
  <c r="AQ194" i="6"/>
  <c r="AP194" i="6"/>
  <c r="AP194" i="6" a="1"/>
  <c r="AO194" i="6"/>
  <c r="AN194" i="6"/>
  <c r="AK194" i="6"/>
  <c r="AC194" i="6"/>
  <c r="AB194" i="6"/>
  <c r="CH193" i="6"/>
  <c r="CF193" i="6"/>
  <c r="AV193" i="6"/>
  <c r="AS193" i="6"/>
  <c r="AQ193" i="6"/>
  <c r="AP193" i="6"/>
  <c r="AP193" i="6" a="1"/>
  <c r="AO193" i="6"/>
  <c r="AN193" i="6"/>
  <c r="AK193" i="6"/>
  <c r="AC193" i="6"/>
  <c r="AB193" i="6"/>
  <c r="CH192" i="6"/>
  <c r="CF192" i="6"/>
  <c r="AV192" i="6"/>
  <c r="AS192" i="6"/>
  <c r="AQ192" i="6"/>
  <c r="AP192" i="6"/>
  <c r="AP192" i="6" a="1"/>
  <c r="AO192" i="6"/>
  <c r="AN192" i="6"/>
  <c r="AK192" i="6"/>
  <c r="AC192" i="6"/>
  <c r="AB192" i="6"/>
  <c r="CH191" i="6"/>
  <c r="CF191" i="6"/>
  <c r="AV191" i="6"/>
  <c r="AS191" i="6"/>
  <c r="AQ191" i="6"/>
  <c r="AP191" i="6" a="1"/>
  <c r="AP191" i="6" s="1"/>
  <c r="AO191" i="6"/>
  <c r="AN191" i="6"/>
  <c r="AK191" i="6"/>
  <c r="AC191" i="6"/>
  <c r="AB191" i="6"/>
  <c r="CH190" i="6"/>
  <c r="CF190" i="6"/>
  <c r="AV190" i="6"/>
  <c r="AS190" i="6"/>
  <c r="AQ190" i="6"/>
  <c r="AP190" i="6" a="1"/>
  <c r="AP190" i="6" s="1"/>
  <c r="AO190" i="6"/>
  <c r="AN190" i="6"/>
  <c r="AK190" i="6"/>
  <c r="AC190" i="6"/>
  <c r="AB190" i="6"/>
  <c r="CH189" i="6"/>
  <c r="CF189" i="6"/>
  <c r="AV189" i="6"/>
  <c r="AS189" i="6"/>
  <c r="AQ189" i="6"/>
  <c r="AP189" i="6" a="1"/>
  <c r="AP189" i="6" s="1"/>
  <c r="AO189" i="6"/>
  <c r="AN189" i="6"/>
  <c r="AK189" i="6"/>
  <c r="AC189" i="6"/>
  <c r="AB189" i="6"/>
  <c r="CH188" i="6"/>
  <c r="CF188" i="6"/>
  <c r="AV188" i="6"/>
  <c r="AS188" i="6"/>
  <c r="AQ188" i="6"/>
  <c r="AP188" i="6" a="1"/>
  <c r="AP188" i="6" s="1"/>
  <c r="AO188" i="6"/>
  <c r="AN188" i="6"/>
  <c r="AK188" i="6"/>
  <c r="AC188" i="6"/>
  <c r="AB188" i="6"/>
  <c r="CH187" i="6"/>
  <c r="CF187" i="6"/>
  <c r="AV187" i="6"/>
  <c r="AS187" i="6"/>
  <c r="AQ187" i="6"/>
  <c r="AP187" i="6" a="1"/>
  <c r="AP187" i="6" s="1"/>
  <c r="AO187" i="6"/>
  <c r="AN187" i="6"/>
  <c r="AK187" i="6"/>
  <c r="AC187" i="6"/>
  <c r="AB187" i="6"/>
  <c r="CH186" i="6"/>
  <c r="CF186" i="6"/>
  <c r="AV186" i="6"/>
  <c r="AS186" i="6"/>
  <c r="AQ186" i="6"/>
  <c r="AP186" i="6"/>
  <c r="AP186" i="6" a="1"/>
  <c r="AO186" i="6"/>
  <c r="AN186" i="6"/>
  <c r="AK186" i="6"/>
  <c r="AC186" i="6"/>
  <c r="AB186" i="6"/>
  <c r="CH185" i="6"/>
  <c r="CF185" i="6"/>
  <c r="AV185" i="6"/>
  <c r="AS185" i="6"/>
  <c r="AQ185" i="6"/>
  <c r="AP185" i="6" a="1"/>
  <c r="AP185" i="6" s="1"/>
  <c r="AO185" i="6"/>
  <c r="AN185" i="6"/>
  <c r="AK185" i="6"/>
  <c r="AC185" i="6"/>
  <c r="AB185" i="6"/>
  <c r="CH184" i="6"/>
  <c r="CF184" i="6"/>
  <c r="AV184" i="6"/>
  <c r="AS184" i="6"/>
  <c r="AQ184" i="6"/>
  <c r="AP184" i="6"/>
  <c r="AP184" i="6" a="1"/>
  <c r="AO184" i="6"/>
  <c r="AN184" i="6"/>
  <c r="AK184" i="6"/>
  <c r="AC184" i="6"/>
  <c r="AB184" i="6"/>
  <c r="CH183" i="6"/>
  <c r="CF183" i="6"/>
  <c r="AV183" i="6"/>
  <c r="AS183" i="6"/>
  <c r="AQ183" i="6"/>
  <c r="AP183" i="6" a="1"/>
  <c r="AP183" i="6" s="1"/>
  <c r="AO183" i="6"/>
  <c r="AN183" i="6"/>
  <c r="AK183" i="6"/>
  <c r="AC183" i="6"/>
  <c r="AB183" i="6"/>
  <c r="CH182" i="6"/>
  <c r="CF182" i="6"/>
  <c r="AV182" i="6"/>
  <c r="AS182" i="6"/>
  <c r="AQ182" i="6"/>
  <c r="AP182" i="6" a="1"/>
  <c r="AP182" i="6" s="1"/>
  <c r="AO182" i="6"/>
  <c r="AN182" i="6"/>
  <c r="AK182" i="6"/>
  <c r="AC182" i="6"/>
  <c r="AB182" i="6"/>
  <c r="CH181" i="6"/>
  <c r="CF181" i="6"/>
  <c r="AV181" i="6"/>
  <c r="AS181" i="6"/>
  <c r="AQ181" i="6"/>
  <c r="AP181" i="6" a="1"/>
  <c r="AP181" i="6" s="1"/>
  <c r="AO181" i="6"/>
  <c r="AN181" i="6"/>
  <c r="AK181" i="6"/>
  <c r="AC181" i="6"/>
  <c r="AB181" i="6"/>
  <c r="CH180" i="6"/>
  <c r="CF180" i="6"/>
  <c r="AV180" i="6"/>
  <c r="AS180" i="6"/>
  <c r="AQ180" i="6"/>
  <c r="AP180" i="6"/>
  <c r="AP180" i="6" a="1"/>
  <c r="AO180" i="6"/>
  <c r="AN180" i="6"/>
  <c r="AK180" i="6"/>
  <c r="AC180" i="6"/>
  <c r="AB180" i="6"/>
  <c r="CH179" i="6"/>
  <c r="CF179" i="6"/>
  <c r="AV179" i="6"/>
  <c r="AS179" i="6"/>
  <c r="AQ179" i="6"/>
  <c r="AP179" i="6"/>
  <c r="AP179" i="6" a="1"/>
  <c r="AO179" i="6"/>
  <c r="AN179" i="6"/>
  <c r="AK179" i="6"/>
  <c r="AC179" i="6"/>
  <c r="AB179" i="6"/>
  <c r="CH178" i="6"/>
  <c r="CF178" i="6"/>
  <c r="AV178" i="6"/>
  <c r="AS178" i="6"/>
  <c r="AQ178" i="6"/>
  <c r="AP178" i="6"/>
  <c r="AP178" i="6" a="1"/>
  <c r="AO178" i="6"/>
  <c r="AN178" i="6"/>
  <c r="AK178" i="6"/>
  <c r="AC178" i="6"/>
  <c r="AB178" i="6"/>
  <c r="CH177" i="6"/>
  <c r="CF177" i="6"/>
  <c r="AV177" i="6"/>
  <c r="AS177" i="6"/>
  <c r="AQ177" i="6"/>
  <c r="AP177" i="6" a="1"/>
  <c r="AP177" i="6" s="1"/>
  <c r="AO177" i="6"/>
  <c r="AN177" i="6"/>
  <c r="AK177" i="6"/>
  <c r="AC177" i="6"/>
  <c r="AB177" i="6"/>
  <c r="CH176" i="6"/>
  <c r="CF176" i="6"/>
  <c r="AV176" i="6"/>
  <c r="AS176" i="6"/>
  <c r="AQ176" i="6"/>
  <c r="AP176" i="6" a="1"/>
  <c r="AP176" i="6" s="1"/>
  <c r="AO176" i="6"/>
  <c r="AN176" i="6"/>
  <c r="AK176" i="6"/>
  <c r="AC176" i="6"/>
  <c r="AB176" i="6"/>
  <c r="CH175" i="6"/>
  <c r="CF175" i="6"/>
  <c r="AV175" i="6"/>
  <c r="AS175" i="6"/>
  <c r="AQ175" i="6"/>
  <c r="AP175" i="6" a="1"/>
  <c r="AP175" i="6" s="1"/>
  <c r="AO175" i="6"/>
  <c r="AN175" i="6"/>
  <c r="AK175" i="6"/>
  <c r="AC175" i="6"/>
  <c r="AB175" i="6"/>
  <c r="CH174" i="6"/>
  <c r="CF174" i="6"/>
  <c r="AV174" i="6"/>
  <c r="AS174" i="6"/>
  <c r="AQ174" i="6"/>
  <c r="AP174" i="6" a="1"/>
  <c r="AP174" i="6" s="1"/>
  <c r="AO174" i="6"/>
  <c r="AN174" i="6"/>
  <c r="AK174" i="6"/>
  <c r="AC174" i="6"/>
  <c r="AB174" i="6"/>
  <c r="CH173" i="6"/>
  <c r="CF173" i="6"/>
  <c r="AV173" i="6"/>
  <c r="AS173" i="6"/>
  <c r="AQ173" i="6"/>
  <c r="AP173" i="6" a="1"/>
  <c r="AP173" i="6" s="1"/>
  <c r="AO173" i="6"/>
  <c r="AN173" i="6"/>
  <c r="AK173" i="6"/>
  <c r="AC173" i="6"/>
  <c r="AB173" i="6"/>
  <c r="CH172" i="6"/>
  <c r="CF172" i="6"/>
  <c r="AV172" i="6"/>
  <c r="AS172" i="6"/>
  <c r="AQ172" i="6"/>
  <c r="AP172" i="6"/>
  <c r="AP172" i="6" a="1"/>
  <c r="AO172" i="6"/>
  <c r="AN172" i="6"/>
  <c r="AK172" i="6"/>
  <c r="AC172" i="6"/>
  <c r="AB172" i="6"/>
  <c r="CH171" i="6"/>
  <c r="CF171" i="6"/>
  <c r="AV171" i="6"/>
  <c r="AS171" i="6"/>
  <c r="AQ171" i="6"/>
  <c r="AP171" i="6" a="1"/>
  <c r="AP171" i="6" s="1"/>
  <c r="AO171" i="6"/>
  <c r="AN171" i="6"/>
  <c r="AK171" i="6"/>
  <c r="AC171" i="6"/>
  <c r="AB171" i="6"/>
  <c r="CH170" i="6"/>
  <c r="CF170" i="6"/>
  <c r="AV170" i="6"/>
  <c r="AS170" i="6"/>
  <c r="AQ170" i="6"/>
  <c r="AP170" i="6"/>
  <c r="AP170" i="6" a="1"/>
  <c r="AO170" i="6"/>
  <c r="AN170" i="6"/>
  <c r="AK170" i="6"/>
  <c r="AC170" i="6"/>
  <c r="AB170" i="6"/>
  <c r="CH169" i="6"/>
  <c r="CF169" i="6"/>
  <c r="AV169" i="6"/>
  <c r="AS169" i="6"/>
  <c r="AQ169" i="6"/>
  <c r="AP169" i="6" a="1"/>
  <c r="AP169" i="6" s="1"/>
  <c r="AO169" i="6"/>
  <c r="AN169" i="6"/>
  <c r="AK169" i="6"/>
  <c r="AC169" i="6"/>
  <c r="AB169" i="6"/>
  <c r="CH168" i="6"/>
  <c r="CF168" i="6"/>
  <c r="AV168" i="6"/>
  <c r="AS168" i="6"/>
  <c r="AQ168" i="6"/>
  <c r="AP168" i="6" a="1"/>
  <c r="AP168" i="6" s="1"/>
  <c r="AO168" i="6"/>
  <c r="AN168" i="6"/>
  <c r="AK168" i="6"/>
  <c r="AC168" i="6"/>
  <c r="AB168" i="6"/>
  <c r="CH167" i="6"/>
  <c r="CF167" i="6"/>
  <c r="AV167" i="6"/>
  <c r="AS167" i="6"/>
  <c r="AQ167" i="6"/>
  <c r="AP167" i="6" a="1"/>
  <c r="AP167" i="6" s="1"/>
  <c r="AO167" i="6"/>
  <c r="AN167" i="6"/>
  <c r="AK167" i="6"/>
  <c r="AC167" i="6"/>
  <c r="AB167" i="6"/>
  <c r="CH166" i="6"/>
  <c r="CF166" i="6"/>
  <c r="AV166" i="6"/>
  <c r="AS166" i="6"/>
  <c r="AQ166" i="6"/>
  <c r="AP166" i="6"/>
  <c r="AP166" i="6" a="1"/>
  <c r="AO166" i="6"/>
  <c r="AN166" i="6"/>
  <c r="AK166" i="6"/>
  <c r="AC166" i="6"/>
  <c r="AB166" i="6"/>
  <c r="CH165" i="6"/>
  <c r="CF165" i="6"/>
  <c r="AV165" i="6"/>
  <c r="AS165" i="6"/>
  <c r="AQ165" i="6"/>
  <c r="AP165" i="6"/>
  <c r="AP165" i="6" a="1"/>
  <c r="AO165" i="6"/>
  <c r="AN165" i="6"/>
  <c r="AK165" i="6"/>
  <c r="AC165" i="6"/>
  <c r="AB165" i="6"/>
  <c r="CH164" i="6"/>
  <c r="CF164" i="6"/>
  <c r="AV164" i="6"/>
  <c r="AS164" i="6"/>
  <c r="AQ164" i="6"/>
  <c r="AP164" i="6"/>
  <c r="AP164" i="6" a="1"/>
  <c r="AO164" i="6"/>
  <c r="AN164" i="6"/>
  <c r="AK164" i="6"/>
  <c r="AC164" i="6"/>
  <c r="AB164" i="6"/>
  <c r="CH163" i="6"/>
  <c r="CF163" i="6"/>
  <c r="AV163" i="6"/>
  <c r="AS163" i="6"/>
  <c r="AQ163" i="6"/>
  <c r="AP163" i="6"/>
  <c r="AP163" i="6" a="1"/>
  <c r="AO163" i="6"/>
  <c r="AN163" i="6"/>
  <c r="AK163" i="6"/>
  <c r="AC163" i="6"/>
  <c r="AB163" i="6"/>
  <c r="CH162" i="6"/>
  <c r="CF162" i="6"/>
  <c r="AV162" i="6"/>
  <c r="AS162" i="6"/>
  <c r="AQ162" i="6"/>
  <c r="AP162" i="6" a="1"/>
  <c r="AP162" i="6" s="1"/>
  <c r="AO162" i="6"/>
  <c r="AN162" i="6"/>
  <c r="AK162" i="6"/>
  <c r="AC162" i="6"/>
  <c r="AB162" i="6"/>
  <c r="CH161" i="6"/>
  <c r="CF161" i="6"/>
  <c r="AV161" i="6"/>
  <c r="AS161" i="6"/>
  <c r="AQ161" i="6"/>
  <c r="AP161" i="6" a="1"/>
  <c r="AP161" i="6" s="1"/>
  <c r="AO161" i="6"/>
  <c r="AN161" i="6"/>
  <c r="AK161" i="6"/>
  <c r="AC161" i="6"/>
  <c r="AB161" i="6"/>
  <c r="CH160" i="6"/>
  <c r="CF160" i="6"/>
  <c r="AV160" i="6"/>
  <c r="AS160" i="6"/>
  <c r="AQ160" i="6"/>
  <c r="AP160" i="6" a="1"/>
  <c r="AP160" i="6" s="1"/>
  <c r="AO160" i="6"/>
  <c r="AN160" i="6"/>
  <c r="AK160" i="6"/>
  <c r="AC160" i="6"/>
  <c r="AB160" i="6"/>
  <c r="CH159" i="6"/>
  <c r="CF159" i="6"/>
  <c r="AV159" i="6"/>
  <c r="AS159" i="6"/>
  <c r="AQ159" i="6"/>
  <c r="AP159" i="6" a="1"/>
  <c r="AP159" i="6" s="1"/>
  <c r="AO159" i="6"/>
  <c r="AN159" i="6"/>
  <c r="AK159" i="6"/>
  <c r="AC159" i="6"/>
  <c r="AB159" i="6"/>
  <c r="CH158" i="6"/>
  <c r="CF158" i="6"/>
  <c r="AV158" i="6"/>
  <c r="AS158" i="6"/>
  <c r="AQ158" i="6"/>
  <c r="AP158" i="6"/>
  <c r="AP158" i="6" a="1"/>
  <c r="AO158" i="6"/>
  <c r="AN158" i="6"/>
  <c r="AK158" i="6"/>
  <c r="AC158" i="6"/>
  <c r="AB158" i="6"/>
  <c r="CH157" i="6"/>
  <c r="CF157" i="6"/>
  <c r="AV157" i="6"/>
  <c r="AS157" i="6"/>
  <c r="AQ157" i="6"/>
  <c r="AP157" i="6" a="1"/>
  <c r="AP157" i="6" s="1"/>
  <c r="AO157" i="6"/>
  <c r="AN157" i="6"/>
  <c r="AK157" i="6"/>
  <c r="AC157" i="6"/>
  <c r="AB157" i="6"/>
  <c r="CH156" i="6"/>
  <c r="CF156" i="6"/>
  <c r="AV156" i="6"/>
  <c r="AS156" i="6"/>
  <c r="AQ156" i="6"/>
  <c r="AP156" i="6"/>
  <c r="AP156" i="6" a="1"/>
  <c r="AO156" i="6"/>
  <c r="AN156" i="6"/>
  <c r="AK156" i="6"/>
  <c r="AC156" i="6"/>
  <c r="AB156" i="6"/>
  <c r="CH155" i="6"/>
  <c r="CF155" i="6"/>
  <c r="AV155" i="6"/>
  <c r="AS155" i="6"/>
  <c r="AQ155" i="6"/>
  <c r="AP155" i="6" a="1"/>
  <c r="AP155" i="6" s="1"/>
  <c r="AO155" i="6"/>
  <c r="AN155" i="6"/>
  <c r="AK155" i="6"/>
  <c r="AC155" i="6"/>
  <c r="AB155" i="6"/>
  <c r="CH154" i="6"/>
  <c r="CF154" i="6"/>
  <c r="AV154" i="6"/>
  <c r="AS154" i="6"/>
  <c r="AQ154" i="6"/>
  <c r="AP154" i="6"/>
  <c r="AP154" i="6" a="1"/>
  <c r="AO154" i="6"/>
  <c r="AN154" i="6"/>
  <c r="AK154" i="6"/>
  <c r="AC154" i="6"/>
  <c r="AB154" i="6"/>
  <c r="CH153" i="6"/>
  <c r="CF153" i="6"/>
  <c r="AV153" i="6"/>
  <c r="AS153" i="6"/>
  <c r="AQ153" i="6"/>
  <c r="AP153" i="6" a="1"/>
  <c r="AP153" i="6" s="1"/>
  <c r="AO153" i="6"/>
  <c r="AN153" i="6"/>
  <c r="AK153" i="6"/>
  <c r="AC153" i="6"/>
  <c r="AB153" i="6"/>
  <c r="CH152" i="6"/>
  <c r="CF152" i="6"/>
  <c r="AV152" i="6"/>
  <c r="AS152" i="6"/>
  <c r="AQ152" i="6"/>
  <c r="AP152" i="6"/>
  <c r="AP152" i="6" a="1"/>
  <c r="AO152" i="6"/>
  <c r="AN152" i="6"/>
  <c r="AK152" i="6"/>
  <c r="AC152" i="6"/>
  <c r="AB152" i="6"/>
  <c r="CH151" i="6"/>
  <c r="CF151" i="6"/>
  <c r="AV151" i="6"/>
  <c r="AS151" i="6"/>
  <c r="AQ151" i="6"/>
  <c r="AP151" i="6"/>
  <c r="AP151" i="6" a="1"/>
  <c r="AO151" i="6"/>
  <c r="AN151" i="6"/>
  <c r="AK151" i="6"/>
  <c r="AC151" i="6"/>
  <c r="AB151" i="6"/>
  <c r="CH150" i="6"/>
  <c r="CF150" i="6"/>
  <c r="AV150" i="6"/>
  <c r="AS150" i="6"/>
  <c r="AQ150" i="6"/>
  <c r="AP150" i="6"/>
  <c r="AP150" i="6" a="1"/>
  <c r="AO150" i="6"/>
  <c r="AN150" i="6"/>
  <c r="AK150" i="6"/>
  <c r="AC150" i="6"/>
  <c r="AB150" i="6"/>
  <c r="CH149" i="6"/>
  <c r="CF149" i="6"/>
  <c r="AV149" i="6"/>
  <c r="AS149" i="6"/>
  <c r="AQ149" i="6"/>
  <c r="AP149" i="6" a="1"/>
  <c r="AP149" i="6" s="1"/>
  <c r="AO149" i="6"/>
  <c r="AN149" i="6"/>
  <c r="AK149" i="6"/>
  <c r="AC149" i="6"/>
  <c r="AB149" i="6"/>
  <c r="CH148" i="6"/>
  <c r="CF148" i="6"/>
  <c r="AV148" i="6"/>
  <c r="AS148" i="6"/>
  <c r="AQ148" i="6"/>
  <c r="AP148" i="6" a="1"/>
  <c r="AP148" i="6" s="1"/>
  <c r="AO148" i="6"/>
  <c r="AN148" i="6"/>
  <c r="AK148" i="6"/>
  <c r="AC148" i="6"/>
  <c r="AB148" i="6"/>
  <c r="CH147" i="6"/>
  <c r="CF147" i="6"/>
  <c r="AV147" i="6"/>
  <c r="AS147" i="6"/>
  <c r="AQ147" i="6"/>
  <c r="AP147" i="6" a="1"/>
  <c r="AP147" i="6" s="1"/>
  <c r="AO147" i="6"/>
  <c r="AN147" i="6"/>
  <c r="AK147" i="6"/>
  <c r="AC147" i="6"/>
  <c r="AB147" i="6"/>
  <c r="CH146" i="6"/>
  <c r="CF146" i="6"/>
  <c r="AV146" i="6"/>
  <c r="AS146" i="6"/>
  <c r="AQ146" i="6"/>
  <c r="AP146" i="6" a="1"/>
  <c r="AP146" i="6" s="1"/>
  <c r="AO146" i="6"/>
  <c r="AN146" i="6"/>
  <c r="AK146" i="6"/>
  <c r="AC146" i="6"/>
  <c r="AB146" i="6"/>
  <c r="CH145" i="6"/>
  <c r="CF145" i="6"/>
  <c r="AV145" i="6"/>
  <c r="AS145" i="6"/>
  <c r="AQ145" i="6"/>
  <c r="AP145" i="6" a="1"/>
  <c r="AP145" i="6" s="1"/>
  <c r="AO145" i="6"/>
  <c r="AN145" i="6"/>
  <c r="AK145" i="6"/>
  <c r="AC145" i="6"/>
  <c r="AB145" i="6"/>
  <c r="CH144" i="6"/>
  <c r="CF144" i="6"/>
  <c r="AV144" i="6"/>
  <c r="AS144" i="6"/>
  <c r="AQ144" i="6"/>
  <c r="AP144" i="6"/>
  <c r="AP144" i="6" a="1"/>
  <c r="AO144" i="6"/>
  <c r="AN144" i="6"/>
  <c r="AK144" i="6"/>
  <c r="AC144" i="6"/>
  <c r="AB144" i="6"/>
  <c r="CH143" i="6"/>
  <c r="CF143" i="6"/>
  <c r="AV143" i="6"/>
  <c r="AS143" i="6"/>
  <c r="AQ143" i="6"/>
  <c r="AP143" i="6" a="1"/>
  <c r="AP143" i="6" s="1"/>
  <c r="AO143" i="6"/>
  <c r="AN143" i="6"/>
  <c r="AK143" i="6"/>
  <c r="AC143" i="6"/>
  <c r="AB143" i="6"/>
  <c r="CH142" i="6"/>
  <c r="CF142" i="6"/>
  <c r="AV142" i="6"/>
  <c r="AS142" i="6"/>
  <c r="AQ142" i="6"/>
  <c r="AP142" i="6"/>
  <c r="AP142" i="6" a="1"/>
  <c r="AO142" i="6"/>
  <c r="AN142" i="6"/>
  <c r="AK142" i="6"/>
  <c r="AC142" i="6"/>
  <c r="AB142" i="6"/>
  <c r="CH141" i="6"/>
  <c r="CF141" i="6"/>
  <c r="AV141" i="6"/>
  <c r="AS141" i="6"/>
  <c r="AQ141" i="6"/>
  <c r="AP141" i="6" a="1"/>
  <c r="AP141" i="6" s="1"/>
  <c r="AO141" i="6"/>
  <c r="AN141" i="6"/>
  <c r="AK141" i="6"/>
  <c r="AC141" i="6"/>
  <c r="AB141" i="6"/>
  <c r="CH140" i="6"/>
  <c r="CF140" i="6"/>
  <c r="AV140" i="6"/>
  <c r="AS140" i="6"/>
  <c r="AQ140" i="6"/>
  <c r="AP140" i="6"/>
  <c r="AP140" i="6" a="1"/>
  <c r="AO140" i="6"/>
  <c r="AN140" i="6"/>
  <c r="AK140" i="6"/>
  <c r="AC140" i="6"/>
  <c r="AB140" i="6"/>
  <c r="CH139" i="6"/>
  <c r="CF139" i="6"/>
  <c r="AV139" i="6"/>
  <c r="AS139" i="6"/>
  <c r="AQ139" i="6"/>
  <c r="AP139" i="6" a="1"/>
  <c r="AP139" i="6" s="1"/>
  <c r="AO139" i="6"/>
  <c r="AN139" i="6"/>
  <c r="AK139" i="6"/>
  <c r="AC139" i="6"/>
  <c r="AB139" i="6"/>
  <c r="CH138" i="6"/>
  <c r="CF138" i="6"/>
  <c r="AV138" i="6"/>
  <c r="AS138" i="6"/>
  <c r="AQ138" i="6"/>
  <c r="AP138" i="6"/>
  <c r="AP138" i="6" a="1"/>
  <c r="AO138" i="6"/>
  <c r="AN138" i="6"/>
  <c r="AK138" i="6"/>
  <c r="AC138" i="6"/>
  <c r="AB138" i="6"/>
  <c r="CH137" i="6"/>
  <c r="CF137" i="6"/>
  <c r="AV137" i="6"/>
  <c r="AS137" i="6"/>
  <c r="AQ137" i="6"/>
  <c r="AP137" i="6"/>
  <c r="AP137" i="6" a="1"/>
  <c r="AO137" i="6"/>
  <c r="AN137" i="6"/>
  <c r="AK137" i="6"/>
  <c r="AC137" i="6"/>
  <c r="AB137" i="6"/>
  <c r="CH136" i="6"/>
  <c r="CF136" i="6"/>
  <c r="AV136" i="6"/>
  <c r="AS136" i="6"/>
  <c r="AQ136" i="6"/>
  <c r="AP136" i="6"/>
  <c r="AP136" i="6" a="1"/>
  <c r="AO136" i="6"/>
  <c r="AN136" i="6"/>
  <c r="AK136" i="6"/>
  <c r="AC136" i="6"/>
  <c r="AB136" i="6"/>
  <c r="CH135" i="6"/>
  <c r="CF135" i="6"/>
  <c r="AV135" i="6"/>
  <c r="AS135" i="6"/>
  <c r="AQ135" i="6"/>
  <c r="AP135" i="6" a="1"/>
  <c r="AP135" i="6" s="1"/>
  <c r="AO135" i="6"/>
  <c r="AN135" i="6"/>
  <c r="AK135" i="6"/>
  <c r="AC135" i="6"/>
  <c r="AB135" i="6"/>
  <c r="CH134" i="6"/>
  <c r="CF134" i="6"/>
  <c r="AV134" i="6"/>
  <c r="AS134" i="6"/>
  <c r="AQ134" i="6"/>
  <c r="AP134" i="6" a="1"/>
  <c r="AP134" i="6" s="1"/>
  <c r="AO134" i="6"/>
  <c r="AN134" i="6"/>
  <c r="AK134" i="6"/>
  <c r="AC134" i="6"/>
  <c r="AB134" i="6"/>
  <c r="CH133" i="6"/>
  <c r="CF133" i="6"/>
  <c r="AV133" i="6"/>
  <c r="AS133" i="6"/>
  <c r="AQ133" i="6"/>
  <c r="AP133" i="6" a="1"/>
  <c r="AP133" i="6" s="1"/>
  <c r="AO133" i="6"/>
  <c r="AN133" i="6"/>
  <c r="AK133" i="6"/>
  <c r="AC133" i="6"/>
  <c r="AB133" i="6"/>
  <c r="CH132" i="6"/>
  <c r="CF132" i="6"/>
  <c r="AV132" i="6"/>
  <c r="AS132" i="6"/>
  <c r="AQ132" i="6"/>
  <c r="AP132" i="6" a="1"/>
  <c r="AP132" i="6" s="1"/>
  <c r="AO132" i="6"/>
  <c r="AN132" i="6"/>
  <c r="AK132" i="6"/>
  <c r="AC132" i="6"/>
  <c r="AB132" i="6"/>
  <c r="CH131" i="6"/>
  <c r="CF131" i="6"/>
  <c r="AV131" i="6"/>
  <c r="AS131" i="6"/>
  <c r="AQ131" i="6"/>
  <c r="AP131" i="6" a="1"/>
  <c r="AP131" i="6" s="1"/>
  <c r="AO131" i="6"/>
  <c r="AN131" i="6"/>
  <c r="AK131" i="6"/>
  <c r="AC131" i="6"/>
  <c r="AB131" i="6"/>
  <c r="CH130" i="6"/>
  <c r="CF130" i="6"/>
  <c r="AV130" i="6"/>
  <c r="AS130" i="6"/>
  <c r="AQ130" i="6"/>
  <c r="AP130" i="6"/>
  <c r="AP130" i="6" a="1"/>
  <c r="AO130" i="6"/>
  <c r="AN130" i="6"/>
  <c r="AK130" i="6"/>
  <c r="AC130" i="6"/>
  <c r="AB130" i="6"/>
  <c r="CH129" i="6"/>
  <c r="CF129" i="6"/>
  <c r="AV129" i="6"/>
  <c r="AS129" i="6"/>
  <c r="AQ129" i="6"/>
  <c r="AP129" i="6" a="1"/>
  <c r="AP129" i="6" s="1"/>
  <c r="AO129" i="6"/>
  <c r="AN129" i="6"/>
  <c r="AK129" i="6"/>
  <c r="AC129" i="6"/>
  <c r="AB129" i="6"/>
  <c r="CH128" i="6"/>
  <c r="CF128" i="6"/>
  <c r="AV128" i="6"/>
  <c r="AS128" i="6"/>
  <c r="AQ128" i="6"/>
  <c r="AP128" i="6"/>
  <c r="AP128" i="6" a="1"/>
  <c r="AO128" i="6"/>
  <c r="AN128" i="6"/>
  <c r="AK128" i="6"/>
  <c r="AC128" i="6"/>
  <c r="AB128" i="6"/>
  <c r="CH127" i="6"/>
  <c r="CF127" i="6"/>
  <c r="AV127" i="6"/>
  <c r="AS127" i="6"/>
  <c r="AQ127" i="6"/>
  <c r="AP127" i="6" a="1"/>
  <c r="AP127" i="6" s="1"/>
  <c r="AO127" i="6"/>
  <c r="AN127" i="6"/>
  <c r="AK127" i="6"/>
  <c r="AC127" i="6"/>
  <c r="AB127" i="6"/>
  <c r="CH126" i="6"/>
  <c r="CF126" i="6"/>
  <c r="AV126" i="6"/>
  <c r="AS126" i="6"/>
  <c r="AQ126" i="6"/>
  <c r="AP126" i="6"/>
  <c r="AP126" i="6" a="1"/>
  <c r="AO126" i="6"/>
  <c r="AN126" i="6"/>
  <c r="AK126" i="6"/>
  <c r="AC126" i="6"/>
  <c r="AB126" i="6"/>
  <c r="CH125" i="6"/>
  <c r="CF125" i="6"/>
  <c r="AV125" i="6"/>
  <c r="AS125" i="6"/>
  <c r="AQ125" i="6"/>
  <c r="AP125" i="6" a="1"/>
  <c r="AP125" i="6" s="1"/>
  <c r="AO125" i="6"/>
  <c r="AN125" i="6"/>
  <c r="AK125" i="6"/>
  <c r="AC125" i="6"/>
  <c r="AB125" i="6"/>
  <c r="CH124" i="6"/>
  <c r="CF124" i="6"/>
  <c r="AV124" i="6"/>
  <c r="AS124" i="6"/>
  <c r="AQ124" i="6"/>
  <c r="AP124" i="6"/>
  <c r="AP124" i="6" a="1"/>
  <c r="AO124" i="6"/>
  <c r="AN124" i="6"/>
  <c r="AK124" i="6"/>
  <c r="AC124" i="6"/>
  <c r="AB124" i="6"/>
  <c r="CH123" i="6"/>
  <c r="CF123" i="6"/>
  <c r="AV123" i="6"/>
  <c r="AS123" i="6"/>
  <c r="AQ123" i="6"/>
  <c r="AP123" i="6"/>
  <c r="AP123" i="6" a="1"/>
  <c r="AO123" i="6"/>
  <c r="AN123" i="6"/>
  <c r="AK123" i="6"/>
  <c r="AC123" i="6"/>
  <c r="AB123" i="6"/>
  <c r="CH122" i="6"/>
  <c r="CF122" i="6"/>
  <c r="AV122" i="6"/>
  <c r="AS122" i="6"/>
  <c r="AQ122" i="6"/>
  <c r="AP122" i="6"/>
  <c r="AP122" i="6" a="1"/>
  <c r="AO122" i="6"/>
  <c r="AN122" i="6"/>
  <c r="AK122" i="6"/>
  <c r="AC122" i="6"/>
  <c r="AB122" i="6"/>
  <c r="CH121" i="6"/>
  <c r="CF121" i="6"/>
  <c r="AV121" i="6"/>
  <c r="AS121" i="6"/>
  <c r="AQ121" i="6"/>
  <c r="AP121" i="6" a="1"/>
  <c r="AP121" i="6" s="1"/>
  <c r="AO121" i="6"/>
  <c r="AN121" i="6"/>
  <c r="AK121" i="6"/>
  <c r="AC121" i="6"/>
  <c r="AB121" i="6"/>
  <c r="CH120" i="6"/>
  <c r="CF120" i="6"/>
  <c r="AV120" i="6"/>
  <c r="AS120" i="6"/>
  <c r="AQ120" i="6"/>
  <c r="AP120" i="6" a="1"/>
  <c r="AP120" i="6" s="1"/>
  <c r="AO120" i="6"/>
  <c r="AN120" i="6"/>
  <c r="AK120" i="6"/>
  <c r="AC120" i="6"/>
  <c r="AB120" i="6"/>
  <c r="CH119" i="6"/>
  <c r="CF119" i="6"/>
  <c r="AV119" i="6"/>
  <c r="AS119" i="6"/>
  <c r="AQ119" i="6"/>
  <c r="AP119" i="6" a="1"/>
  <c r="AP119" i="6" s="1"/>
  <c r="AO119" i="6"/>
  <c r="AN119" i="6"/>
  <c r="AK119" i="6"/>
  <c r="AC119" i="6"/>
  <c r="AB119" i="6"/>
  <c r="CH118" i="6"/>
  <c r="CF118" i="6"/>
  <c r="AV118" i="6"/>
  <c r="AS118" i="6"/>
  <c r="AQ118" i="6"/>
  <c r="AP118" i="6" a="1"/>
  <c r="AP118" i="6" s="1"/>
  <c r="AO118" i="6"/>
  <c r="AN118" i="6"/>
  <c r="AK118" i="6"/>
  <c r="AC118" i="6"/>
  <c r="AB118" i="6"/>
  <c r="CH117" i="6"/>
  <c r="CF117" i="6"/>
  <c r="AV117" i="6"/>
  <c r="AS117" i="6"/>
  <c r="AQ117" i="6"/>
  <c r="AP117" i="6" a="1"/>
  <c r="AP117" i="6" s="1"/>
  <c r="AO117" i="6"/>
  <c r="AN117" i="6"/>
  <c r="AK117" i="6"/>
  <c r="AC117" i="6"/>
  <c r="AB117" i="6"/>
  <c r="CH116" i="6"/>
  <c r="CF116" i="6"/>
  <c r="AV116" i="6"/>
  <c r="AS116" i="6"/>
  <c r="AQ116" i="6"/>
  <c r="AP116" i="6"/>
  <c r="AP116" i="6" a="1"/>
  <c r="AO116" i="6"/>
  <c r="AN116" i="6"/>
  <c r="AK116" i="6"/>
  <c r="AC116" i="6"/>
  <c r="AB116" i="6"/>
  <c r="CH115" i="6"/>
  <c r="CF115" i="6"/>
  <c r="AV115" i="6"/>
  <c r="AS115" i="6"/>
  <c r="AQ115" i="6"/>
  <c r="AP115" i="6" a="1"/>
  <c r="AP115" i="6" s="1"/>
  <c r="AO115" i="6"/>
  <c r="AN115" i="6"/>
  <c r="AK115" i="6"/>
  <c r="AC115" i="6"/>
  <c r="AB115" i="6"/>
  <c r="CH114" i="6"/>
  <c r="CF114" i="6"/>
  <c r="AV114" i="6"/>
  <c r="AS114" i="6"/>
  <c r="AQ114" i="6"/>
  <c r="AP114" i="6"/>
  <c r="AP114" i="6" a="1"/>
  <c r="AO114" i="6"/>
  <c r="AN114" i="6"/>
  <c r="AK114" i="6"/>
  <c r="AC114" i="6"/>
  <c r="AB114" i="6"/>
  <c r="CH113" i="6"/>
  <c r="CF113" i="6"/>
  <c r="AV113" i="6"/>
  <c r="AS113" i="6"/>
  <c r="AQ113" i="6"/>
  <c r="AP113" i="6" a="1"/>
  <c r="AP113" i="6" s="1"/>
  <c r="AO113" i="6"/>
  <c r="AN113" i="6"/>
  <c r="AK113" i="6"/>
  <c r="AC113" i="6"/>
  <c r="AB113" i="6"/>
  <c r="CH112" i="6"/>
  <c r="CF112" i="6"/>
  <c r="AV112" i="6"/>
  <c r="AS112" i="6"/>
  <c r="AQ112" i="6"/>
  <c r="AP112" i="6"/>
  <c r="AP112" i="6" a="1"/>
  <c r="AO112" i="6"/>
  <c r="AN112" i="6"/>
  <c r="AK112" i="6"/>
  <c r="AC112" i="6"/>
  <c r="AB112" i="6"/>
  <c r="CH111" i="6"/>
  <c r="CF111" i="6"/>
  <c r="AV111" i="6"/>
  <c r="AS111" i="6"/>
  <c r="AQ111" i="6"/>
  <c r="AP111" i="6" a="1"/>
  <c r="AP111" i="6" s="1"/>
  <c r="AO111" i="6"/>
  <c r="AN111" i="6"/>
  <c r="AK111" i="6"/>
  <c r="AC111" i="6"/>
  <c r="AB111" i="6"/>
  <c r="CH110" i="6"/>
  <c r="CF110" i="6"/>
  <c r="AV110" i="6"/>
  <c r="AS110" i="6"/>
  <c r="AQ110" i="6"/>
  <c r="AP110" i="6"/>
  <c r="AP110" i="6" a="1"/>
  <c r="AO110" i="6"/>
  <c r="AN110" i="6"/>
  <c r="AK110" i="6"/>
  <c r="AC110" i="6"/>
  <c r="AB110" i="6"/>
  <c r="CH109" i="6"/>
  <c r="CF109" i="6"/>
  <c r="AV109" i="6"/>
  <c r="AS109" i="6"/>
  <c r="AQ109" i="6"/>
  <c r="AP109" i="6"/>
  <c r="AP109" i="6" a="1"/>
  <c r="AO109" i="6"/>
  <c r="AN109" i="6"/>
  <c r="AK109" i="6"/>
  <c r="AC109" i="6"/>
  <c r="AB109" i="6"/>
  <c r="CH108" i="6"/>
  <c r="CF108" i="6"/>
  <c r="AV108" i="6"/>
  <c r="AS108" i="6"/>
  <c r="AQ108" i="6"/>
  <c r="AP108" i="6"/>
  <c r="AP108" i="6" a="1"/>
  <c r="AO108" i="6"/>
  <c r="AN108" i="6"/>
  <c r="AK108" i="6"/>
  <c r="AC108" i="6"/>
  <c r="AB108" i="6"/>
  <c r="CH107" i="6"/>
  <c r="CF107" i="6"/>
  <c r="AV107" i="6"/>
  <c r="AS107" i="6"/>
  <c r="AQ107" i="6"/>
  <c r="AP107" i="6" a="1"/>
  <c r="AP107" i="6" s="1"/>
  <c r="AO107" i="6"/>
  <c r="AN107" i="6"/>
  <c r="AK107" i="6"/>
  <c r="AC107" i="6"/>
  <c r="AB107" i="6"/>
  <c r="CH106" i="6"/>
  <c r="CF106" i="6"/>
  <c r="AV106" i="6"/>
  <c r="AS106" i="6"/>
  <c r="AQ106" i="6"/>
  <c r="AP106" i="6" a="1"/>
  <c r="AP106" i="6" s="1"/>
  <c r="AO106" i="6"/>
  <c r="AN106" i="6"/>
  <c r="AK106" i="6"/>
  <c r="AC106" i="6"/>
  <c r="AB106" i="6"/>
  <c r="CH105" i="6"/>
  <c r="CF105" i="6"/>
  <c r="AV105" i="6"/>
  <c r="AS105" i="6"/>
  <c r="AQ105" i="6"/>
  <c r="AP105" i="6" a="1"/>
  <c r="AP105" i="6" s="1"/>
  <c r="AO105" i="6"/>
  <c r="AN105" i="6"/>
  <c r="AK105" i="6"/>
  <c r="AC105" i="6"/>
  <c r="AB105" i="6"/>
  <c r="CH104" i="6"/>
  <c r="CF104" i="6"/>
  <c r="AV104" i="6"/>
  <c r="AS104" i="6"/>
  <c r="AQ104" i="6"/>
  <c r="AP104" i="6" a="1"/>
  <c r="AP104" i="6" s="1"/>
  <c r="AO104" i="6"/>
  <c r="AN104" i="6"/>
  <c r="AK104" i="6"/>
  <c r="AC104" i="6"/>
  <c r="AB104" i="6"/>
  <c r="CH103" i="6"/>
  <c r="CF103" i="6"/>
  <c r="AV103" i="6"/>
  <c r="AS103" i="6"/>
  <c r="AQ103" i="6"/>
  <c r="AP103" i="6" a="1"/>
  <c r="AP103" i="6" s="1"/>
  <c r="AO103" i="6"/>
  <c r="AN103" i="6"/>
  <c r="AK103" i="6"/>
  <c r="AC103" i="6"/>
  <c r="AB103" i="6"/>
  <c r="CH102" i="6"/>
  <c r="CF102" i="6"/>
  <c r="AV102" i="6"/>
  <c r="AS102" i="6"/>
  <c r="AQ102" i="6"/>
  <c r="AP102" i="6"/>
  <c r="AP102" i="6" a="1"/>
  <c r="AO102" i="6"/>
  <c r="AN102" i="6"/>
  <c r="AK102" i="6"/>
  <c r="AC102" i="6"/>
  <c r="AB102" i="6"/>
  <c r="CH101" i="6"/>
  <c r="CF101" i="6"/>
  <c r="AV101" i="6"/>
  <c r="AS101" i="6"/>
  <c r="AQ101" i="6"/>
  <c r="AP101" i="6" a="1"/>
  <c r="AP101" i="6" s="1"/>
  <c r="AO101" i="6"/>
  <c r="AN101" i="6"/>
  <c r="AK101" i="6"/>
  <c r="AC101" i="6"/>
  <c r="AB101" i="6"/>
  <c r="CH100" i="6"/>
  <c r="CF100" i="6"/>
  <c r="AV100" i="6"/>
  <c r="AS100" i="6"/>
  <c r="AQ100" i="6"/>
  <c r="AP100" i="6"/>
  <c r="AP100" i="6" a="1"/>
  <c r="AO100" i="6"/>
  <c r="AN100" i="6"/>
  <c r="AK100" i="6"/>
  <c r="AC100" i="6"/>
  <c r="AB100" i="6"/>
  <c r="CH99" i="6"/>
  <c r="CF99" i="6"/>
  <c r="AV99" i="6"/>
  <c r="AS99" i="6"/>
  <c r="AQ99" i="6"/>
  <c r="AP99" i="6" a="1"/>
  <c r="AP99" i="6" s="1"/>
  <c r="AO99" i="6"/>
  <c r="AN99" i="6"/>
  <c r="AK99" i="6"/>
  <c r="AC99" i="6"/>
  <c r="AB99" i="6"/>
  <c r="CH98" i="6"/>
  <c r="CF98" i="6"/>
  <c r="AV98" i="6"/>
  <c r="AS98" i="6"/>
  <c r="AQ98" i="6"/>
  <c r="AP98" i="6"/>
  <c r="AP98" i="6" a="1"/>
  <c r="AO98" i="6"/>
  <c r="AN98" i="6"/>
  <c r="AK98" i="6"/>
  <c r="AC98" i="6"/>
  <c r="AB98" i="6"/>
  <c r="CH97" i="6"/>
  <c r="CF97" i="6"/>
  <c r="AV97" i="6"/>
  <c r="AS97" i="6"/>
  <c r="AQ97" i="6"/>
  <c r="AP97" i="6" a="1"/>
  <c r="AP97" i="6" s="1"/>
  <c r="AO97" i="6"/>
  <c r="AN97" i="6"/>
  <c r="AK97" i="6"/>
  <c r="AC97" i="6"/>
  <c r="AB97" i="6"/>
  <c r="CH96" i="6"/>
  <c r="CF96" i="6"/>
  <c r="AV96" i="6"/>
  <c r="AS96" i="6"/>
  <c r="AQ96" i="6"/>
  <c r="AP96" i="6"/>
  <c r="AP96" i="6" a="1"/>
  <c r="AO96" i="6"/>
  <c r="AN96" i="6"/>
  <c r="AK96" i="6"/>
  <c r="AC96" i="6"/>
  <c r="AB96" i="6"/>
  <c r="CH95" i="6"/>
  <c r="CF95" i="6"/>
  <c r="AV95" i="6"/>
  <c r="AS95" i="6"/>
  <c r="AQ95" i="6"/>
  <c r="AP95" i="6"/>
  <c r="AP95" i="6" a="1"/>
  <c r="AO95" i="6"/>
  <c r="AN95" i="6"/>
  <c r="AK95" i="6"/>
  <c r="AC95" i="6"/>
  <c r="AB95" i="6"/>
  <c r="CH94" i="6"/>
  <c r="CF94" i="6"/>
  <c r="AV94" i="6"/>
  <c r="AS94" i="6"/>
  <c r="AQ94" i="6"/>
  <c r="AP94" i="6"/>
  <c r="AP94" i="6" a="1"/>
  <c r="AO94" i="6"/>
  <c r="AN94" i="6"/>
  <c r="AK94" i="6"/>
  <c r="AC94" i="6"/>
  <c r="AB94" i="6"/>
  <c r="CH93" i="6"/>
  <c r="CF93" i="6"/>
  <c r="AV93" i="6"/>
  <c r="AS93" i="6"/>
  <c r="AQ93" i="6"/>
  <c r="AP93" i="6" a="1"/>
  <c r="AP93" i="6" s="1"/>
  <c r="AO93" i="6"/>
  <c r="AN93" i="6"/>
  <c r="AK93" i="6"/>
  <c r="AC93" i="6"/>
  <c r="AB93" i="6"/>
  <c r="CH92" i="6"/>
  <c r="CF92" i="6"/>
  <c r="AV92" i="6"/>
  <c r="AS92" i="6"/>
  <c r="AQ92" i="6"/>
  <c r="AP92" i="6" a="1"/>
  <c r="AP92" i="6" s="1"/>
  <c r="AO92" i="6"/>
  <c r="AN92" i="6"/>
  <c r="AK92" i="6"/>
  <c r="AC92" i="6"/>
  <c r="AB92" i="6"/>
  <c r="CH91" i="6"/>
  <c r="CF91" i="6"/>
  <c r="AV91" i="6"/>
  <c r="AS91" i="6"/>
  <c r="AQ91" i="6"/>
  <c r="AP91" i="6" a="1"/>
  <c r="AP91" i="6" s="1"/>
  <c r="AO91" i="6"/>
  <c r="AN91" i="6"/>
  <c r="AK91" i="6"/>
  <c r="AC91" i="6"/>
  <c r="AB91" i="6"/>
  <c r="CH90" i="6"/>
  <c r="CF90" i="6"/>
  <c r="AV90" i="6"/>
  <c r="AS90" i="6"/>
  <c r="AQ90" i="6"/>
  <c r="AP90" i="6" a="1"/>
  <c r="AP90" i="6" s="1"/>
  <c r="AO90" i="6"/>
  <c r="AN90" i="6"/>
  <c r="AK90" i="6"/>
  <c r="AC90" i="6"/>
  <c r="AB90" i="6"/>
  <c r="CH89" i="6"/>
  <c r="CF89" i="6"/>
  <c r="AV89" i="6"/>
  <c r="AS89" i="6"/>
  <c r="AQ89" i="6"/>
  <c r="AP89" i="6" a="1"/>
  <c r="AP89" i="6" s="1"/>
  <c r="AO89" i="6"/>
  <c r="AN89" i="6"/>
  <c r="AK89" i="6"/>
  <c r="AC89" i="6"/>
  <c r="AB89" i="6"/>
  <c r="CH88" i="6"/>
  <c r="CF88" i="6"/>
  <c r="AV88" i="6"/>
  <c r="AS88" i="6"/>
  <c r="AQ88" i="6"/>
  <c r="AP88" i="6"/>
  <c r="AP88" i="6" a="1"/>
  <c r="AO88" i="6"/>
  <c r="AN88" i="6"/>
  <c r="AK88" i="6"/>
  <c r="AC88" i="6"/>
  <c r="AB88" i="6"/>
  <c r="CH87" i="6"/>
  <c r="CF87" i="6"/>
  <c r="AV87" i="6"/>
  <c r="AS87" i="6"/>
  <c r="AQ87" i="6"/>
  <c r="AP87" i="6" a="1"/>
  <c r="AP87" i="6" s="1"/>
  <c r="AO87" i="6"/>
  <c r="AN87" i="6"/>
  <c r="AK87" i="6"/>
  <c r="AC87" i="6"/>
  <c r="AB87" i="6"/>
  <c r="CH86" i="6"/>
  <c r="CF86" i="6"/>
  <c r="AV86" i="6"/>
  <c r="AS86" i="6"/>
  <c r="AQ86" i="6"/>
  <c r="AP86" i="6"/>
  <c r="AP86" i="6" a="1"/>
  <c r="AO86" i="6"/>
  <c r="AN86" i="6"/>
  <c r="AK86" i="6"/>
  <c r="AC86" i="6"/>
  <c r="AB86" i="6"/>
  <c r="CH85" i="6"/>
  <c r="CF85" i="6"/>
  <c r="AV85" i="6"/>
  <c r="AS85" i="6"/>
  <c r="AQ85" i="6"/>
  <c r="AP85" i="6" a="1"/>
  <c r="AP85" i="6" s="1"/>
  <c r="AO85" i="6"/>
  <c r="AN85" i="6"/>
  <c r="AK85" i="6"/>
  <c r="AC85" i="6"/>
  <c r="AB85" i="6"/>
  <c r="CH84" i="6"/>
  <c r="CF84" i="6"/>
  <c r="AV84" i="6"/>
  <c r="AS84" i="6"/>
  <c r="AQ84" i="6"/>
  <c r="AP84" i="6"/>
  <c r="AP84" i="6" a="1"/>
  <c r="AO84" i="6"/>
  <c r="AN84" i="6"/>
  <c r="AK84" i="6"/>
  <c r="AC84" i="6"/>
  <c r="AB84" i="6"/>
  <c r="CH83" i="6"/>
  <c r="CF83" i="6"/>
  <c r="AV83" i="6"/>
  <c r="AS83" i="6"/>
  <c r="AQ83" i="6"/>
  <c r="AP83" i="6" a="1"/>
  <c r="AP83" i="6" s="1"/>
  <c r="AO83" i="6"/>
  <c r="AN83" i="6"/>
  <c r="AK83" i="6"/>
  <c r="AC83" i="6"/>
  <c r="AB83" i="6"/>
  <c r="CH82" i="6"/>
  <c r="CF82" i="6"/>
  <c r="AV82" i="6"/>
  <c r="AS82" i="6"/>
  <c r="AQ82" i="6"/>
  <c r="AP82" i="6"/>
  <c r="AP82" i="6" a="1"/>
  <c r="AO82" i="6"/>
  <c r="AN82" i="6"/>
  <c r="AK82" i="6"/>
  <c r="AC82" i="6"/>
  <c r="AB82" i="6"/>
  <c r="CH81" i="6"/>
  <c r="CF81" i="6"/>
  <c r="AV81" i="6"/>
  <c r="AS81" i="6"/>
  <c r="AQ81" i="6"/>
  <c r="AP81" i="6"/>
  <c r="AP81" i="6" a="1"/>
  <c r="AO81" i="6"/>
  <c r="AN81" i="6"/>
  <c r="AK81" i="6"/>
  <c r="AC81" i="6"/>
  <c r="AB81" i="6"/>
  <c r="CH80" i="6"/>
  <c r="CF80" i="6"/>
  <c r="AV80" i="6"/>
  <c r="AS80" i="6"/>
  <c r="AQ80" i="6"/>
  <c r="AP80" i="6"/>
  <c r="AP80" i="6" a="1"/>
  <c r="AO80" i="6"/>
  <c r="AN80" i="6"/>
  <c r="AK80" i="6"/>
  <c r="AC80" i="6"/>
  <c r="AB80" i="6"/>
  <c r="CH79" i="6"/>
  <c r="CF79" i="6"/>
  <c r="AV79" i="6"/>
  <c r="AS79" i="6"/>
  <c r="AQ79" i="6"/>
  <c r="AP79" i="6" a="1"/>
  <c r="AP79" i="6" s="1"/>
  <c r="AO79" i="6"/>
  <c r="AN79" i="6"/>
  <c r="AK79" i="6"/>
  <c r="AC79" i="6"/>
  <c r="AB79" i="6"/>
  <c r="CH78" i="6"/>
  <c r="CF78" i="6"/>
  <c r="AV78" i="6"/>
  <c r="AS78" i="6"/>
  <c r="AQ78" i="6"/>
  <c r="AP78" i="6" a="1"/>
  <c r="AP78" i="6" s="1"/>
  <c r="AO78" i="6"/>
  <c r="AN78" i="6"/>
  <c r="AK78" i="6"/>
  <c r="AC78" i="6"/>
  <c r="AB78" i="6"/>
  <c r="CH77" i="6"/>
  <c r="CF77" i="6"/>
  <c r="AV77" i="6"/>
  <c r="AS77" i="6"/>
  <c r="AQ77" i="6"/>
  <c r="AP77" i="6" a="1"/>
  <c r="AP77" i="6" s="1"/>
  <c r="AO77" i="6"/>
  <c r="AN77" i="6"/>
  <c r="AK77" i="6"/>
  <c r="AC77" i="6"/>
  <c r="AB77" i="6"/>
  <c r="CH76" i="6"/>
  <c r="CF76" i="6"/>
  <c r="AV76" i="6"/>
  <c r="AS76" i="6"/>
  <c r="AQ76" i="6"/>
  <c r="AP76" i="6" a="1"/>
  <c r="AP76" i="6" s="1"/>
  <c r="AO76" i="6"/>
  <c r="AN76" i="6"/>
  <c r="AK76" i="6"/>
  <c r="AC76" i="6"/>
  <c r="AB76" i="6"/>
  <c r="CH75" i="6"/>
  <c r="CF75" i="6"/>
  <c r="AV75" i="6"/>
  <c r="AS75" i="6"/>
  <c r="AQ75" i="6"/>
  <c r="AP75" i="6" a="1"/>
  <c r="AP75" i="6" s="1"/>
  <c r="AO75" i="6"/>
  <c r="AN75" i="6"/>
  <c r="AK75" i="6"/>
  <c r="AC75" i="6"/>
  <c r="AB75" i="6"/>
  <c r="CH74" i="6"/>
  <c r="CF74" i="6"/>
  <c r="AV74" i="6"/>
  <c r="AS74" i="6"/>
  <c r="AQ74" i="6"/>
  <c r="AP74" i="6"/>
  <c r="AP74" i="6" a="1"/>
  <c r="AO74" i="6"/>
  <c r="AN74" i="6"/>
  <c r="AK74" i="6"/>
  <c r="AC74" i="6"/>
  <c r="AB74" i="6"/>
  <c r="CH73" i="6"/>
  <c r="CF73" i="6"/>
  <c r="AV73" i="6"/>
  <c r="AS73" i="6"/>
  <c r="AQ73" i="6"/>
  <c r="AP73" i="6" a="1"/>
  <c r="AP73" i="6" s="1"/>
  <c r="AO73" i="6"/>
  <c r="AN73" i="6"/>
  <c r="AK73" i="6"/>
  <c r="AC73" i="6"/>
  <c r="AB73" i="6"/>
  <c r="CH72" i="6"/>
  <c r="CF72" i="6"/>
  <c r="AV72" i="6"/>
  <c r="AS72" i="6"/>
  <c r="AQ72" i="6"/>
  <c r="AP72" i="6"/>
  <c r="AP72" i="6" a="1"/>
  <c r="AO72" i="6"/>
  <c r="AN72" i="6"/>
  <c r="AK72" i="6"/>
  <c r="AC72" i="6"/>
  <c r="AB72" i="6"/>
  <c r="CH71" i="6"/>
  <c r="CF71" i="6"/>
  <c r="AV71" i="6"/>
  <c r="AS71" i="6"/>
  <c r="AQ71" i="6"/>
  <c r="AP71" i="6" a="1"/>
  <c r="AP71" i="6" s="1"/>
  <c r="AO71" i="6"/>
  <c r="AN71" i="6"/>
  <c r="AK71" i="6"/>
  <c r="AC71" i="6"/>
  <c r="AB71" i="6"/>
  <c r="CH70" i="6"/>
  <c r="CF70" i="6"/>
  <c r="AV70" i="6"/>
  <c r="AS70" i="6"/>
  <c r="AQ70" i="6"/>
  <c r="AP70" i="6"/>
  <c r="AP70" i="6" a="1"/>
  <c r="AO70" i="6"/>
  <c r="AN70" i="6"/>
  <c r="AK70" i="6"/>
  <c r="AC70" i="6"/>
  <c r="AB70" i="6"/>
  <c r="CH69" i="6"/>
  <c r="CF69" i="6"/>
  <c r="AV69" i="6"/>
  <c r="AS69" i="6"/>
  <c r="AQ69" i="6"/>
  <c r="AP69" i="6" a="1"/>
  <c r="AP69" i="6" s="1"/>
  <c r="AO69" i="6"/>
  <c r="AN69" i="6"/>
  <c r="AK69" i="6"/>
  <c r="AC69" i="6"/>
  <c r="AB69" i="6"/>
  <c r="CH68" i="6"/>
  <c r="CF68" i="6"/>
  <c r="AV68" i="6"/>
  <c r="AS68" i="6"/>
  <c r="AQ68" i="6"/>
  <c r="AP68" i="6"/>
  <c r="AP68" i="6" a="1"/>
  <c r="AO68" i="6"/>
  <c r="AN68" i="6"/>
  <c r="AK68" i="6"/>
  <c r="AC68" i="6"/>
  <c r="AB68" i="6"/>
  <c r="CH67" i="6"/>
  <c r="CF67" i="6"/>
  <c r="AV67" i="6"/>
  <c r="AS67" i="6"/>
  <c r="AQ67" i="6"/>
  <c r="AP67" i="6"/>
  <c r="AP67" i="6" a="1"/>
  <c r="AO67" i="6"/>
  <c r="AN67" i="6"/>
  <c r="AK67" i="6"/>
  <c r="AC67" i="6"/>
  <c r="AB67" i="6"/>
  <c r="CH66" i="6"/>
  <c r="CF66" i="6"/>
  <c r="AV66" i="6"/>
  <c r="AS66" i="6"/>
  <c r="AQ66" i="6"/>
  <c r="AP66" i="6"/>
  <c r="AP66" i="6" a="1"/>
  <c r="AO66" i="6"/>
  <c r="AN66" i="6"/>
  <c r="AK66" i="6"/>
  <c r="AC66" i="6"/>
  <c r="AB66" i="6"/>
  <c r="CH65" i="6"/>
  <c r="CF65" i="6"/>
  <c r="AV65" i="6"/>
  <c r="AS65" i="6"/>
  <c r="AQ65" i="6"/>
  <c r="AP65" i="6" a="1"/>
  <c r="AP65" i="6" s="1"/>
  <c r="AO65" i="6"/>
  <c r="AN65" i="6"/>
  <c r="AK65" i="6"/>
  <c r="AC65" i="6"/>
  <c r="AB65" i="6"/>
  <c r="CH64" i="6"/>
  <c r="CF64" i="6"/>
  <c r="AV64" i="6"/>
  <c r="AS64" i="6"/>
  <c r="AQ64" i="6"/>
  <c r="AP64" i="6" a="1"/>
  <c r="AP64" i="6" s="1"/>
  <c r="AO64" i="6"/>
  <c r="AN64" i="6"/>
  <c r="AK64" i="6"/>
  <c r="AC64" i="6"/>
  <c r="AB64" i="6"/>
  <c r="CH63" i="6"/>
  <c r="CF63" i="6"/>
  <c r="AV63" i="6"/>
  <c r="AS63" i="6"/>
  <c r="AQ63" i="6"/>
  <c r="AP63" i="6" a="1"/>
  <c r="AP63" i="6" s="1"/>
  <c r="AO63" i="6"/>
  <c r="AN63" i="6"/>
  <c r="AK63" i="6"/>
  <c r="AC63" i="6"/>
  <c r="AB63" i="6"/>
  <c r="CH62" i="6"/>
  <c r="CF62" i="6"/>
  <c r="AV62" i="6"/>
  <c r="AS62" i="6"/>
  <c r="AQ62" i="6"/>
  <c r="AP62" i="6" a="1"/>
  <c r="AP62" i="6" s="1"/>
  <c r="AO62" i="6"/>
  <c r="AN62" i="6"/>
  <c r="AK62" i="6"/>
  <c r="AC62" i="6"/>
  <c r="AB62" i="6"/>
  <c r="CH61" i="6"/>
  <c r="CF61" i="6"/>
  <c r="AV61" i="6"/>
  <c r="AS61" i="6"/>
  <c r="AQ61" i="6"/>
  <c r="AP61" i="6" a="1"/>
  <c r="AP61" i="6" s="1"/>
  <c r="AO61" i="6"/>
  <c r="AN61" i="6"/>
  <c r="AK61" i="6"/>
  <c r="AC61" i="6"/>
  <c r="AB61" i="6"/>
  <c r="CH60" i="6"/>
  <c r="CF60" i="6"/>
  <c r="AV60" i="6"/>
  <c r="AS60" i="6"/>
  <c r="AQ60" i="6"/>
  <c r="AP60" i="6"/>
  <c r="AP60" i="6" a="1"/>
  <c r="AO60" i="6"/>
  <c r="AN60" i="6"/>
  <c r="AK60" i="6"/>
  <c r="AC60" i="6"/>
  <c r="AB60" i="6"/>
  <c r="CH59" i="6"/>
  <c r="CF59" i="6"/>
  <c r="AV59" i="6"/>
  <c r="AS59" i="6"/>
  <c r="AQ59" i="6"/>
  <c r="AP59" i="6" a="1"/>
  <c r="AP59" i="6" s="1"/>
  <c r="AO59" i="6"/>
  <c r="AN59" i="6"/>
  <c r="AK59" i="6"/>
  <c r="AC59" i="6"/>
  <c r="AB59" i="6"/>
  <c r="CH58" i="6"/>
  <c r="CF58" i="6"/>
  <c r="AV58" i="6"/>
  <c r="AS58" i="6"/>
  <c r="AQ58" i="6"/>
  <c r="AP58" i="6"/>
  <c r="AP58" i="6" a="1"/>
  <c r="AO58" i="6"/>
  <c r="AN58" i="6"/>
  <c r="AK58" i="6"/>
  <c r="AC58" i="6"/>
  <c r="AB58" i="6"/>
  <c r="CH57" i="6"/>
  <c r="CF57" i="6"/>
  <c r="AV57" i="6"/>
  <c r="AS57" i="6"/>
  <c r="AQ57" i="6"/>
  <c r="AP57" i="6" a="1"/>
  <c r="AP57" i="6" s="1"/>
  <c r="AO57" i="6"/>
  <c r="AN57" i="6"/>
  <c r="AK57" i="6"/>
  <c r="AC57" i="6"/>
  <c r="AB57" i="6"/>
  <c r="CH56" i="6"/>
  <c r="CF56" i="6"/>
  <c r="AV56" i="6"/>
  <c r="AS56" i="6"/>
  <c r="AQ56" i="6"/>
  <c r="AP56" i="6"/>
  <c r="AP56" i="6" a="1"/>
  <c r="AO56" i="6"/>
  <c r="AN56" i="6"/>
  <c r="AK56" i="6"/>
  <c r="AC56" i="6"/>
  <c r="AB56" i="6"/>
  <c r="CH55" i="6"/>
  <c r="CF55" i="6"/>
  <c r="AV55" i="6"/>
  <c r="AS55" i="6"/>
  <c r="AQ55" i="6"/>
  <c r="AP55" i="6" a="1"/>
  <c r="AP55" i="6" s="1"/>
  <c r="AO55" i="6"/>
  <c r="AN55" i="6"/>
  <c r="AK55" i="6"/>
  <c r="AC55" i="6"/>
  <c r="AB55" i="6"/>
  <c r="CH54" i="6"/>
  <c r="CF54" i="6"/>
  <c r="AV54" i="6"/>
  <c r="AS54" i="6"/>
  <c r="AQ54" i="6"/>
  <c r="AP54" i="6"/>
  <c r="AP54" i="6" a="1"/>
  <c r="AO54" i="6"/>
  <c r="AN54" i="6"/>
  <c r="AK54" i="6"/>
  <c r="AC54" i="6"/>
  <c r="AB54" i="6"/>
  <c r="CH53" i="6"/>
  <c r="CF53" i="6"/>
  <c r="AV53" i="6"/>
  <c r="AS53" i="6"/>
  <c r="AQ53" i="6"/>
  <c r="AP53" i="6"/>
  <c r="AP53" i="6" a="1"/>
  <c r="AO53" i="6"/>
  <c r="AN53" i="6"/>
  <c r="AK53" i="6"/>
  <c r="AC53" i="6"/>
  <c r="AB53" i="6"/>
  <c r="CH52" i="6"/>
  <c r="CF52" i="6"/>
  <c r="AV52" i="6"/>
  <c r="AS52" i="6"/>
  <c r="AQ52" i="6"/>
  <c r="AP52" i="6"/>
  <c r="AP52" i="6" a="1"/>
  <c r="AO52" i="6"/>
  <c r="AN52" i="6"/>
  <c r="AK52" i="6"/>
  <c r="AC52" i="6"/>
  <c r="AB52" i="6"/>
  <c r="CH51" i="6"/>
  <c r="AV51" i="6"/>
  <c r="AS51" i="6"/>
  <c r="AR51" i="6"/>
  <c r="AQ51" i="6"/>
  <c r="AP51" i="6"/>
  <c r="AP51" i="6" a="1"/>
  <c r="AB51" i="6"/>
  <c r="A51" i="6"/>
  <c r="AO51" i="6" s="1"/>
  <c r="CH50" i="6"/>
  <c r="CF50" i="6"/>
  <c r="AV50" i="6"/>
  <c r="AS50" i="6"/>
  <c r="AR50" i="6"/>
  <c r="AQ50" i="6"/>
  <c r="AB50" i="6"/>
  <c r="A50" i="6"/>
  <c r="AP50" i="6" s="1" a="1"/>
  <c r="AP50" i="6" s="1"/>
  <c r="CH49" i="6"/>
  <c r="CF49" i="6"/>
  <c r="AV49" i="6"/>
  <c r="AS49" i="6"/>
  <c r="AB49" i="6"/>
  <c r="A49" i="6"/>
  <c r="AR49" i="6" s="1"/>
  <c r="CH48" i="6"/>
  <c r="AB48" i="6"/>
  <c r="A48" i="6"/>
  <c r="AV48" i="6" s="1"/>
  <c r="CH47" i="6"/>
  <c r="AR47" i="6"/>
  <c r="AQ47" i="6"/>
  <c r="AP47" i="6"/>
  <c r="AP47" i="6" a="1"/>
  <c r="AO47" i="6"/>
  <c r="AN47" i="6"/>
  <c r="AM47" i="6"/>
  <c r="AK47" i="6"/>
  <c r="AC47" i="6"/>
  <c r="AB47" i="6"/>
  <c r="A47" i="6"/>
  <c r="CF47" i="6" s="1"/>
  <c r="CH46" i="6"/>
  <c r="AV46" i="6"/>
  <c r="AS46" i="6"/>
  <c r="AR46" i="6"/>
  <c r="AQ46" i="6"/>
  <c r="AP46" i="6" a="1"/>
  <c r="AP46" i="6" s="1"/>
  <c r="AO46" i="6"/>
  <c r="AN46" i="6"/>
  <c r="AM46" i="6"/>
  <c r="AK46" i="6"/>
  <c r="AC46" i="6"/>
  <c r="AB46" i="6"/>
  <c r="A46" i="6"/>
  <c r="CF46" i="6" s="1"/>
  <c r="CH45" i="6"/>
  <c r="AV45" i="6"/>
  <c r="AR45" i="6"/>
  <c r="AQ45" i="6"/>
  <c r="AP45" i="6" a="1"/>
  <c r="AP45" i="6" s="1"/>
  <c r="AO45" i="6"/>
  <c r="AN45" i="6"/>
  <c r="AB45" i="6"/>
  <c r="A45" i="6"/>
  <c r="AM45" i="6" s="1"/>
  <c r="CH44" i="6"/>
  <c r="AV44" i="6"/>
  <c r="AS44" i="6"/>
  <c r="AR44" i="6"/>
  <c r="AQ44" i="6"/>
  <c r="AP44" i="6" a="1"/>
  <c r="AP44" i="6" s="1"/>
  <c r="AB44" i="6"/>
  <c r="A44" i="6"/>
  <c r="AO44" i="6" s="1"/>
  <c r="CH43" i="6"/>
  <c r="CF43" i="6"/>
  <c r="AV43" i="6"/>
  <c r="AS43" i="6"/>
  <c r="AR43" i="6"/>
  <c r="AQ43" i="6"/>
  <c r="AB43" i="6"/>
  <c r="A43" i="6"/>
  <c r="AP43" i="6" s="1" a="1"/>
  <c r="AP43" i="6" s="1"/>
  <c r="CH42" i="6"/>
  <c r="CF42" i="6"/>
  <c r="AV42" i="6"/>
  <c r="AS42" i="6"/>
  <c r="AB42" i="6"/>
  <c r="A42" i="6"/>
  <c r="AR42" i="6" s="1"/>
  <c r="CH41" i="6"/>
  <c r="CF41" i="6"/>
  <c r="AB41" i="6"/>
  <c r="A41" i="6"/>
  <c r="AV41" i="6" s="1"/>
  <c r="CH40" i="6"/>
  <c r="CF40" i="6"/>
  <c r="AS40" i="6"/>
  <c r="AR40" i="6"/>
  <c r="AQ40" i="6"/>
  <c r="AP40" i="6"/>
  <c r="AP40" i="6" a="1"/>
  <c r="AO40" i="6"/>
  <c r="AN40" i="6"/>
  <c r="AM40" i="6"/>
  <c r="AK40" i="6"/>
  <c r="AC40" i="6"/>
  <c r="AB40" i="6"/>
  <c r="A40" i="6"/>
  <c r="AV40" i="6" s="1"/>
  <c r="CH39" i="6"/>
  <c r="CF39" i="6"/>
  <c r="AV39" i="6"/>
  <c r="AS39" i="6"/>
  <c r="AR39" i="6"/>
  <c r="AQ39" i="6"/>
  <c r="AP39" i="6" a="1"/>
  <c r="AP39" i="6" s="1"/>
  <c r="AO39" i="6"/>
  <c r="AN39" i="6"/>
  <c r="AM39" i="6"/>
  <c r="AK39" i="6"/>
  <c r="AB39" i="6"/>
  <c r="A39" i="6"/>
  <c r="AC39" i="6" s="1"/>
  <c r="CH38" i="6"/>
  <c r="AV38" i="6"/>
  <c r="AR38" i="6"/>
  <c r="AQ38" i="6"/>
  <c r="AP38" i="6" a="1"/>
  <c r="AP38" i="6" s="1"/>
  <c r="AO38" i="6"/>
  <c r="AN38" i="6"/>
  <c r="AB38" i="6"/>
  <c r="A38" i="6"/>
  <c r="AM38" i="6" s="1"/>
  <c r="CH37" i="6"/>
  <c r="AV37" i="6"/>
  <c r="AS37" i="6"/>
  <c r="AR37" i="6"/>
  <c r="AQ37" i="6"/>
  <c r="AP37" i="6" a="1"/>
  <c r="AP37" i="6" s="1"/>
  <c r="AB37" i="6"/>
  <c r="A37" i="6"/>
  <c r="AO37" i="6" s="1"/>
  <c r="CH36" i="6"/>
  <c r="CF36" i="6"/>
  <c r="AV36" i="6"/>
  <c r="AS36" i="6"/>
  <c r="AR36" i="6"/>
  <c r="AQ36" i="6"/>
  <c r="AB36" i="6"/>
  <c r="A36" i="6"/>
  <c r="AP36" i="6" s="1" a="1"/>
  <c r="AP36" i="6" s="1"/>
  <c r="CH35" i="6"/>
  <c r="CF35" i="6"/>
  <c r="AV35" i="6"/>
  <c r="AS35" i="6"/>
  <c r="AB35" i="6"/>
  <c r="A35" i="6"/>
  <c r="AR35" i="6" s="1"/>
  <c r="CH34" i="6"/>
  <c r="CF34" i="6"/>
  <c r="AB34" i="6"/>
  <c r="A34" i="6"/>
  <c r="AV34" i="6" s="1"/>
  <c r="CH33" i="6"/>
  <c r="CF33" i="6"/>
  <c r="AS33" i="6"/>
  <c r="AR33" i="6"/>
  <c r="AQ33" i="6"/>
  <c r="AP33" i="6"/>
  <c r="AP33" i="6" a="1"/>
  <c r="AO33" i="6"/>
  <c r="AN33" i="6"/>
  <c r="AM33" i="6"/>
  <c r="AK33" i="6"/>
  <c r="AC33" i="6"/>
  <c r="AB33" i="6"/>
  <c r="A33" i="6"/>
  <c r="AV33" i="6" s="1"/>
  <c r="CH32" i="6"/>
  <c r="CF32" i="6"/>
  <c r="AV32" i="6"/>
  <c r="AS32" i="6"/>
  <c r="AR32" i="6"/>
  <c r="AQ32" i="6"/>
  <c r="AP32" i="6" a="1"/>
  <c r="AP32" i="6" s="1"/>
  <c r="AO32" i="6"/>
  <c r="AN32" i="6"/>
  <c r="AM32" i="6"/>
  <c r="AK32" i="6"/>
  <c r="AC32" i="6"/>
  <c r="AB32" i="6"/>
  <c r="A32" i="6"/>
  <c r="CH31" i="6"/>
  <c r="AV31" i="6"/>
  <c r="AR31" i="6"/>
  <c r="AQ31" i="6"/>
  <c r="AP31" i="6" a="1"/>
  <c r="AP31" i="6" s="1"/>
  <c r="AO31" i="6"/>
  <c r="AN31" i="6"/>
  <c r="AB31" i="6"/>
  <c r="A31" i="6"/>
  <c r="AM31" i="6" s="1"/>
  <c r="CH30" i="6"/>
  <c r="AV30" i="6"/>
  <c r="AS30" i="6"/>
  <c r="AR30" i="6"/>
  <c r="AQ30" i="6"/>
  <c r="AP30" i="6" a="1"/>
  <c r="AP30" i="6" s="1"/>
  <c r="AB30" i="6"/>
  <c r="A30" i="6"/>
  <c r="AO30" i="6" s="1"/>
  <c r="CH29" i="6"/>
  <c r="CF29" i="6"/>
  <c r="AV29" i="6"/>
  <c r="AS29" i="6"/>
  <c r="AR29" i="6"/>
  <c r="AQ29" i="6"/>
  <c r="AB29" i="6"/>
  <c r="A29" i="6"/>
  <c r="AP29" i="6" s="1" a="1"/>
  <c r="AP29" i="6" s="1"/>
  <c r="CH28" i="6"/>
  <c r="CF28" i="6"/>
  <c r="AV28" i="6"/>
  <c r="AS28" i="6"/>
  <c r="AB28" i="6"/>
  <c r="A28" i="6"/>
  <c r="AR28" i="6" s="1"/>
  <c r="CH27" i="6"/>
  <c r="CF27" i="6"/>
  <c r="AB27" i="6"/>
  <c r="A27" i="6"/>
  <c r="AV27" i="6" s="1"/>
  <c r="CH26" i="6"/>
  <c r="CF26" i="6"/>
  <c r="AS26" i="6"/>
  <c r="AR26" i="6"/>
  <c r="AQ26" i="6"/>
  <c r="AP26" i="6"/>
  <c r="AP26" i="6" a="1"/>
  <c r="AO26" i="6"/>
  <c r="AN26" i="6"/>
  <c r="AM26" i="6"/>
  <c r="AK26" i="6"/>
  <c r="AC26" i="6"/>
  <c r="AB26" i="6"/>
  <c r="A26" i="6"/>
  <c r="AV26" i="6" s="1"/>
  <c r="CH25" i="6"/>
  <c r="CF25" i="6"/>
  <c r="AV25" i="6"/>
  <c r="AS25" i="6"/>
  <c r="AR25" i="6"/>
  <c r="AQ25" i="6"/>
  <c r="AP25" i="6" a="1"/>
  <c r="AP25" i="6" s="1"/>
  <c r="AO25" i="6"/>
  <c r="AN25" i="6"/>
  <c r="AM25" i="6"/>
  <c r="AK25" i="6"/>
  <c r="AC25" i="6"/>
  <c r="AB25" i="6"/>
  <c r="A25" i="6"/>
  <c r="CH24" i="6"/>
  <c r="AV24" i="6"/>
  <c r="AR24" i="6"/>
  <c r="AQ24" i="6"/>
  <c r="AP24" i="6" a="1"/>
  <c r="AP24" i="6" s="1"/>
  <c r="AO24" i="6"/>
  <c r="AN24" i="6"/>
  <c r="AB24" i="6"/>
  <c r="A24" i="6"/>
  <c r="AM24" i="6" s="1"/>
  <c r="CH23" i="6"/>
  <c r="AV23" i="6"/>
  <c r="AS23" i="6"/>
  <c r="AR23" i="6"/>
  <c r="AQ23" i="6"/>
  <c r="AP23" i="6" a="1"/>
  <c r="AP23" i="6" s="1"/>
  <c r="AB23" i="6"/>
  <c r="A23" i="6"/>
  <c r="AO23" i="6" s="1"/>
  <c r="CH22" i="6"/>
  <c r="CF22" i="6"/>
  <c r="AV22" i="6"/>
  <c r="AS22" i="6"/>
  <c r="AR22" i="6"/>
  <c r="AQ22" i="6"/>
  <c r="AB22" i="6"/>
  <c r="A22" i="6"/>
  <c r="AP22" i="6" s="1" a="1"/>
  <c r="AP22" i="6" s="1"/>
  <c r="CH21" i="6"/>
  <c r="CF21" i="6"/>
  <c r="AV21" i="6"/>
  <c r="AS21" i="6"/>
  <c r="AB21" i="6"/>
  <c r="A21" i="6"/>
  <c r="AR21" i="6" s="1"/>
  <c r="CH20" i="6"/>
  <c r="CF20" i="6"/>
  <c r="AB20" i="6"/>
  <c r="A20" i="6"/>
  <c r="AV20" i="6" s="1"/>
  <c r="CH19" i="6"/>
  <c r="CF19" i="6"/>
  <c r="AS19" i="6"/>
  <c r="AR19" i="6"/>
  <c r="AQ19" i="6"/>
  <c r="AP19" i="6" a="1"/>
  <c r="AP19" i="6" s="1"/>
  <c r="AO19" i="6"/>
  <c r="AN19" i="6"/>
  <c r="AM19" i="6"/>
  <c r="AK19" i="6"/>
  <c r="AC19" i="6"/>
  <c r="AB19" i="6"/>
  <c r="A19" i="6"/>
  <c r="AV19" i="6" s="1"/>
  <c r="CH18" i="6"/>
  <c r="CF18" i="6"/>
  <c r="AV18" i="6"/>
  <c r="AS18" i="6"/>
  <c r="AR18" i="6"/>
  <c r="AQ18" i="6"/>
  <c r="AP18" i="6" a="1"/>
  <c r="AP18" i="6" s="1"/>
  <c r="AO18" i="6"/>
  <c r="AN18" i="6"/>
  <c r="AM18" i="6"/>
  <c r="AK18" i="6"/>
  <c r="AC18" i="6"/>
  <c r="AB18" i="6"/>
  <c r="A18" i="6"/>
  <c r="CH17" i="6"/>
  <c r="CF17" i="6"/>
  <c r="AV17" i="6"/>
  <c r="AS17" i="6"/>
  <c r="AR17" i="6"/>
  <c r="AQ17" i="6"/>
  <c r="AP17" i="6" a="1"/>
  <c r="AP17" i="6" s="1"/>
  <c r="AO17" i="6"/>
  <c r="AN17" i="6"/>
  <c r="AB17" i="6"/>
  <c r="A17" i="6"/>
  <c r="AM17" i="6" s="1"/>
  <c r="CH16" i="6"/>
  <c r="CF16" i="6"/>
  <c r="AV16" i="6"/>
  <c r="AS16" i="6"/>
  <c r="AR16" i="6"/>
  <c r="AQ16" i="6"/>
  <c r="AP16" i="6" a="1"/>
  <c r="AP16" i="6" s="1"/>
  <c r="AB16" i="6"/>
  <c r="A16" i="6"/>
  <c r="AO16" i="6" s="1"/>
  <c r="CH15" i="6"/>
  <c r="AS15" i="6"/>
  <c r="AR15" i="6"/>
  <c r="CF15" i="6" s="1"/>
  <c r="AQ15" i="6"/>
  <c r="AB15" i="6"/>
  <c r="A15" i="6"/>
  <c r="AK15" i="6" s="1"/>
  <c r="CH14" i="6"/>
  <c r="AS14" i="6"/>
  <c r="AB14" i="6"/>
  <c r="A14" i="6"/>
  <c r="AR14" i="6" s="1"/>
  <c r="CH13" i="6"/>
  <c r="AB13" i="6"/>
  <c r="A13" i="6"/>
  <c r="CL12" i="6"/>
  <c r="CK12" i="6"/>
  <c r="CH12" i="6"/>
  <c r="AS12" i="6"/>
  <c r="AR12" i="6"/>
  <c r="AV12" i="6" s="1"/>
  <c r="AQ12" i="6"/>
  <c r="AO12" i="6"/>
  <c r="AP12" i="6" s="1" a="1"/>
  <c r="AP12" i="6" s="1"/>
  <c r="AB12" i="6"/>
  <c r="A12" i="6"/>
  <c r="AN12" i="6" s="1"/>
  <c r="BT10" i="6"/>
  <c r="X10" i="6"/>
  <c r="B10" i="6"/>
  <c r="A10" i="6"/>
  <c r="B201" i="5"/>
  <c r="H200" i="5"/>
  <c r="F200" i="5"/>
  <c r="D200" i="5"/>
  <c r="B200" i="5"/>
  <c r="H199" i="5"/>
  <c r="F199" i="5"/>
  <c r="D199" i="5"/>
  <c r="B199" i="5"/>
  <c r="H198" i="5"/>
  <c r="F198" i="5"/>
  <c r="B198" i="5"/>
  <c r="F197" i="5"/>
  <c r="D197" i="5"/>
  <c r="B197" i="5"/>
  <c r="H196" i="5"/>
  <c r="F196" i="5"/>
  <c r="D196" i="5"/>
  <c r="B196" i="5"/>
  <c r="H195" i="5"/>
  <c r="F195" i="5"/>
  <c r="D195" i="5"/>
  <c r="B195" i="5"/>
  <c r="F194" i="5"/>
  <c r="B194" i="5"/>
  <c r="H193" i="5"/>
  <c r="F193" i="5"/>
  <c r="D193" i="5"/>
  <c r="B193" i="5"/>
  <c r="B192" i="5"/>
  <c r="H187" i="5"/>
  <c r="F187" i="5"/>
  <c r="H185" i="5"/>
  <c r="H201" i="5" s="1"/>
  <c r="F185" i="5"/>
  <c r="F201" i="5" s="1"/>
  <c r="D185" i="5"/>
  <c r="D198" i="5" s="1"/>
  <c r="B183" i="5"/>
  <c r="H181" i="5"/>
  <c r="H183" i="5" s="1"/>
  <c r="F181" i="5"/>
  <c r="F183" i="5" s="1"/>
  <c r="D181" i="5"/>
  <c r="D183" i="5" s="1"/>
  <c r="B181" i="5"/>
  <c r="H174" i="5"/>
  <c r="F174" i="5"/>
  <c r="D174" i="5"/>
  <c r="B174" i="5"/>
  <c r="H173" i="5"/>
  <c r="F173" i="5"/>
  <c r="D173" i="5"/>
  <c r="B173" i="5"/>
  <c r="H172" i="5"/>
  <c r="F172" i="5"/>
  <c r="D172" i="5"/>
  <c r="B172" i="5"/>
  <c r="H171" i="5"/>
  <c r="F171" i="5"/>
  <c r="D171" i="5"/>
  <c r="B171" i="5"/>
  <c r="H170" i="5"/>
  <c r="F170" i="5"/>
  <c r="D170" i="5"/>
  <c r="B170" i="5"/>
  <c r="H169" i="5"/>
  <c r="F169" i="5"/>
  <c r="D169" i="5"/>
  <c r="B169" i="5"/>
  <c r="H168" i="5"/>
  <c r="F168" i="5"/>
  <c r="D168" i="5"/>
  <c r="B168" i="5"/>
  <c r="H167" i="5"/>
  <c r="F167" i="5"/>
  <c r="D167" i="5"/>
  <c r="B167" i="5"/>
  <c r="H166" i="5"/>
  <c r="F166" i="5"/>
  <c r="D166" i="5"/>
  <c r="B166" i="5"/>
  <c r="H165" i="5"/>
  <c r="F165" i="5"/>
  <c r="D165" i="5"/>
  <c r="B165" i="5"/>
  <c r="H164" i="5"/>
  <c r="F164" i="5"/>
  <c r="D164" i="5"/>
  <c r="B164" i="5"/>
  <c r="H163" i="5"/>
  <c r="F163" i="5"/>
  <c r="D163" i="5"/>
  <c r="B163" i="5"/>
  <c r="H162" i="5"/>
  <c r="F162" i="5"/>
  <c r="D162" i="5"/>
  <c r="B162" i="5"/>
  <c r="H161" i="5"/>
  <c r="F161" i="5"/>
  <c r="D161" i="5"/>
  <c r="B161" i="5"/>
  <c r="H160" i="5"/>
  <c r="F160" i="5"/>
  <c r="D160" i="5"/>
  <c r="B160" i="5"/>
  <c r="H159" i="5"/>
  <c r="F159" i="5"/>
  <c r="D159" i="5"/>
  <c r="B159" i="5"/>
  <c r="H158" i="5"/>
  <c r="F158" i="5"/>
  <c r="D158" i="5"/>
  <c r="B158" i="5"/>
  <c r="H157" i="5"/>
  <c r="F157" i="5"/>
  <c r="D157" i="5"/>
  <c r="B157" i="5"/>
  <c r="H156" i="5"/>
  <c r="F156" i="5"/>
  <c r="D156" i="5"/>
  <c r="B156" i="5"/>
  <c r="H155" i="5"/>
  <c r="F155" i="5"/>
  <c r="D155" i="5"/>
  <c r="B155" i="5"/>
  <c r="H154" i="5"/>
  <c r="F154" i="5"/>
  <c r="D154" i="5"/>
  <c r="B154" i="5"/>
  <c r="H153" i="5"/>
  <c r="F153" i="5"/>
  <c r="D153" i="5"/>
  <c r="B153" i="5"/>
  <c r="H152" i="5"/>
  <c r="F152" i="5"/>
  <c r="D152" i="5"/>
  <c r="B152" i="5"/>
  <c r="H151" i="5"/>
  <c r="F151" i="5"/>
  <c r="D151" i="5"/>
  <c r="B151" i="5"/>
  <c r="H150" i="5"/>
  <c r="F150" i="5"/>
  <c r="D150" i="5"/>
  <c r="B150" i="5"/>
  <c r="H149" i="5"/>
  <c r="F149" i="5"/>
  <c r="D149" i="5"/>
  <c r="B149" i="5"/>
  <c r="H148" i="5"/>
  <c r="F148" i="5"/>
  <c r="D148" i="5"/>
  <c r="B148" i="5"/>
  <c r="H147" i="5"/>
  <c r="F147" i="5"/>
  <c r="D147" i="5"/>
  <c r="B147" i="5"/>
  <c r="H146" i="5"/>
  <c r="F146" i="5"/>
  <c r="D146" i="5"/>
  <c r="B146" i="5"/>
  <c r="H145" i="5"/>
  <c r="F145" i="5"/>
  <c r="D145" i="5"/>
  <c r="B145" i="5"/>
  <c r="H144" i="5"/>
  <c r="F144" i="5"/>
  <c r="D144" i="5"/>
  <c r="B144" i="5"/>
  <c r="H143" i="5"/>
  <c r="F143" i="5"/>
  <c r="D143" i="5"/>
  <c r="B143" i="5"/>
  <c r="H142" i="5"/>
  <c r="F142" i="5"/>
  <c r="D142" i="5"/>
  <c r="B142" i="5"/>
  <c r="H141" i="5"/>
  <c r="F141" i="5"/>
  <c r="D141" i="5"/>
  <c r="B141" i="5"/>
  <c r="H140" i="5"/>
  <c r="F140" i="5"/>
  <c r="D140" i="5"/>
  <c r="B140" i="5"/>
  <c r="H139" i="5"/>
  <c r="F139" i="5"/>
  <c r="D139" i="5"/>
  <c r="B139" i="5"/>
  <c r="H138" i="5"/>
  <c r="F138" i="5"/>
  <c r="D138" i="5"/>
  <c r="B138" i="5"/>
  <c r="H137" i="5"/>
  <c r="F137" i="5"/>
  <c r="D137" i="5"/>
  <c r="B137" i="5"/>
  <c r="H136" i="5"/>
  <c r="F136" i="5"/>
  <c r="D136" i="5"/>
  <c r="B136" i="5"/>
  <c r="H135" i="5"/>
  <c r="F135" i="5"/>
  <c r="D135" i="5"/>
  <c r="B135" i="5"/>
  <c r="H134" i="5"/>
  <c r="F134" i="5"/>
  <c r="D134" i="5"/>
  <c r="B134" i="5"/>
  <c r="H133" i="5"/>
  <c r="F133" i="5"/>
  <c r="D133" i="5"/>
  <c r="B133" i="5"/>
  <c r="H132" i="5"/>
  <c r="F132" i="5"/>
  <c r="D132" i="5"/>
  <c r="B132" i="5"/>
  <c r="H131" i="5"/>
  <c r="F131" i="5"/>
  <c r="D131" i="5"/>
  <c r="B131" i="5"/>
  <c r="H130" i="5"/>
  <c r="F130" i="5"/>
  <c r="D130" i="5"/>
  <c r="B130" i="5"/>
  <c r="H129" i="5"/>
  <c r="F129" i="5"/>
  <c r="D129" i="5"/>
  <c r="B129" i="5"/>
  <c r="H128" i="5"/>
  <c r="F128" i="5"/>
  <c r="D128" i="5"/>
  <c r="B128" i="5"/>
  <c r="H127" i="5"/>
  <c r="F127" i="5"/>
  <c r="D127" i="5"/>
  <c r="B127" i="5"/>
  <c r="H126" i="5"/>
  <c r="F126" i="5"/>
  <c r="D126" i="5"/>
  <c r="B126" i="5"/>
  <c r="H125" i="5"/>
  <c r="F125" i="5"/>
  <c r="D125" i="5"/>
  <c r="B125" i="5"/>
  <c r="H124" i="5"/>
  <c r="F124" i="5"/>
  <c r="D124" i="5"/>
  <c r="B124" i="5"/>
  <c r="H123" i="5"/>
  <c r="F123" i="5"/>
  <c r="D123" i="5"/>
  <c r="B123" i="5"/>
  <c r="H122" i="5"/>
  <c r="F122" i="5"/>
  <c r="D122" i="5"/>
  <c r="B122" i="5"/>
  <c r="H121" i="5"/>
  <c r="F121" i="5"/>
  <c r="D121" i="5"/>
  <c r="B121" i="5"/>
  <c r="H120" i="5"/>
  <c r="F120" i="5"/>
  <c r="D120" i="5"/>
  <c r="B120" i="5"/>
  <c r="H119" i="5"/>
  <c r="F119" i="5"/>
  <c r="D119" i="5"/>
  <c r="B119" i="5"/>
  <c r="H118" i="5"/>
  <c r="F118" i="5"/>
  <c r="D118" i="5"/>
  <c r="B118" i="5"/>
  <c r="H117" i="5"/>
  <c r="F117" i="5"/>
  <c r="D117" i="5"/>
  <c r="B117" i="5"/>
  <c r="H116" i="5"/>
  <c r="F116" i="5"/>
  <c r="D116" i="5"/>
  <c r="B116" i="5"/>
  <c r="H115" i="5"/>
  <c r="F115" i="5"/>
  <c r="D115" i="5"/>
  <c r="B115" i="5"/>
  <c r="H114" i="5"/>
  <c r="F114" i="5"/>
  <c r="D114" i="5"/>
  <c r="B114" i="5"/>
  <c r="H113" i="5"/>
  <c r="F113" i="5"/>
  <c r="D113" i="5"/>
  <c r="B113" i="5"/>
  <c r="H112" i="5"/>
  <c r="F112" i="5"/>
  <c r="D112" i="5"/>
  <c r="B112" i="5"/>
  <c r="H111" i="5"/>
  <c r="F111" i="5"/>
  <c r="D111" i="5"/>
  <c r="B111" i="5"/>
  <c r="H110" i="5"/>
  <c r="F110" i="5"/>
  <c r="D110" i="5"/>
  <c r="B110" i="5"/>
  <c r="H109" i="5"/>
  <c r="F109" i="5"/>
  <c r="D109" i="5"/>
  <c r="B109" i="5"/>
  <c r="H108" i="5"/>
  <c r="F108" i="5"/>
  <c r="D108" i="5"/>
  <c r="B108" i="5"/>
  <c r="H107" i="5"/>
  <c r="F107" i="5"/>
  <c r="D107" i="5"/>
  <c r="B107" i="5"/>
  <c r="H106" i="5"/>
  <c r="F106" i="5"/>
  <c r="D106" i="5"/>
  <c r="B106" i="5"/>
  <c r="H105" i="5"/>
  <c r="F105" i="5"/>
  <c r="D105" i="5"/>
  <c r="B105" i="5"/>
  <c r="H104" i="5"/>
  <c r="F104" i="5"/>
  <c r="D104" i="5"/>
  <c r="B104" i="5"/>
  <c r="H103" i="5"/>
  <c r="F103" i="5"/>
  <c r="D103" i="5"/>
  <c r="B103" i="5"/>
  <c r="H102" i="5"/>
  <c r="F102" i="5"/>
  <c r="D102" i="5"/>
  <c r="B102" i="5"/>
  <c r="H101" i="5"/>
  <c r="F101" i="5"/>
  <c r="D101" i="5"/>
  <c r="B101" i="5"/>
  <c r="H100" i="5"/>
  <c r="F100" i="5"/>
  <c r="D100" i="5"/>
  <c r="B100" i="5"/>
  <c r="H99" i="5"/>
  <c r="F99" i="5"/>
  <c r="D99" i="5"/>
  <c r="B99" i="5"/>
  <c r="H98" i="5"/>
  <c r="F98" i="5"/>
  <c r="D98" i="5"/>
  <c r="B98" i="5"/>
  <c r="H97" i="5"/>
  <c r="F97" i="5"/>
  <c r="D97" i="5"/>
  <c r="B97" i="5"/>
  <c r="H96" i="5"/>
  <c r="F96" i="5"/>
  <c r="D96" i="5"/>
  <c r="B96" i="5"/>
  <c r="H95" i="5"/>
  <c r="F95" i="5"/>
  <c r="D95" i="5"/>
  <c r="B95" i="5"/>
  <c r="H94" i="5"/>
  <c r="F94" i="5"/>
  <c r="D94" i="5"/>
  <c r="B94" i="5"/>
  <c r="H93" i="5"/>
  <c r="F93" i="5"/>
  <c r="D93" i="5"/>
  <c r="B93" i="5"/>
  <c r="H92" i="5"/>
  <c r="F92" i="5"/>
  <c r="D92" i="5"/>
  <c r="B92" i="5"/>
  <c r="H91" i="5"/>
  <c r="F91" i="5"/>
  <c r="D91" i="5"/>
  <c r="B91" i="5"/>
  <c r="H90" i="5"/>
  <c r="F90" i="5"/>
  <c r="D90" i="5"/>
  <c r="B90" i="5"/>
  <c r="H89" i="5"/>
  <c r="F89" i="5"/>
  <c r="D89" i="5"/>
  <c r="B89" i="5"/>
  <c r="H88" i="5"/>
  <c r="F88" i="5"/>
  <c r="D88" i="5"/>
  <c r="B88" i="5"/>
  <c r="H87" i="5"/>
  <c r="F87" i="5"/>
  <c r="D87" i="5"/>
  <c r="B87" i="5"/>
  <c r="H86" i="5"/>
  <c r="F86" i="5"/>
  <c r="D86" i="5"/>
  <c r="B86" i="5"/>
  <c r="H85" i="5"/>
  <c r="F85" i="5"/>
  <c r="D85" i="5"/>
  <c r="B85" i="5"/>
  <c r="H83" i="5"/>
  <c r="F83" i="5"/>
  <c r="D83" i="5"/>
  <c r="B83" i="5"/>
  <c r="H82" i="5"/>
  <c r="F82" i="5"/>
  <c r="D82" i="5"/>
  <c r="B82" i="5"/>
  <c r="H81" i="5"/>
  <c r="F81" i="5"/>
  <c r="D81" i="5"/>
  <c r="B81" i="5"/>
  <c r="H80" i="5"/>
  <c r="F80" i="5"/>
  <c r="D80" i="5"/>
  <c r="B80" i="5"/>
  <c r="H79" i="5"/>
  <c r="F79" i="5"/>
  <c r="D79" i="5"/>
  <c r="B79" i="5"/>
  <c r="H78" i="5"/>
  <c r="F78" i="5"/>
  <c r="D78" i="5"/>
  <c r="B78" i="5"/>
  <c r="H77" i="5"/>
  <c r="F77" i="5"/>
  <c r="D77" i="5"/>
  <c r="B77" i="5"/>
  <c r="H76" i="5"/>
  <c r="F76" i="5"/>
  <c r="D76" i="5"/>
  <c r="B76" i="5"/>
  <c r="H75" i="5"/>
  <c r="F75" i="5"/>
  <c r="D75" i="5"/>
  <c r="B75" i="5"/>
  <c r="H74" i="5"/>
  <c r="F74" i="5"/>
  <c r="D74" i="5"/>
  <c r="B74" i="5"/>
  <c r="H73" i="5"/>
  <c r="F73" i="5"/>
  <c r="D73" i="5"/>
  <c r="B73" i="5"/>
  <c r="H72" i="5"/>
  <c r="F72" i="5"/>
  <c r="D72" i="5"/>
  <c r="B72" i="5"/>
  <c r="H71" i="5"/>
  <c r="F71" i="5"/>
  <c r="D71" i="5"/>
  <c r="B71" i="5"/>
  <c r="H70" i="5"/>
  <c r="F70" i="5"/>
  <c r="D70" i="5"/>
  <c r="B70" i="5"/>
  <c r="H69" i="5"/>
  <c r="F69" i="5"/>
  <c r="D69" i="5"/>
  <c r="B69" i="5"/>
  <c r="H68" i="5"/>
  <c r="F68" i="5"/>
  <c r="D68" i="5"/>
  <c r="B68" i="5"/>
  <c r="H67" i="5"/>
  <c r="F67" i="5"/>
  <c r="D67" i="5"/>
  <c r="B67" i="5"/>
  <c r="H66" i="5"/>
  <c r="F66" i="5"/>
  <c r="D66" i="5"/>
  <c r="B66" i="5"/>
  <c r="H65" i="5"/>
  <c r="F65" i="5"/>
  <c r="D65" i="5"/>
  <c r="B65" i="5"/>
  <c r="H64" i="5"/>
  <c r="F64" i="5"/>
  <c r="D64" i="5"/>
  <c r="B64" i="5"/>
  <c r="H63" i="5"/>
  <c r="F63" i="5"/>
  <c r="D63" i="5"/>
  <c r="B63" i="5"/>
  <c r="H62" i="5"/>
  <c r="F62" i="5"/>
  <c r="D62" i="5"/>
  <c r="B62" i="5"/>
  <c r="H61" i="5"/>
  <c r="F61" i="5"/>
  <c r="D61" i="5"/>
  <c r="B61" i="5"/>
  <c r="H60" i="5"/>
  <c r="F60" i="5"/>
  <c r="D60" i="5"/>
  <c r="B60" i="5"/>
  <c r="H59" i="5"/>
  <c r="F59" i="5"/>
  <c r="D59" i="5"/>
  <c r="B59" i="5"/>
  <c r="H57" i="5"/>
  <c r="F57" i="5"/>
  <c r="D57" i="5"/>
  <c r="B57" i="5"/>
  <c r="H56" i="5"/>
  <c r="F56" i="5"/>
  <c r="D56" i="5"/>
  <c r="B56" i="5"/>
  <c r="H55" i="5"/>
  <c r="F55" i="5"/>
  <c r="D55" i="5"/>
  <c r="B55" i="5"/>
  <c r="H54" i="5"/>
  <c r="F54" i="5"/>
  <c r="D54" i="5"/>
  <c r="B54" i="5"/>
  <c r="H53" i="5"/>
  <c r="F53" i="5"/>
  <c r="D53" i="5"/>
  <c r="B53" i="5"/>
  <c r="H52" i="5"/>
  <c r="F52" i="5"/>
  <c r="D52" i="5"/>
  <c r="B52" i="5"/>
  <c r="H51" i="5"/>
  <c r="F51" i="5"/>
  <c r="D51" i="5"/>
  <c r="B51" i="5"/>
  <c r="H50" i="5"/>
  <c r="F50" i="5"/>
  <c r="D50" i="5"/>
  <c r="B50" i="5"/>
  <c r="H49" i="5"/>
  <c r="F49" i="5"/>
  <c r="D49" i="5"/>
  <c r="B49" i="5"/>
  <c r="H48" i="5"/>
  <c r="F48" i="5"/>
  <c r="D48" i="5"/>
  <c r="B48" i="5"/>
  <c r="H47" i="5"/>
  <c r="F47" i="5"/>
  <c r="D47" i="5"/>
  <c r="B47" i="5"/>
  <c r="H46" i="5"/>
  <c r="F46" i="5"/>
  <c r="D46" i="5"/>
  <c r="B46" i="5"/>
  <c r="H45" i="5"/>
  <c r="F45" i="5"/>
  <c r="D45" i="5"/>
  <c r="B45" i="5"/>
  <c r="H44" i="5"/>
  <c r="F44" i="5"/>
  <c r="D44" i="5"/>
  <c r="B44" i="5"/>
  <c r="H43" i="5"/>
  <c r="F43" i="5"/>
  <c r="D43" i="5"/>
  <c r="B43" i="5"/>
  <c r="H42" i="5"/>
  <c r="F42" i="5"/>
  <c r="D42" i="5"/>
  <c r="B42" i="5"/>
  <c r="H41" i="5"/>
  <c r="F41" i="5"/>
  <c r="D41" i="5"/>
  <c r="B41" i="5"/>
  <c r="H40" i="5"/>
  <c r="F40" i="5"/>
  <c r="D40" i="5"/>
  <c r="B40" i="5"/>
  <c r="H39" i="5"/>
  <c r="F39" i="5"/>
  <c r="D39" i="5"/>
  <c r="B39" i="5"/>
  <c r="H38" i="5"/>
  <c r="F38" i="5"/>
  <c r="D38" i="5"/>
  <c r="B38" i="5"/>
  <c r="H37" i="5"/>
  <c r="F37" i="5"/>
  <c r="D37" i="5"/>
  <c r="B37" i="5"/>
  <c r="H36" i="5"/>
  <c r="F36" i="5"/>
  <c r="D36" i="5"/>
  <c r="B36" i="5"/>
  <c r="H35" i="5"/>
  <c r="F35" i="5"/>
  <c r="D35" i="5"/>
  <c r="B35" i="5"/>
  <c r="H34" i="5"/>
  <c r="F34" i="5"/>
  <c r="D34" i="5"/>
  <c r="B34" i="5"/>
  <c r="H33" i="5"/>
  <c r="F33" i="5"/>
  <c r="D33" i="5"/>
  <c r="B33" i="5"/>
  <c r="H32" i="5"/>
  <c r="F32" i="5"/>
  <c r="D32" i="5"/>
  <c r="B32" i="5"/>
  <c r="H31" i="5"/>
  <c r="F31" i="5"/>
  <c r="D31" i="5"/>
  <c r="B31" i="5"/>
  <c r="H30" i="5"/>
  <c r="F30" i="5"/>
  <c r="D30" i="5"/>
  <c r="B30" i="5"/>
  <c r="H29" i="5"/>
  <c r="F29" i="5"/>
  <c r="D29" i="5"/>
  <c r="B29" i="5"/>
  <c r="H28" i="5"/>
  <c r="F28" i="5"/>
  <c r="D28" i="5"/>
  <c r="B28" i="5"/>
  <c r="H27" i="5"/>
  <c r="F27" i="5"/>
  <c r="D27" i="5"/>
  <c r="B27" i="5"/>
  <c r="H26" i="5"/>
  <c r="F26" i="5"/>
  <c r="D26" i="5"/>
  <c r="B26" i="5"/>
  <c r="H25" i="5"/>
  <c r="F25" i="5"/>
  <c r="D25" i="5"/>
  <c r="B25" i="5"/>
  <c r="H24" i="5"/>
  <c r="F24" i="5"/>
  <c r="D24" i="5"/>
  <c r="B24" i="5"/>
  <c r="H23" i="5"/>
  <c r="F23" i="5"/>
  <c r="D23" i="5"/>
  <c r="B23" i="5"/>
  <c r="H22" i="5"/>
  <c r="F22" i="5"/>
  <c r="D22" i="5"/>
  <c r="B22" i="5"/>
  <c r="H21" i="5"/>
  <c r="F21" i="5"/>
  <c r="D21" i="5"/>
  <c r="B21" i="5"/>
  <c r="H20" i="5"/>
  <c r="F20" i="5"/>
  <c r="D20" i="5"/>
  <c r="B20" i="5"/>
  <c r="H19" i="5"/>
  <c r="F19" i="5"/>
  <c r="D19" i="5"/>
  <c r="B19" i="5"/>
  <c r="H18" i="5"/>
  <c r="F18" i="5"/>
  <c r="D18" i="5"/>
  <c r="B18" i="5"/>
  <c r="H17" i="5"/>
  <c r="F17" i="5"/>
  <c r="D17" i="5"/>
  <c r="B17" i="5"/>
  <c r="H16" i="5"/>
  <c r="F16" i="5"/>
  <c r="D16" i="5"/>
  <c r="B16" i="5"/>
  <c r="H15" i="5"/>
  <c r="F15" i="5"/>
  <c r="D15" i="5"/>
  <c r="B15" i="5"/>
  <c r="H14" i="5"/>
  <c r="F14" i="5"/>
  <c r="D14" i="5"/>
  <c r="B14" i="5"/>
  <c r="H13" i="5"/>
  <c r="F13" i="5"/>
  <c r="D13" i="5"/>
  <c r="B13" i="5"/>
  <c r="H12" i="5"/>
  <c r="F12" i="5"/>
  <c r="D12" i="5"/>
  <c r="B12" i="5"/>
  <c r="H11" i="5"/>
  <c r="F11" i="5"/>
  <c r="D11" i="5"/>
  <c r="B11" i="5"/>
  <c r="H10" i="5"/>
  <c r="F10" i="5"/>
  <c r="D10" i="5"/>
  <c r="B10" i="5"/>
  <c r="H9" i="5"/>
  <c r="F9" i="5"/>
  <c r="D9" i="5"/>
  <c r="B9" i="5"/>
  <c r="H8" i="5"/>
  <c r="F8" i="5"/>
  <c r="D8" i="5"/>
  <c r="B8" i="5"/>
  <c r="D5" i="5"/>
  <c r="D4" i="5"/>
  <c r="B2" i="5"/>
  <c r="C112" i="4"/>
  <c r="B110" i="4"/>
  <c r="C109" i="4"/>
  <c r="B109" i="4"/>
  <c r="C108" i="4"/>
  <c r="B106" i="4"/>
  <c r="C105" i="4"/>
  <c r="B105" i="4"/>
  <c r="B102" i="4"/>
  <c r="B98" i="4"/>
  <c r="B96" i="4"/>
  <c r="B95" i="4"/>
  <c r="B92" i="4"/>
  <c r="C91" i="4"/>
  <c r="B91" i="4"/>
  <c r="C81" i="4"/>
  <c r="B81" i="4"/>
  <c r="C76" i="4"/>
  <c r="B76" i="4"/>
  <c r="AE66" i="4"/>
  <c r="AD66" i="4"/>
  <c r="C66" i="4"/>
  <c r="AC63" i="4" a="1"/>
  <c r="AC63" i="4" s="1"/>
  <c r="AB63" i="4" a="1"/>
  <c r="AB63" i="4" s="1"/>
  <c r="Y63" i="4"/>
  <c r="Y63" i="4" a="1"/>
  <c r="X63" i="4" a="1"/>
  <c r="X63" i="4" s="1"/>
  <c r="W63" i="4" a="1"/>
  <c r="W63" i="4" s="1"/>
  <c r="V63" i="4" a="1"/>
  <c r="V63" i="4" s="1"/>
  <c r="U63" i="4" a="1"/>
  <c r="U63" i="4" s="1"/>
  <c r="T63" i="4"/>
  <c r="T63" i="4" a="1"/>
  <c r="S63" i="4"/>
  <c r="S63" i="4" a="1"/>
  <c r="R63" i="4"/>
  <c r="R63" i="4" a="1"/>
  <c r="Q63" i="4"/>
  <c r="Q63" i="4" a="1"/>
  <c r="P63" i="4"/>
  <c r="P63" i="4" a="1"/>
  <c r="O63" i="4" a="1"/>
  <c r="O63" i="4" s="1"/>
  <c r="N63" i="4" a="1"/>
  <c r="N63" i="4" s="1"/>
  <c r="M63" i="4" a="1"/>
  <c r="M63" i="4" s="1"/>
  <c r="L63" i="4"/>
  <c r="L63" i="4" a="1"/>
  <c r="K63" i="4"/>
  <c r="K63" i="4" a="1"/>
  <c r="J63" i="4" a="1"/>
  <c r="J63" i="4" s="1"/>
  <c r="I63" i="4"/>
  <c r="I63" i="4" a="1"/>
  <c r="H63" i="4" a="1"/>
  <c r="H63" i="4" s="1"/>
  <c r="G63" i="4" a="1"/>
  <c r="G63" i="4" s="1"/>
  <c r="F63" i="4" a="1"/>
  <c r="F63" i="4" s="1"/>
  <c r="E63" i="4" a="1"/>
  <c r="E63" i="4" s="1"/>
  <c r="AC62" i="4"/>
  <c r="AC62" i="4" a="1"/>
  <c r="AB62" i="4" a="1"/>
  <c r="AB62" i="4" s="1"/>
  <c r="Y62" i="4"/>
  <c r="Y62" i="4" a="1"/>
  <c r="X62" i="4"/>
  <c r="X62" i="4" a="1"/>
  <c r="W62" i="4"/>
  <c r="W62" i="4" a="1"/>
  <c r="V62" i="4" a="1"/>
  <c r="V62" i="4" s="1"/>
  <c r="U62" i="4" a="1"/>
  <c r="U62" i="4" s="1"/>
  <c r="T62" i="4"/>
  <c r="T62" i="4" a="1"/>
  <c r="S62" i="4" a="1"/>
  <c r="S62" i="4" s="1"/>
  <c r="R62" i="4" a="1"/>
  <c r="R62" i="4" s="1"/>
  <c r="Q62" i="4"/>
  <c r="Q62" i="4" a="1"/>
  <c r="P62" i="4" a="1"/>
  <c r="P62" i="4" s="1"/>
  <c r="O62" i="4" a="1"/>
  <c r="O62" i="4" s="1"/>
  <c r="N62" i="4" a="1"/>
  <c r="N62" i="4" s="1"/>
  <c r="M62" i="4" a="1"/>
  <c r="M62" i="4" s="1"/>
  <c r="L62" i="4"/>
  <c r="L62" i="4" a="1"/>
  <c r="K62" i="4" a="1"/>
  <c r="K62" i="4" s="1"/>
  <c r="J62" i="4"/>
  <c r="J62" i="4" a="1"/>
  <c r="I62" i="4" a="1"/>
  <c r="I62" i="4" s="1"/>
  <c r="H62" i="4" a="1"/>
  <c r="H62" i="4" s="1"/>
  <c r="G62" i="4" a="1"/>
  <c r="G62" i="4" s="1"/>
  <c r="F62" i="4" a="1"/>
  <c r="F62" i="4" s="1"/>
  <c r="E62" i="4" a="1"/>
  <c r="E62" i="4" s="1"/>
  <c r="AC58" i="4"/>
  <c r="AC58" i="4" a="1"/>
  <c r="X58" i="4" a="1"/>
  <c r="X58" i="4" s="1"/>
  <c r="W58" i="4"/>
  <c r="W58" i="4" a="1"/>
  <c r="V58" i="4" a="1"/>
  <c r="V58" i="4" s="1"/>
  <c r="U58" i="4" a="1"/>
  <c r="U58" i="4" s="1"/>
  <c r="T58" i="4"/>
  <c r="T58" i="4" a="1"/>
  <c r="Q58" i="4" a="1"/>
  <c r="Q58" i="4" s="1"/>
  <c r="P58" i="4" a="1"/>
  <c r="P58" i="4" s="1"/>
  <c r="O58" i="4"/>
  <c r="O58" i="4" a="1"/>
  <c r="M58" i="4"/>
  <c r="M58" i="4" a="1"/>
  <c r="J58" i="4" a="1"/>
  <c r="J58" i="4" s="1"/>
  <c r="I58" i="4"/>
  <c r="I58" i="4" a="1"/>
  <c r="H58" i="4" a="1"/>
  <c r="H58" i="4" s="1"/>
  <c r="G58" i="4" a="1"/>
  <c r="G58" i="4" s="1"/>
  <c r="F58" i="4"/>
  <c r="F58" i="4" a="1"/>
  <c r="C58" i="4"/>
  <c r="B58" i="4"/>
  <c r="AC57" i="4" a="1"/>
  <c r="AC57" i="4" s="1"/>
  <c r="AB57" i="4"/>
  <c r="AB57" i="4" a="1"/>
  <c r="Y57" i="4" a="1"/>
  <c r="Y57" i="4" s="1"/>
  <c r="X57" i="4"/>
  <c r="X57" i="4" a="1"/>
  <c r="V57" i="4" a="1"/>
  <c r="V57" i="4" s="1"/>
  <c r="S57" i="4" a="1"/>
  <c r="S57" i="4" s="1"/>
  <c r="R57" i="4" a="1"/>
  <c r="R57" i="4" s="1"/>
  <c r="O57" i="4" a="1"/>
  <c r="O57" i="4" s="1"/>
  <c r="N57" i="4" a="1"/>
  <c r="N57" i="4" s="1"/>
  <c r="M57" i="4" a="1"/>
  <c r="M57" i="4" s="1"/>
  <c r="J57" i="4" a="1"/>
  <c r="J57" i="4" s="1"/>
  <c r="H57" i="4" a="1"/>
  <c r="H57" i="4" s="1"/>
  <c r="F57" i="4" a="1"/>
  <c r="F57" i="4" s="1"/>
  <c r="E57" i="4" a="1"/>
  <c r="E57" i="4" s="1"/>
  <c r="C57" i="4"/>
  <c r="B57" i="4"/>
  <c r="P56" i="4"/>
  <c r="P56" i="4" a="1"/>
  <c r="C56" i="4"/>
  <c r="V56" i="4" s="1" a="1"/>
  <c r="V56" i="4" s="1"/>
  <c r="B56" i="4"/>
  <c r="B108" i="4" s="1"/>
  <c r="AC55" i="4"/>
  <c r="AC55" i="4" a="1"/>
  <c r="V55" i="4" a="1"/>
  <c r="V55" i="4" s="1"/>
  <c r="T55" i="4"/>
  <c r="T55" i="4" a="1"/>
  <c r="O55" i="4" a="1"/>
  <c r="O55" i="4" s="1"/>
  <c r="N55" i="4" a="1"/>
  <c r="N55" i="4" s="1"/>
  <c r="M55" i="4" a="1"/>
  <c r="M55" i="4" s="1"/>
  <c r="J55" i="4"/>
  <c r="J55" i="4" a="1"/>
  <c r="F55" i="4" a="1"/>
  <c r="F55" i="4" s="1"/>
  <c r="E55" i="4" a="1"/>
  <c r="E55" i="4" s="1"/>
  <c r="C55" i="4"/>
  <c r="B55" i="4"/>
  <c r="B107" i="4" s="1"/>
  <c r="AC54" i="4" a="1"/>
  <c r="AC54" i="4" s="1"/>
  <c r="X54" i="4"/>
  <c r="X54" i="4" a="1"/>
  <c r="W54" i="4" a="1"/>
  <c r="W54" i="4" s="1"/>
  <c r="V54" i="4" a="1"/>
  <c r="V54" i="4" s="1"/>
  <c r="U54" i="4" a="1"/>
  <c r="U54" i="4" s="1"/>
  <c r="T54" i="4"/>
  <c r="T54" i="4" a="1"/>
  <c r="Q54" i="4" a="1"/>
  <c r="Q54" i="4" s="1"/>
  <c r="P54" i="4"/>
  <c r="P54" i="4" a="1"/>
  <c r="M54" i="4"/>
  <c r="M54" i="4" a="1"/>
  <c r="J54" i="4" a="1"/>
  <c r="J54" i="4" s="1"/>
  <c r="I54" i="4" a="1"/>
  <c r="I54" i="4" s="1"/>
  <c r="H54" i="4" a="1"/>
  <c r="H54" i="4" s="1"/>
  <c r="G54" i="4"/>
  <c r="G54" i="4" a="1"/>
  <c r="F54" i="4" a="1"/>
  <c r="F54" i="4" s="1"/>
  <c r="C54" i="4"/>
  <c r="B54" i="4"/>
  <c r="AC53" i="4"/>
  <c r="AC53" i="4" a="1"/>
  <c r="AB53" i="4" a="1"/>
  <c r="AB53" i="4" s="1"/>
  <c r="Y53" i="4" a="1"/>
  <c r="Y53" i="4" s="1"/>
  <c r="X53" i="4"/>
  <c r="X53" i="4" a="1"/>
  <c r="U53" i="4" a="1"/>
  <c r="U53" i="4" s="1"/>
  <c r="T53" i="4" a="1"/>
  <c r="T53" i="4" s="1"/>
  <c r="S53" i="4"/>
  <c r="S53" i="4" a="1"/>
  <c r="R53" i="4"/>
  <c r="R53" i="4" a="1"/>
  <c r="Q53" i="4"/>
  <c r="Q53" i="4" a="1"/>
  <c r="O53" i="4" a="1"/>
  <c r="O53" i="4" s="1"/>
  <c r="N53" i="4" a="1"/>
  <c r="N53" i="4" s="1"/>
  <c r="L53" i="4"/>
  <c r="L53" i="4" a="1"/>
  <c r="K53" i="4"/>
  <c r="K53" i="4" a="1"/>
  <c r="J53" i="4" a="1"/>
  <c r="J53" i="4" s="1"/>
  <c r="H53" i="4" a="1"/>
  <c r="H53" i="4" s="1"/>
  <c r="G53" i="4" a="1"/>
  <c r="G53" i="4" s="1"/>
  <c r="F53" i="4"/>
  <c r="F53" i="4" a="1"/>
  <c r="E53" i="4"/>
  <c r="E53" i="4" a="1"/>
  <c r="C53" i="4"/>
  <c r="B53" i="4"/>
  <c r="W52" i="4" a="1"/>
  <c r="W52" i="4" s="1"/>
  <c r="Q52" i="4" a="1"/>
  <c r="Q52" i="4" s="1"/>
  <c r="P52" i="4" a="1"/>
  <c r="P52" i="4" s="1"/>
  <c r="O52" i="4" a="1"/>
  <c r="O52" i="4" s="1"/>
  <c r="N52" i="4" a="1"/>
  <c r="N52" i="4" s="1"/>
  <c r="M52" i="4" a="1"/>
  <c r="M52" i="4" s="1"/>
  <c r="C52" i="4"/>
  <c r="B52" i="4"/>
  <c r="B104" i="4" s="1"/>
  <c r="Y51" i="4" a="1"/>
  <c r="Y51" i="4" s="1"/>
  <c r="V51" i="4" a="1"/>
  <c r="V51" i="4" s="1"/>
  <c r="O51" i="4" a="1"/>
  <c r="O51" i="4" s="1"/>
  <c r="K51" i="4" a="1"/>
  <c r="K51" i="4" s="1"/>
  <c r="E51" i="4" a="1"/>
  <c r="E51" i="4" s="1"/>
  <c r="C51" i="4"/>
  <c r="B51" i="4"/>
  <c r="B103" i="4" s="1"/>
  <c r="W50" i="4" a="1"/>
  <c r="W50" i="4" s="1"/>
  <c r="C50" i="4"/>
  <c r="B50" i="4"/>
  <c r="AC49" i="4" a="1"/>
  <c r="AC49" i="4" s="1"/>
  <c r="AB49" i="4"/>
  <c r="AB49" i="4" a="1"/>
  <c r="Y49" i="4"/>
  <c r="Y49" i="4" a="1"/>
  <c r="U49" i="4" a="1"/>
  <c r="U49" i="4" s="1"/>
  <c r="T49" i="4"/>
  <c r="T49" i="4" a="1"/>
  <c r="S49" i="4" a="1"/>
  <c r="S49" i="4" s="1"/>
  <c r="R49" i="4" a="1"/>
  <c r="R49" i="4" s="1"/>
  <c r="Q49" i="4"/>
  <c r="Q49" i="4" a="1"/>
  <c r="O49" i="4" a="1"/>
  <c r="O49" i="4" s="1"/>
  <c r="L49" i="4" a="1"/>
  <c r="L49" i="4" s="1"/>
  <c r="K49" i="4"/>
  <c r="K49" i="4" a="1"/>
  <c r="J49" i="4"/>
  <c r="J49" i="4" a="1"/>
  <c r="H49" i="4" a="1"/>
  <c r="H49" i="4" s="1"/>
  <c r="G49" i="4" a="1"/>
  <c r="G49" i="4" s="1"/>
  <c r="F49" i="4"/>
  <c r="F49" i="4" a="1"/>
  <c r="E49" i="4" a="1"/>
  <c r="E49" i="4" s="1"/>
  <c r="C49" i="4"/>
  <c r="B49" i="4"/>
  <c r="B101" i="4" s="1"/>
  <c r="Q48" i="4" a="1"/>
  <c r="Q48" i="4" s="1"/>
  <c r="P48" i="4" a="1"/>
  <c r="P48" i="4" s="1"/>
  <c r="H48" i="4" a="1"/>
  <c r="H48" i="4" s="1"/>
  <c r="G48" i="4"/>
  <c r="G48" i="4" a="1"/>
  <c r="C48" i="4"/>
  <c r="B48" i="4"/>
  <c r="B100" i="4" s="1"/>
  <c r="AB47" i="4" a="1"/>
  <c r="AB47" i="4" s="1"/>
  <c r="Q47" i="4" a="1"/>
  <c r="Q47" i="4" s="1"/>
  <c r="O47" i="4" a="1"/>
  <c r="O47" i="4" s="1"/>
  <c r="N47" i="4" a="1"/>
  <c r="N47" i="4" s="1"/>
  <c r="H47" i="4" a="1"/>
  <c r="H47" i="4" s="1"/>
  <c r="G47" i="4" a="1"/>
  <c r="G47" i="4" s="1"/>
  <c r="F47" i="4" a="1"/>
  <c r="F47" i="4" s="1"/>
  <c r="C47" i="4"/>
  <c r="R47" i="4" s="1" a="1"/>
  <c r="R47" i="4" s="1"/>
  <c r="B47" i="4"/>
  <c r="B99" i="4" s="1"/>
  <c r="X46" i="4" a="1"/>
  <c r="X46" i="4" s="1"/>
  <c r="V46" i="4" a="1"/>
  <c r="V46" i="4" s="1"/>
  <c r="U46" i="4" a="1"/>
  <c r="U46" i="4" s="1"/>
  <c r="T46" i="4" a="1"/>
  <c r="T46" i="4" s="1"/>
  <c r="O46" i="4" a="1"/>
  <c r="O46" i="4" s="1"/>
  <c r="N46" i="4"/>
  <c r="N46" i="4" a="1"/>
  <c r="J46" i="4" a="1"/>
  <c r="J46" i="4" s="1"/>
  <c r="G46" i="4" a="1"/>
  <c r="G46" i="4" s="1"/>
  <c r="F46" i="4" a="1"/>
  <c r="F46" i="4" s="1"/>
  <c r="C46" i="4"/>
  <c r="B46" i="4"/>
  <c r="AC45" i="4" a="1"/>
  <c r="AC45" i="4" s="1"/>
  <c r="AB45" i="4" a="1"/>
  <c r="AB45" i="4" s="1"/>
  <c r="U45" i="4" a="1"/>
  <c r="U45" i="4" s="1"/>
  <c r="T45" i="4"/>
  <c r="T45" i="4" a="1"/>
  <c r="S45" i="4"/>
  <c r="S45" i="4" a="1"/>
  <c r="R45" i="4" a="1"/>
  <c r="R45" i="4" s="1"/>
  <c r="M45" i="4"/>
  <c r="M45" i="4" a="1"/>
  <c r="J45" i="4" a="1"/>
  <c r="J45" i="4" s="1"/>
  <c r="H45" i="4" a="1"/>
  <c r="H45" i="4" s="1"/>
  <c r="E45" i="4" a="1"/>
  <c r="E45" i="4" s="1"/>
  <c r="C45" i="4"/>
  <c r="B45" i="4"/>
  <c r="B97" i="4" s="1"/>
  <c r="AC44" i="4"/>
  <c r="AC44" i="4" a="1"/>
  <c r="X44" i="4"/>
  <c r="X44" i="4" a="1"/>
  <c r="W44" i="4"/>
  <c r="W44" i="4" a="1"/>
  <c r="V44" i="4" a="1"/>
  <c r="V44" i="4" s="1"/>
  <c r="U44" i="4" a="1"/>
  <c r="U44" i="4" s="1"/>
  <c r="T44" i="4" a="1"/>
  <c r="T44" i="4" s="1"/>
  <c r="Q44" i="4"/>
  <c r="Q44" i="4" a="1"/>
  <c r="P44" i="4"/>
  <c r="P44" i="4" a="1"/>
  <c r="O44" i="4"/>
  <c r="O44" i="4" a="1"/>
  <c r="M44" i="4"/>
  <c r="M44" i="4" a="1"/>
  <c r="J44" i="4" a="1"/>
  <c r="J44" i="4" s="1"/>
  <c r="I44" i="4" a="1"/>
  <c r="I44" i="4" s="1"/>
  <c r="H44" i="4" a="1"/>
  <c r="H44" i="4" s="1"/>
  <c r="G44" i="4"/>
  <c r="G44" i="4" a="1"/>
  <c r="F44" i="4"/>
  <c r="F44" i="4" a="1"/>
  <c r="C44" i="4"/>
  <c r="B44" i="4"/>
  <c r="V43" i="4" a="1"/>
  <c r="V43" i="4" s="1"/>
  <c r="S43" i="4" a="1"/>
  <c r="S43" i="4" s="1"/>
  <c r="C43" i="4"/>
  <c r="B43" i="4"/>
  <c r="N42" i="4" a="1"/>
  <c r="N42" i="4" s="1"/>
  <c r="M42" i="4" a="1"/>
  <c r="M42" i="4" s="1"/>
  <c r="C42" i="4"/>
  <c r="U42" i="4" s="1" a="1"/>
  <c r="U42" i="4" s="1"/>
  <c r="B42" i="4"/>
  <c r="B94" i="4" s="1"/>
  <c r="Y41" i="4" a="1"/>
  <c r="Y41" i="4" s="1"/>
  <c r="X41" i="4" a="1"/>
  <c r="X41" i="4" s="1"/>
  <c r="W41" i="4"/>
  <c r="W41" i="4" a="1"/>
  <c r="V41" i="4" a="1"/>
  <c r="V41" i="4" s="1"/>
  <c r="U41" i="4" a="1"/>
  <c r="U41" i="4" s="1"/>
  <c r="R41" i="4"/>
  <c r="R41" i="4" a="1"/>
  <c r="Q41" i="4" a="1"/>
  <c r="Q41" i="4" s="1"/>
  <c r="P41" i="4"/>
  <c r="P41" i="4" a="1"/>
  <c r="O41" i="4" a="1"/>
  <c r="O41" i="4" s="1"/>
  <c r="N41" i="4" a="1"/>
  <c r="N41" i="4" s="1"/>
  <c r="K41" i="4" a="1"/>
  <c r="K41" i="4" s="1"/>
  <c r="J41" i="4"/>
  <c r="J41" i="4" a="1"/>
  <c r="I41" i="4" a="1"/>
  <c r="I41" i="4" s="1"/>
  <c r="H41" i="4" a="1"/>
  <c r="H41" i="4" s="1"/>
  <c r="G41" i="4" a="1"/>
  <c r="G41" i="4" s="1"/>
  <c r="F41" i="4"/>
  <c r="F41" i="4" a="1"/>
  <c r="C41" i="4"/>
  <c r="C93" i="4" s="1"/>
  <c r="B41" i="4"/>
  <c r="B93" i="4" s="1"/>
  <c r="AC40" i="4" a="1"/>
  <c r="AC40" i="4" s="1"/>
  <c r="Y40" i="4" a="1"/>
  <c r="Y40" i="4" s="1"/>
  <c r="X40" i="4" a="1"/>
  <c r="X40" i="4" s="1"/>
  <c r="W40" i="4" a="1"/>
  <c r="W40" i="4" s="1"/>
  <c r="T40" i="4"/>
  <c r="T40" i="4" a="1"/>
  <c r="R40" i="4"/>
  <c r="R40" i="4" a="1"/>
  <c r="Q40" i="4"/>
  <c r="Q40" i="4" a="1"/>
  <c r="M40" i="4" a="1"/>
  <c r="M40" i="4" s="1"/>
  <c r="K40" i="4" a="1"/>
  <c r="K40" i="4" s="1"/>
  <c r="J40" i="4"/>
  <c r="J40" i="4" a="1"/>
  <c r="I40" i="4"/>
  <c r="I40" i="4" a="1"/>
  <c r="H40" i="4" a="1"/>
  <c r="H40" i="4" s="1"/>
  <c r="C40" i="4"/>
  <c r="P40" i="4" s="1" a="1"/>
  <c r="P40" i="4" s="1"/>
  <c r="B40" i="4"/>
  <c r="AC39" i="4" a="1"/>
  <c r="AC39" i="4" s="1"/>
  <c r="AB39" i="4" a="1"/>
  <c r="AB39" i="4" s="1"/>
  <c r="V39" i="4" a="1"/>
  <c r="V39" i="4" s="1"/>
  <c r="U39" i="4" a="1"/>
  <c r="U39" i="4" s="1"/>
  <c r="R39" i="4" a="1"/>
  <c r="R39" i="4" s="1"/>
  <c r="N39" i="4" a="1"/>
  <c r="N39" i="4" s="1"/>
  <c r="L39" i="4" a="1"/>
  <c r="L39" i="4" s="1"/>
  <c r="K39" i="4" a="1"/>
  <c r="K39" i="4" s="1"/>
  <c r="C39" i="4"/>
  <c r="B39" i="4"/>
  <c r="C38" i="4"/>
  <c r="B38" i="4"/>
  <c r="B90" i="4" s="1"/>
  <c r="Y37" i="4"/>
  <c r="Y37" i="4" a="1"/>
  <c r="X37" i="4" a="1"/>
  <c r="X37" i="4" s="1"/>
  <c r="W37" i="4"/>
  <c r="W37" i="4" a="1"/>
  <c r="V37" i="4" a="1"/>
  <c r="V37" i="4" s="1"/>
  <c r="U37" i="4"/>
  <c r="U37" i="4" a="1"/>
  <c r="R37" i="4" a="1"/>
  <c r="R37" i="4" s="1"/>
  <c r="Q37" i="4"/>
  <c r="Q37" i="4" a="1"/>
  <c r="P37" i="4"/>
  <c r="P37" i="4" a="1"/>
  <c r="O37" i="4" a="1"/>
  <c r="O37" i="4" s="1"/>
  <c r="N37" i="4" a="1"/>
  <c r="N37" i="4" s="1"/>
  <c r="K37" i="4" a="1"/>
  <c r="K37" i="4" s="1"/>
  <c r="J37" i="4" a="1"/>
  <c r="J37" i="4" s="1"/>
  <c r="I37" i="4" a="1"/>
  <c r="I37" i="4" s="1"/>
  <c r="H37" i="4" a="1"/>
  <c r="H37" i="4" s="1"/>
  <c r="G37" i="4" a="1"/>
  <c r="G37" i="4" s="1"/>
  <c r="F37" i="4"/>
  <c r="F37" i="4" a="1"/>
  <c r="C37" i="4"/>
  <c r="C89" i="4" s="1"/>
  <c r="B37" i="4"/>
  <c r="B89" i="4" s="1"/>
  <c r="AC36" i="4" a="1"/>
  <c r="AC36" i="4" s="1"/>
  <c r="AB36" i="4" a="1"/>
  <c r="AB36" i="4" s="1"/>
  <c r="X36" i="4"/>
  <c r="X36" i="4" a="1"/>
  <c r="W36" i="4" a="1"/>
  <c r="W36" i="4" s="1"/>
  <c r="R36" i="4" a="1"/>
  <c r="R36" i="4" s="1"/>
  <c r="Q36" i="4"/>
  <c r="Q36" i="4" a="1"/>
  <c r="P36" i="4"/>
  <c r="P36" i="4" a="1"/>
  <c r="N36" i="4" a="1"/>
  <c r="N36" i="4" s="1"/>
  <c r="M36" i="4" a="1"/>
  <c r="M36" i="4" s="1"/>
  <c r="K36" i="4" a="1"/>
  <c r="K36" i="4" s="1"/>
  <c r="I36" i="4" a="1"/>
  <c r="I36" i="4" s="1"/>
  <c r="H36" i="4" a="1"/>
  <c r="H36" i="4" s="1"/>
  <c r="C36" i="4"/>
  <c r="B36" i="4"/>
  <c r="B88" i="4" s="1"/>
  <c r="C35" i="4"/>
  <c r="B35" i="4"/>
  <c r="B87" i="4" s="1"/>
  <c r="P34" i="4" a="1"/>
  <c r="P34" i="4" s="1"/>
  <c r="O34" i="4" a="1"/>
  <c r="O34" i="4" s="1"/>
  <c r="C34" i="4"/>
  <c r="B34" i="4"/>
  <c r="B86" i="4" s="1"/>
  <c r="R33" i="4" a="1"/>
  <c r="R33" i="4" s="1"/>
  <c r="O33" i="4" a="1"/>
  <c r="O33" i="4" s="1"/>
  <c r="N33" i="4" a="1"/>
  <c r="N33" i="4" s="1"/>
  <c r="L33" i="4" a="1"/>
  <c r="L33" i="4" s="1"/>
  <c r="F33" i="4" a="1"/>
  <c r="F33" i="4" s="1"/>
  <c r="C33" i="4"/>
  <c r="B33" i="4"/>
  <c r="B85" i="4" s="1"/>
  <c r="AB32" i="4" a="1"/>
  <c r="AB32" i="4" s="1"/>
  <c r="Y32" i="4" a="1"/>
  <c r="Y32" i="4" s="1"/>
  <c r="N32" i="4" a="1"/>
  <c r="N32" i="4" s="1"/>
  <c r="K32" i="4" a="1"/>
  <c r="K32" i="4" s="1"/>
  <c r="J32" i="4"/>
  <c r="J32" i="4" a="1"/>
  <c r="C32" i="4"/>
  <c r="Q32" i="4" s="1" a="1"/>
  <c r="Q32" i="4" s="1"/>
  <c r="B32" i="4"/>
  <c r="B84" i="4" s="1"/>
  <c r="AB31" i="4" a="1"/>
  <c r="AB31" i="4" s="1"/>
  <c r="Y31" i="4" a="1"/>
  <c r="Y31" i="4" s="1"/>
  <c r="U31" i="4" a="1"/>
  <c r="U31" i="4" s="1"/>
  <c r="T31" i="4" a="1"/>
  <c r="T31" i="4" s="1"/>
  <c r="P31" i="4" a="1"/>
  <c r="P31" i="4" s="1"/>
  <c r="N31" i="4"/>
  <c r="N31" i="4" a="1"/>
  <c r="L31" i="4" a="1"/>
  <c r="L31" i="4" s="1"/>
  <c r="K31" i="4" a="1"/>
  <c r="K31" i="4" s="1"/>
  <c r="C31" i="4"/>
  <c r="B31" i="4"/>
  <c r="B83" i="4" s="1"/>
  <c r="AC30" i="4"/>
  <c r="AC30" i="4" a="1"/>
  <c r="Y30" i="4" a="1"/>
  <c r="Y30" i="4" s="1"/>
  <c r="X30" i="4" a="1"/>
  <c r="X30" i="4" s="1"/>
  <c r="V30" i="4" a="1"/>
  <c r="V30" i="4" s="1"/>
  <c r="U30" i="4" a="1"/>
  <c r="U30" i="4" s="1"/>
  <c r="T30" i="4"/>
  <c r="T30" i="4" a="1"/>
  <c r="P30" i="4" a="1"/>
  <c r="P30" i="4" s="1"/>
  <c r="O30" i="4" a="1"/>
  <c r="O30" i="4" s="1"/>
  <c r="M30" i="4" a="1"/>
  <c r="M30" i="4" s="1"/>
  <c r="J30" i="4" a="1"/>
  <c r="J30" i="4" s="1"/>
  <c r="I30" i="4" a="1"/>
  <c r="I30" i="4" s="1"/>
  <c r="H30" i="4" a="1"/>
  <c r="H30" i="4" s="1"/>
  <c r="G30" i="4"/>
  <c r="G30" i="4" a="1"/>
  <c r="F30" i="4" a="1"/>
  <c r="F30" i="4" s="1"/>
  <c r="C30" i="4"/>
  <c r="B30" i="4"/>
  <c r="B82" i="4" s="1"/>
  <c r="Y29" i="4" a="1"/>
  <c r="Y29" i="4" s="1"/>
  <c r="W29" i="4" a="1"/>
  <c r="W29" i="4" s="1"/>
  <c r="V29" i="4" a="1"/>
  <c r="V29" i="4" s="1"/>
  <c r="U29" i="4"/>
  <c r="U29" i="4" a="1"/>
  <c r="Q29" i="4" a="1"/>
  <c r="Q29" i="4" s="1"/>
  <c r="P29" i="4" a="1"/>
  <c r="P29" i="4" s="1"/>
  <c r="O29" i="4" a="1"/>
  <c r="O29" i="4" s="1"/>
  <c r="N29" i="4" a="1"/>
  <c r="N29" i="4" s="1"/>
  <c r="L29" i="4" a="1"/>
  <c r="L29" i="4" s="1"/>
  <c r="K29" i="4" a="1"/>
  <c r="K29" i="4" s="1"/>
  <c r="H29" i="4" a="1"/>
  <c r="H29" i="4" s="1"/>
  <c r="G29" i="4" a="1"/>
  <c r="G29" i="4" s="1"/>
  <c r="F29" i="4"/>
  <c r="F29" i="4" a="1"/>
  <c r="C29" i="4"/>
  <c r="B29" i="4"/>
  <c r="AC28" i="4" a="1"/>
  <c r="AC28" i="4" s="1"/>
  <c r="AB28" i="4"/>
  <c r="AB28" i="4" a="1"/>
  <c r="X28" i="4" a="1"/>
  <c r="X28" i="4" s="1"/>
  <c r="W28" i="4" a="1"/>
  <c r="W28" i="4" s="1"/>
  <c r="T28" i="4"/>
  <c r="T28" i="4" a="1"/>
  <c r="R28" i="4" a="1"/>
  <c r="R28" i="4" s="1"/>
  <c r="Q28" i="4" a="1"/>
  <c r="Q28" i="4" s="1"/>
  <c r="N28" i="4" a="1"/>
  <c r="N28" i="4" s="1"/>
  <c r="M28" i="4" a="1"/>
  <c r="M28" i="4" s="1"/>
  <c r="K28" i="4"/>
  <c r="K28" i="4" a="1"/>
  <c r="J28" i="4" a="1"/>
  <c r="J28" i="4" s="1"/>
  <c r="I28" i="4" a="1"/>
  <c r="I28" i="4" s="1"/>
  <c r="H28" i="4" a="1"/>
  <c r="H28" i="4" s="1"/>
  <c r="C28" i="4"/>
  <c r="B28" i="4"/>
  <c r="B80" i="4" s="1"/>
  <c r="AC27" i="4" a="1"/>
  <c r="AC27" i="4" s="1"/>
  <c r="AB27" i="4" a="1"/>
  <c r="AB27" i="4" s="1"/>
  <c r="Y27" i="4" a="1"/>
  <c r="Y27" i="4" s="1"/>
  <c r="V27" i="4" a="1"/>
  <c r="V27" i="4" s="1"/>
  <c r="S27" i="4" a="1"/>
  <c r="S27" i="4" s="1"/>
  <c r="N27" i="4" a="1"/>
  <c r="N27" i="4" s="1"/>
  <c r="M27" i="4"/>
  <c r="M27" i="4" a="1"/>
  <c r="K27" i="4" a="1"/>
  <c r="K27" i="4" s="1"/>
  <c r="I27" i="4" a="1"/>
  <c r="I27" i="4" s="1"/>
  <c r="H27" i="4" a="1"/>
  <c r="H27" i="4" s="1"/>
  <c r="F27" i="4" a="1"/>
  <c r="F27" i="4" s="1"/>
  <c r="E27" i="4" a="1"/>
  <c r="E27" i="4" s="1"/>
  <c r="C27" i="4"/>
  <c r="B27" i="4"/>
  <c r="B79" i="4" s="1"/>
  <c r="Y26" i="4" a="1"/>
  <c r="Y26" i="4" s="1"/>
  <c r="X26" i="4" a="1"/>
  <c r="X26" i="4" s="1"/>
  <c r="V26" i="4" a="1"/>
  <c r="V26" i="4" s="1"/>
  <c r="U26" i="4" a="1"/>
  <c r="U26" i="4" s="1"/>
  <c r="Q26" i="4" a="1"/>
  <c r="Q26" i="4" s="1"/>
  <c r="P26" i="4"/>
  <c r="P26" i="4" a="1"/>
  <c r="O26" i="4" a="1"/>
  <c r="O26" i="4" s="1"/>
  <c r="N26" i="4" a="1"/>
  <c r="N26" i="4" s="1"/>
  <c r="K26" i="4"/>
  <c r="K26" i="4" a="1"/>
  <c r="H26" i="4" a="1"/>
  <c r="H26" i="4" s="1"/>
  <c r="G26" i="4" a="1"/>
  <c r="G26" i="4" s="1"/>
  <c r="C26" i="4"/>
  <c r="B26" i="4"/>
  <c r="B78" i="4" s="1"/>
  <c r="AC25" i="4" a="1"/>
  <c r="AC25" i="4" s="1"/>
  <c r="AB25" i="4"/>
  <c r="AB25" i="4" a="1"/>
  <c r="W25" i="4" a="1"/>
  <c r="W25" i="4" s="1"/>
  <c r="V25" i="4" a="1"/>
  <c r="V25" i="4" s="1"/>
  <c r="U25" i="4" a="1"/>
  <c r="U25" i="4" s="1"/>
  <c r="T25" i="4" a="1"/>
  <c r="T25" i="4" s="1"/>
  <c r="N25" i="4" a="1"/>
  <c r="N25" i="4" s="1"/>
  <c r="M25" i="4"/>
  <c r="M25" i="4" a="1"/>
  <c r="K25" i="4" a="1"/>
  <c r="K25" i="4" s="1"/>
  <c r="I25" i="4" a="1"/>
  <c r="I25" i="4" s="1"/>
  <c r="H25" i="4" a="1"/>
  <c r="H25" i="4" s="1"/>
  <c r="F25" i="4" a="1"/>
  <c r="F25" i="4" s="1"/>
  <c r="E25" i="4" a="1"/>
  <c r="E25" i="4" s="1"/>
  <c r="C25" i="4"/>
  <c r="B25" i="4"/>
  <c r="B77" i="4" s="1"/>
  <c r="AB24" i="4" a="1"/>
  <c r="AB24" i="4" s="1"/>
  <c r="Y24" i="4"/>
  <c r="Y24" i="4" a="1"/>
  <c r="X24" i="4"/>
  <c r="X24" i="4" a="1"/>
  <c r="V24" i="4" a="1"/>
  <c r="V24" i="4" s="1"/>
  <c r="U24" i="4" a="1"/>
  <c r="U24" i="4" s="1"/>
  <c r="R24" i="4"/>
  <c r="R24" i="4" a="1"/>
  <c r="Q24" i="4"/>
  <c r="Q24" i="4" a="1"/>
  <c r="P24" i="4" a="1"/>
  <c r="P24" i="4" s="1"/>
  <c r="O24" i="4"/>
  <c r="O24" i="4" a="1"/>
  <c r="N24" i="4" a="1"/>
  <c r="N24" i="4" s="1"/>
  <c r="K24" i="4" a="1"/>
  <c r="K24" i="4" s="1"/>
  <c r="J24" i="4" a="1"/>
  <c r="J24" i="4" s="1"/>
  <c r="I24" i="4" a="1"/>
  <c r="I24" i="4" s="1"/>
  <c r="H24" i="4" a="1"/>
  <c r="H24" i="4" s="1"/>
  <c r="G24" i="4" a="1"/>
  <c r="G24" i="4" s="1"/>
  <c r="C24" i="4"/>
  <c r="B24" i="4"/>
  <c r="Y23" i="4" a="1"/>
  <c r="Y23" i="4" s="1"/>
  <c r="W23" i="4" a="1"/>
  <c r="W23" i="4" s="1"/>
  <c r="R23" i="4" a="1"/>
  <c r="R23" i="4" s="1"/>
  <c r="M23" i="4" a="1"/>
  <c r="M23" i="4" s="1"/>
  <c r="K23" i="4" a="1"/>
  <c r="K23" i="4" s="1"/>
  <c r="C23" i="4"/>
  <c r="AB23" i="4" s="1" a="1"/>
  <c r="AB23" i="4" s="1"/>
  <c r="B23" i="4"/>
  <c r="B75" i="4" s="1"/>
  <c r="Y22" i="4" a="1"/>
  <c r="Y22" i="4" s="1"/>
  <c r="X22" i="4" a="1"/>
  <c r="X22" i="4" s="1"/>
  <c r="V22" i="4" a="1"/>
  <c r="V22" i="4" s="1"/>
  <c r="U22" i="4" a="1"/>
  <c r="U22" i="4" s="1"/>
  <c r="Q22" i="4" a="1"/>
  <c r="Q22" i="4" s="1"/>
  <c r="P22" i="4" a="1"/>
  <c r="P22" i="4" s="1"/>
  <c r="O22" i="4" a="1"/>
  <c r="O22" i="4" s="1"/>
  <c r="N22" i="4" a="1"/>
  <c r="N22" i="4" s="1"/>
  <c r="K22" i="4" a="1"/>
  <c r="K22" i="4" s="1"/>
  <c r="H22" i="4"/>
  <c r="H22" i="4" a="1"/>
  <c r="G22" i="4" a="1"/>
  <c r="G22" i="4" s="1"/>
  <c r="C22" i="4"/>
  <c r="B22" i="4"/>
  <c r="B74" i="4" s="1"/>
  <c r="AB21" i="4" a="1"/>
  <c r="AB21" i="4" s="1"/>
  <c r="W21" i="4" a="1"/>
  <c r="W21" i="4" s="1"/>
  <c r="M21" i="4" a="1"/>
  <c r="M21" i="4" s="1"/>
  <c r="C21" i="4"/>
  <c r="AC21" i="4" s="1" a="1"/>
  <c r="AC21" i="4" s="1"/>
  <c r="B21" i="4"/>
  <c r="B73" i="4" s="1"/>
  <c r="AB20" i="4" a="1"/>
  <c r="AB20" i="4" s="1"/>
  <c r="Y20" i="4" a="1"/>
  <c r="Y20" i="4" s="1"/>
  <c r="X20" i="4" a="1"/>
  <c r="X20" i="4" s="1"/>
  <c r="V20" i="4" a="1"/>
  <c r="V20" i="4" s="1"/>
  <c r="U20" i="4"/>
  <c r="U20" i="4" a="1"/>
  <c r="R20" i="4" a="1"/>
  <c r="R20" i="4" s="1"/>
  <c r="Q20" i="4" a="1"/>
  <c r="Q20" i="4" s="1"/>
  <c r="P20" i="4" a="1"/>
  <c r="P20" i="4" s="1"/>
  <c r="O20" i="4"/>
  <c r="O20" i="4" a="1"/>
  <c r="N20" i="4" a="1"/>
  <c r="N20" i="4" s="1"/>
  <c r="K20" i="4" a="1"/>
  <c r="K20" i="4" s="1"/>
  <c r="J20" i="4" a="1"/>
  <c r="J20" i="4" s="1"/>
  <c r="I20" i="4" a="1"/>
  <c r="I20" i="4" s="1"/>
  <c r="H20" i="4" a="1"/>
  <c r="H20" i="4" s="1"/>
  <c r="G20" i="4" a="1"/>
  <c r="G20" i="4" s="1"/>
  <c r="C20" i="4"/>
  <c r="B20" i="4"/>
  <c r="B72" i="4" s="1"/>
  <c r="AC19" i="4" a="1"/>
  <c r="AC19" i="4" s="1"/>
  <c r="W19" i="4" a="1"/>
  <c r="W19" i="4" s="1"/>
  <c r="V19" i="4" a="1"/>
  <c r="V19" i="4" s="1"/>
  <c r="T19" i="4" a="1"/>
  <c r="T19" i="4" s="1"/>
  <c r="S19" i="4"/>
  <c r="S19" i="4" a="1"/>
  <c r="R19" i="4" a="1"/>
  <c r="R19" i="4" s="1"/>
  <c r="M19" i="4" a="1"/>
  <c r="M19" i="4" s="1"/>
  <c r="I19" i="4" a="1"/>
  <c r="I19" i="4" s="1"/>
  <c r="H19" i="4" a="1"/>
  <c r="H19" i="4" s="1"/>
  <c r="G19" i="4" a="1"/>
  <c r="G19" i="4" s="1"/>
  <c r="C19" i="4"/>
  <c r="K19" i="4" s="1" a="1"/>
  <c r="K19" i="4" s="1"/>
  <c r="B19" i="4"/>
  <c r="B71" i="4" s="1"/>
  <c r="B16" i="4"/>
  <c r="C14" i="4"/>
  <c r="C13" i="4"/>
  <c r="C12" i="4"/>
  <c r="C10" i="4"/>
  <c r="C11" i="4" s="1"/>
  <c r="C9" i="4"/>
  <c r="C7" i="4"/>
  <c r="A3" i="4"/>
  <c r="O1" i="4"/>
  <c r="A1" i="4"/>
  <c r="T39" i="3"/>
  <c r="R39" i="3"/>
  <c r="P39" i="3"/>
  <c r="N39" i="3"/>
  <c r="L39" i="3"/>
  <c r="J39" i="3"/>
  <c r="H39" i="3"/>
  <c r="F39" i="3"/>
  <c r="D39" i="3"/>
  <c r="T36" i="3"/>
  <c r="R36" i="3"/>
  <c r="P36" i="3"/>
  <c r="V31" i="3"/>
  <c r="T26" i="3"/>
  <c r="F26" i="3"/>
  <c r="N24" i="3"/>
  <c r="T22" i="3"/>
  <c r="H22" i="3"/>
  <c r="A22" i="3"/>
  <c r="T20" i="3"/>
  <c r="R20" i="3"/>
  <c r="R22" i="3" s="1"/>
  <c r="H20" i="3"/>
  <c r="F20" i="3"/>
  <c r="F22" i="3" s="1"/>
  <c r="D20" i="3"/>
  <c r="D22" i="3" s="1"/>
  <c r="X18" i="3"/>
  <c r="V18" i="3"/>
  <c r="V14" i="3" s="1"/>
  <c r="T18" i="3"/>
  <c r="R18" i="3"/>
  <c r="P18" i="3"/>
  <c r="N18" i="3"/>
  <c r="L18" i="3"/>
  <c r="L20" i="3" s="1"/>
  <c r="L22" i="3" s="1"/>
  <c r="J18" i="3"/>
  <c r="H18" i="3"/>
  <c r="F18" i="3"/>
  <c r="D18" i="3"/>
  <c r="X16" i="3"/>
  <c r="T16" i="3"/>
  <c r="R16" i="3"/>
  <c r="P16" i="3"/>
  <c r="N16" i="3"/>
  <c r="L16" i="3"/>
  <c r="J16" i="3"/>
  <c r="H16" i="3"/>
  <c r="F16" i="3"/>
  <c r="D16" i="3"/>
  <c r="X14" i="3"/>
  <c r="X20" i="3" s="1"/>
  <c r="X22" i="3" s="1"/>
  <c r="T14" i="3"/>
  <c r="R14" i="3"/>
  <c r="P14" i="3"/>
  <c r="P28" i="3" s="1"/>
  <c r="N14" i="3"/>
  <c r="N28" i="3" s="1"/>
  <c r="L14" i="3"/>
  <c r="J14" i="3"/>
  <c r="J20" i="3" s="1"/>
  <c r="J22" i="3" s="1"/>
  <c r="H14" i="3"/>
  <c r="F14" i="3"/>
  <c r="D14" i="3"/>
  <c r="P12" i="3" s="1"/>
  <c r="X12" i="3"/>
  <c r="X26" i="3" s="1"/>
  <c r="T12" i="3"/>
  <c r="R12" i="3"/>
  <c r="R26" i="3" s="1"/>
  <c r="N12" i="3"/>
  <c r="N26" i="3" s="1"/>
  <c r="L12" i="3"/>
  <c r="L26" i="3" s="1"/>
  <c r="J12" i="3"/>
  <c r="J26" i="3" s="1"/>
  <c r="H12" i="3"/>
  <c r="H26" i="3" s="1"/>
  <c r="F12" i="3"/>
  <c r="D12" i="3"/>
  <c r="D26" i="3" s="1"/>
  <c r="X10" i="3"/>
  <c r="V10" i="3"/>
  <c r="T10" i="3"/>
  <c r="T24" i="3" s="1"/>
  <c r="R10" i="3"/>
  <c r="R24" i="3" s="1"/>
  <c r="P10" i="3"/>
  <c r="P24" i="3" s="1"/>
  <c r="N10" i="3"/>
  <c r="L10" i="3"/>
  <c r="L24" i="3" s="1"/>
  <c r="J10" i="3"/>
  <c r="J24" i="3" s="1"/>
  <c r="H10" i="3"/>
  <c r="H24" i="3" s="1"/>
  <c r="F10" i="3"/>
  <c r="F24" i="3" s="1"/>
  <c r="D10" i="3"/>
  <c r="D24" i="3" s="1"/>
  <c r="X8" i="3"/>
  <c r="X28" i="3" s="1"/>
  <c r="V8" i="3"/>
  <c r="T8" i="3"/>
  <c r="T28" i="3" s="1"/>
  <c r="R8" i="3"/>
  <c r="R28" i="3" s="1"/>
  <c r="P8" i="3"/>
  <c r="N8" i="3"/>
  <c r="L8" i="3"/>
  <c r="L28" i="3" s="1"/>
  <c r="J8" i="3"/>
  <c r="J28" i="3" s="1"/>
  <c r="H8" i="3"/>
  <c r="H28" i="3" s="1"/>
  <c r="F8" i="3"/>
  <c r="F28" i="3" s="1"/>
  <c r="D8" i="3"/>
  <c r="D28" i="3" s="1"/>
  <c r="X6" i="3"/>
  <c r="A6" i="3"/>
  <c r="X2" i="3" a="1"/>
  <c r="X2" i="3" s="1"/>
  <c r="A2" i="3"/>
  <c r="B224" i="2"/>
  <c r="B223" i="2"/>
  <c r="BY213" i="2"/>
  <c r="CD203" i="2"/>
  <c r="CD213" i="2" s="1"/>
  <c r="BY203" i="2"/>
  <c r="BT203" i="2"/>
  <c r="BT213" i="2" s="1"/>
  <c r="B203" i="2"/>
  <c r="CE187" i="2"/>
  <c r="CD187" i="2"/>
  <c r="CF187" i="2" s="1"/>
  <c r="CC187" i="2"/>
  <c r="BZ187" i="2"/>
  <c r="CA187" i="2" s="1"/>
  <c r="BY187" i="2"/>
  <c r="BX187" i="2"/>
  <c r="BU187" i="2"/>
  <c r="BV187" i="2" s="1"/>
  <c r="BT187" i="2"/>
  <c r="BS187" i="2"/>
  <c r="BP187" i="2"/>
  <c r="BQ187" i="2" s="1"/>
  <c r="BO187" i="2"/>
  <c r="BN187" i="2"/>
  <c r="BK187" i="2"/>
  <c r="BL187" i="2" s="1"/>
  <c r="BJ187" i="2"/>
  <c r="BI187" i="2"/>
  <c r="BG187" i="2"/>
  <c r="BF187" i="2"/>
  <c r="BE187" i="2"/>
  <c r="BD187" i="2"/>
  <c r="BB187" i="2"/>
  <c r="BA187" i="2"/>
  <c r="AZ187" i="2"/>
  <c r="AV187" i="2"/>
  <c r="AI187" i="2"/>
  <c r="AH187" i="2"/>
  <c r="AJ187" i="2" s="1"/>
  <c r="AG187" i="2"/>
  <c r="A187" i="2"/>
  <c r="CE186" i="2"/>
  <c r="CF186" i="2" s="1"/>
  <c r="CD186" i="2"/>
  <c r="CC186" i="2"/>
  <c r="CA186" i="2"/>
  <c r="BZ186" i="2"/>
  <c r="BY186" i="2"/>
  <c r="BX186" i="2"/>
  <c r="BV186" i="2"/>
  <c r="BU186" i="2"/>
  <c r="BT186" i="2"/>
  <c r="BS186" i="2"/>
  <c r="BQ186" i="2"/>
  <c r="BP186" i="2"/>
  <c r="BO186" i="2"/>
  <c r="BN186" i="2"/>
  <c r="BK186" i="2"/>
  <c r="BJ186" i="2"/>
  <c r="BL186" i="2" s="1"/>
  <c r="BI186" i="2"/>
  <c r="BF186" i="2"/>
  <c r="BG186" i="2" s="1"/>
  <c r="BE186" i="2"/>
  <c r="BD186" i="2"/>
  <c r="BB186" i="2"/>
  <c r="BA186" i="2"/>
  <c r="AZ186" i="2"/>
  <c r="AV186" i="2"/>
  <c r="AH186" i="2"/>
  <c r="AI186" i="2" s="1"/>
  <c r="AG186" i="2"/>
  <c r="A186" i="2"/>
  <c r="CE185" i="2"/>
  <c r="CF185" i="2" s="1"/>
  <c r="CD185" i="2"/>
  <c r="CC185" i="2"/>
  <c r="BZ185" i="2"/>
  <c r="BY185" i="2"/>
  <c r="BX185" i="2"/>
  <c r="BU185" i="2"/>
  <c r="BV185" i="2" s="1"/>
  <c r="BT185" i="2"/>
  <c r="BS185" i="2"/>
  <c r="BP185" i="2"/>
  <c r="BO185" i="2"/>
  <c r="BQ185" i="2" s="1"/>
  <c r="BN185" i="2"/>
  <c r="BK185" i="2"/>
  <c r="BJ185" i="2"/>
  <c r="BI185" i="2"/>
  <c r="BF185" i="2"/>
  <c r="BG185" i="2" s="1"/>
  <c r="BE185" i="2"/>
  <c r="BD185" i="2"/>
  <c r="BB185" i="2"/>
  <c r="BA185" i="2"/>
  <c r="AZ185" i="2"/>
  <c r="AV185" i="2"/>
  <c r="AI185" i="2"/>
  <c r="AH185" i="2"/>
  <c r="AJ185" i="2" s="1"/>
  <c r="AG185" i="2"/>
  <c r="A185" i="2"/>
  <c r="CF184" i="2"/>
  <c r="CE184" i="2"/>
  <c r="CD184" i="2"/>
  <c r="CC184" i="2"/>
  <c r="BZ184" i="2"/>
  <c r="CA184" i="2" s="1"/>
  <c r="BY184" i="2"/>
  <c r="BX184" i="2"/>
  <c r="BU184" i="2"/>
  <c r="BT184" i="2"/>
  <c r="BV184" i="2" s="1"/>
  <c r="BS184" i="2"/>
  <c r="BP184" i="2"/>
  <c r="BQ184" i="2" s="1"/>
  <c r="BO184" i="2"/>
  <c r="BN184" i="2"/>
  <c r="BL184" i="2"/>
  <c r="BK184" i="2"/>
  <c r="BJ184" i="2"/>
  <c r="BI184" i="2"/>
  <c r="BG184" i="2"/>
  <c r="BF184" i="2"/>
  <c r="BE184" i="2"/>
  <c r="BD184" i="2"/>
  <c r="BB184" i="2"/>
  <c r="BA184" i="2"/>
  <c r="AZ184" i="2"/>
  <c r="AV184" i="2"/>
  <c r="AJ184" i="2"/>
  <c r="AI184" i="2"/>
  <c r="AH184" i="2"/>
  <c r="AG184" i="2"/>
  <c r="A184" i="2"/>
  <c r="CE183" i="2"/>
  <c r="CF183" i="2" s="1"/>
  <c r="CD183" i="2"/>
  <c r="CC183" i="2"/>
  <c r="BZ183" i="2"/>
  <c r="CA183" i="2" s="1"/>
  <c r="BY183" i="2"/>
  <c r="BX183" i="2"/>
  <c r="BU183" i="2"/>
  <c r="BV183" i="2" s="1"/>
  <c r="BT183" i="2"/>
  <c r="BS183" i="2"/>
  <c r="BP183" i="2"/>
  <c r="BQ183" i="2" s="1"/>
  <c r="BO183" i="2"/>
  <c r="BN183" i="2"/>
  <c r="BK183" i="2"/>
  <c r="BJ183" i="2"/>
  <c r="BL183" i="2" s="1"/>
  <c r="BI183" i="2"/>
  <c r="BF183" i="2"/>
  <c r="BG183" i="2" s="1"/>
  <c r="BE183" i="2"/>
  <c r="BD183" i="2"/>
  <c r="BB183" i="2"/>
  <c r="BA183" i="2"/>
  <c r="AZ183" i="2"/>
  <c r="AV183" i="2"/>
  <c r="AH183" i="2"/>
  <c r="AG183" i="2"/>
  <c r="A183" i="2"/>
  <c r="CF182" i="2"/>
  <c r="CE182" i="2"/>
  <c r="CD182" i="2"/>
  <c r="CC182" i="2"/>
  <c r="BZ182" i="2"/>
  <c r="BY182" i="2"/>
  <c r="CA182" i="2" s="1"/>
  <c r="BX182" i="2"/>
  <c r="BV182" i="2"/>
  <c r="BU182" i="2"/>
  <c r="BT182" i="2"/>
  <c r="BS182" i="2"/>
  <c r="BP182" i="2"/>
  <c r="BO182" i="2"/>
  <c r="BQ182" i="2" s="1"/>
  <c r="BN182" i="2"/>
  <c r="BK182" i="2"/>
  <c r="BL182" i="2" s="1"/>
  <c r="BJ182" i="2"/>
  <c r="BI182" i="2"/>
  <c r="BG182" i="2"/>
  <c r="BF182" i="2"/>
  <c r="BE182" i="2"/>
  <c r="BD182" i="2"/>
  <c r="BB182" i="2"/>
  <c r="BA182" i="2"/>
  <c r="AZ182" i="2"/>
  <c r="AV182" i="2"/>
  <c r="AH182" i="2"/>
  <c r="AG182" i="2"/>
  <c r="A182" i="2"/>
  <c r="CE181" i="2"/>
  <c r="CD181" i="2"/>
  <c r="CC181" i="2"/>
  <c r="BZ181" i="2"/>
  <c r="CA181" i="2" s="1"/>
  <c r="BY181" i="2"/>
  <c r="BX181" i="2"/>
  <c r="BU181" i="2"/>
  <c r="BT181" i="2"/>
  <c r="BV181" i="2" s="1"/>
  <c r="BS181" i="2"/>
  <c r="BP181" i="2"/>
  <c r="BO181" i="2"/>
  <c r="BN181" i="2"/>
  <c r="BL181" i="2"/>
  <c r="BK181" i="2"/>
  <c r="BJ181" i="2"/>
  <c r="BI181" i="2"/>
  <c r="BF181" i="2"/>
  <c r="BG181" i="2" s="1"/>
  <c r="BE181" i="2"/>
  <c r="BD181" i="2"/>
  <c r="BB181" i="2"/>
  <c r="BA181" i="2"/>
  <c r="AZ181" i="2"/>
  <c r="AV181" i="2"/>
  <c r="AJ181" i="2"/>
  <c r="AI181" i="2"/>
  <c r="AH181" i="2"/>
  <c r="AG181" i="2"/>
  <c r="A181" i="2"/>
  <c r="CE180" i="2"/>
  <c r="CD180" i="2"/>
  <c r="CC180" i="2"/>
  <c r="BZ180" i="2"/>
  <c r="BY180" i="2"/>
  <c r="CA180" i="2" s="1"/>
  <c r="BX180" i="2"/>
  <c r="BU180" i="2"/>
  <c r="BV180" i="2" s="1"/>
  <c r="BT180" i="2"/>
  <c r="BS180" i="2"/>
  <c r="BQ180" i="2"/>
  <c r="BP180" i="2"/>
  <c r="BO180" i="2"/>
  <c r="BN180" i="2"/>
  <c r="BK180" i="2"/>
  <c r="BJ180" i="2"/>
  <c r="BL180" i="2" s="1"/>
  <c r="BI180" i="2"/>
  <c r="BG180" i="2"/>
  <c r="BF180" i="2"/>
  <c r="BE180" i="2"/>
  <c r="BD180" i="2"/>
  <c r="BB180" i="2"/>
  <c r="BA180" i="2"/>
  <c r="AZ180" i="2"/>
  <c r="AV180" i="2"/>
  <c r="AH180" i="2"/>
  <c r="AG180" i="2"/>
  <c r="A180" i="2"/>
  <c r="CE179" i="2"/>
  <c r="CF179" i="2" s="1"/>
  <c r="CD179" i="2"/>
  <c r="CC179" i="2"/>
  <c r="BZ179" i="2"/>
  <c r="CA179" i="2" s="1"/>
  <c r="BY179" i="2"/>
  <c r="BX179" i="2"/>
  <c r="BU179" i="2"/>
  <c r="BV179" i="2" s="1"/>
  <c r="BT179" i="2"/>
  <c r="BS179" i="2"/>
  <c r="BP179" i="2"/>
  <c r="BQ179" i="2" s="1"/>
  <c r="BO179" i="2"/>
  <c r="BN179" i="2"/>
  <c r="BK179" i="2"/>
  <c r="BL179" i="2" s="1"/>
  <c r="BJ179" i="2"/>
  <c r="BI179" i="2"/>
  <c r="BF179" i="2"/>
  <c r="BE179" i="2"/>
  <c r="BG179" i="2" s="1"/>
  <c r="BD179" i="2"/>
  <c r="BB179" i="2"/>
  <c r="BA179" i="2"/>
  <c r="AZ179" i="2"/>
  <c r="AV179" i="2"/>
  <c r="AH179" i="2"/>
  <c r="AJ179" i="2" s="1"/>
  <c r="AG179" i="2"/>
  <c r="A179" i="2"/>
  <c r="CF178" i="2"/>
  <c r="CE178" i="2"/>
  <c r="CD178" i="2"/>
  <c r="CC178" i="2"/>
  <c r="CA178" i="2"/>
  <c r="BZ178" i="2"/>
  <c r="BY178" i="2"/>
  <c r="BX178" i="2"/>
  <c r="BV178" i="2"/>
  <c r="BU178" i="2"/>
  <c r="BT178" i="2"/>
  <c r="BS178" i="2"/>
  <c r="BP178" i="2"/>
  <c r="BO178" i="2"/>
  <c r="BN178" i="2"/>
  <c r="BK178" i="2"/>
  <c r="BJ178" i="2"/>
  <c r="BL178" i="2" s="1"/>
  <c r="BI178" i="2"/>
  <c r="BF178" i="2"/>
  <c r="BE178" i="2"/>
  <c r="BD178" i="2"/>
  <c r="BB178" i="2"/>
  <c r="BA178" i="2"/>
  <c r="AZ178" i="2"/>
  <c r="AV178" i="2"/>
  <c r="AJ178" i="2"/>
  <c r="AI178" i="2"/>
  <c r="AH178" i="2"/>
  <c r="AG178" i="2"/>
  <c r="A178" i="2"/>
  <c r="CE177" i="2"/>
  <c r="CF177" i="2" s="1"/>
  <c r="CD177" i="2"/>
  <c r="CC177" i="2"/>
  <c r="BZ177" i="2"/>
  <c r="BY177" i="2"/>
  <c r="CA177" i="2" s="1"/>
  <c r="BX177" i="2"/>
  <c r="BU177" i="2"/>
  <c r="BV177" i="2" s="1"/>
  <c r="BT177" i="2"/>
  <c r="BS177" i="2"/>
  <c r="BQ177" i="2"/>
  <c r="BP177" i="2"/>
  <c r="BO177" i="2"/>
  <c r="BN177" i="2"/>
  <c r="BK177" i="2"/>
  <c r="BL177" i="2" s="1"/>
  <c r="BJ177" i="2"/>
  <c r="BI177" i="2"/>
  <c r="BF177" i="2"/>
  <c r="BG177" i="2" s="1"/>
  <c r="BE177" i="2"/>
  <c r="BD177" i="2"/>
  <c r="BB177" i="2"/>
  <c r="BA177" i="2"/>
  <c r="AZ177" i="2"/>
  <c r="AV177" i="2"/>
  <c r="AH177" i="2"/>
  <c r="AJ177" i="2" s="1"/>
  <c r="AG177" i="2"/>
  <c r="A177" i="2"/>
  <c r="CE176" i="2"/>
  <c r="CD176" i="2"/>
  <c r="CF176" i="2" s="1"/>
  <c r="CC176" i="2"/>
  <c r="BZ176" i="2"/>
  <c r="BY176" i="2"/>
  <c r="BX176" i="2"/>
  <c r="BV176" i="2"/>
  <c r="BU176" i="2"/>
  <c r="BT176" i="2"/>
  <c r="BS176" i="2"/>
  <c r="BP176" i="2"/>
  <c r="BO176" i="2"/>
  <c r="BQ176" i="2" s="1"/>
  <c r="BN176" i="2"/>
  <c r="BL176" i="2"/>
  <c r="BK176" i="2"/>
  <c r="BJ176" i="2"/>
  <c r="BI176" i="2"/>
  <c r="BF176" i="2"/>
  <c r="BE176" i="2"/>
  <c r="BG176" i="2" s="1"/>
  <c r="BD176" i="2"/>
  <c r="BB176" i="2"/>
  <c r="BA176" i="2"/>
  <c r="AZ176" i="2"/>
  <c r="AV176" i="2"/>
  <c r="AJ176" i="2"/>
  <c r="AH176" i="2"/>
  <c r="AI176" i="2" s="1"/>
  <c r="AG176" i="2"/>
  <c r="A176" i="2"/>
  <c r="CE175" i="2"/>
  <c r="CF175" i="2" s="1"/>
  <c r="CD175" i="2"/>
  <c r="CC175" i="2"/>
  <c r="BZ175" i="2"/>
  <c r="CA175" i="2" s="1"/>
  <c r="BY175" i="2"/>
  <c r="BX175" i="2"/>
  <c r="BU175" i="2"/>
  <c r="BT175" i="2"/>
  <c r="BS175" i="2"/>
  <c r="BP175" i="2"/>
  <c r="BQ175" i="2" s="1"/>
  <c r="BO175" i="2"/>
  <c r="BN175" i="2"/>
  <c r="BK175" i="2"/>
  <c r="BJ175" i="2"/>
  <c r="BL175" i="2" s="1"/>
  <c r="BI175" i="2"/>
  <c r="BF175" i="2"/>
  <c r="BE175" i="2"/>
  <c r="BD175" i="2"/>
  <c r="BB175" i="2"/>
  <c r="BA175" i="2"/>
  <c r="AZ175" i="2"/>
  <c r="AV175" i="2"/>
  <c r="AJ175" i="2"/>
  <c r="AI175" i="2"/>
  <c r="AH175" i="2"/>
  <c r="AG175" i="2"/>
  <c r="A175" i="2"/>
  <c r="CF174" i="2"/>
  <c r="CE174" i="2"/>
  <c r="CD174" i="2"/>
  <c r="CC174" i="2"/>
  <c r="CA174" i="2"/>
  <c r="BZ174" i="2"/>
  <c r="BY174" i="2"/>
  <c r="BX174" i="2"/>
  <c r="BU174" i="2"/>
  <c r="BT174" i="2"/>
  <c r="BS174" i="2"/>
  <c r="BP174" i="2"/>
  <c r="BO174" i="2"/>
  <c r="BQ174" i="2" s="1"/>
  <c r="BN174" i="2"/>
  <c r="BK174" i="2"/>
  <c r="BJ174" i="2"/>
  <c r="BI174" i="2"/>
  <c r="BF174" i="2"/>
  <c r="BG174" i="2" s="1"/>
  <c r="BE174" i="2"/>
  <c r="BD174" i="2"/>
  <c r="BB174" i="2"/>
  <c r="BA174" i="2"/>
  <c r="AZ174" i="2"/>
  <c r="AV174" i="2"/>
  <c r="AH174" i="2"/>
  <c r="AI174" i="2" s="1"/>
  <c r="AG174" i="2"/>
  <c r="A174" i="2"/>
  <c r="CE173" i="2"/>
  <c r="CD173" i="2"/>
  <c r="CF173" i="2" s="1"/>
  <c r="CC173" i="2"/>
  <c r="BZ173" i="2"/>
  <c r="BY173" i="2"/>
  <c r="BX173" i="2"/>
  <c r="BV173" i="2"/>
  <c r="BU173" i="2"/>
  <c r="BT173" i="2"/>
  <c r="BS173" i="2"/>
  <c r="BP173" i="2"/>
  <c r="BQ173" i="2" s="1"/>
  <c r="BO173" i="2"/>
  <c r="BN173" i="2"/>
  <c r="BK173" i="2"/>
  <c r="BL173" i="2" s="1"/>
  <c r="BJ173" i="2"/>
  <c r="BI173" i="2"/>
  <c r="BF173" i="2"/>
  <c r="BE173" i="2"/>
  <c r="BD173" i="2"/>
  <c r="BB173" i="2"/>
  <c r="BA173" i="2"/>
  <c r="AZ173" i="2"/>
  <c r="AV173" i="2"/>
  <c r="AJ173" i="2"/>
  <c r="AI173" i="2"/>
  <c r="AH173" i="2"/>
  <c r="AG173" i="2"/>
  <c r="A173" i="2"/>
  <c r="CE172" i="2"/>
  <c r="CD172" i="2"/>
  <c r="CC172" i="2"/>
  <c r="BZ172" i="2"/>
  <c r="CA172" i="2" s="1"/>
  <c r="BY172" i="2"/>
  <c r="BX172" i="2"/>
  <c r="BU172" i="2"/>
  <c r="BT172" i="2"/>
  <c r="BV172" i="2" s="1"/>
  <c r="BS172" i="2"/>
  <c r="BQ172" i="2"/>
  <c r="BP172" i="2"/>
  <c r="BO172" i="2"/>
  <c r="BN172" i="2"/>
  <c r="BK172" i="2"/>
  <c r="BJ172" i="2"/>
  <c r="BL172" i="2" s="1"/>
  <c r="BI172" i="2"/>
  <c r="BG172" i="2"/>
  <c r="BF172" i="2"/>
  <c r="BE172" i="2"/>
  <c r="BD172" i="2"/>
  <c r="BB172" i="2"/>
  <c r="BA172" i="2"/>
  <c r="AZ172" i="2"/>
  <c r="AV172" i="2"/>
  <c r="AJ172" i="2"/>
  <c r="AH172" i="2"/>
  <c r="AI172" i="2" s="1"/>
  <c r="AG172" i="2"/>
  <c r="A172" i="2"/>
  <c r="CE171" i="2"/>
  <c r="CF171" i="2" s="1"/>
  <c r="CD171" i="2"/>
  <c r="CC171" i="2"/>
  <c r="BZ171" i="2"/>
  <c r="CA171" i="2" s="1"/>
  <c r="BY171" i="2"/>
  <c r="BX171" i="2"/>
  <c r="BU171" i="2"/>
  <c r="BV171" i="2" s="1"/>
  <c r="BT171" i="2"/>
  <c r="BS171" i="2"/>
  <c r="BP171" i="2"/>
  <c r="BO171" i="2"/>
  <c r="BQ171" i="2" s="1"/>
  <c r="BN171" i="2"/>
  <c r="BK171" i="2"/>
  <c r="BJ171" i="2"/>
  <c r="BI171" i="2"/>
  <c r="BG171" i="2"/>
  <c r="BF171" i="2"/>
  <c r="BE171" i="2"/>
  <c r="BD171" i="2"/>
  <c r="BB171" i="2"/>
  <c r="BA171" i="2"/>
  <c r="AZ171" i="2"/>
  <c r="AV171" i="2"/>
  <c r="AI171" i="2"/>
  <c r="AH171" i="2"/>
  <c r="AJ171" i="2" s="1"/>
  <c r="AG171" i="2"/>
  <c r="A171" i="2"/>
  <c r="CE170" i="2"/>
  <c r="CD170" i="2"/>
  <c r="CF170" i="2" s="1"/>
  <c r="CC170" i="2"/>
  <c r="CA170" i="2"/>
  <c r="BZ170" i="2"/>
  <c r="BY170" i="2"/>
  <c r="BX170" i="2"/>
  <c r="BV170" i="2"/>
  <c r="BU170" i="2"/>
  <c r="BT170" i="2"/>
  <c r="BS170" i="2"/>
  <c r="BP170" i="2"/>
  <c r="BO170" i="2"/>
  <c r="BN170" i="2"/>
  <c r="BK170" i="2"/>
  <c r="BL170" i="2" s="1"/>
  <c r="BJ170" i="2"/>
  <c r="BI170" i="2"/>
  <c r="BG170" i="2"/>
  <c r="BF170" i="2"/>
  <c r="BE170" i="2"/>
  <c r="BD170" i="2"/>
  <c r="BB170" i="2"/>
  <c r="BA170" i="2"/>
  <c r="AZ170" i="2"/>
  <c r="AV170" i="2"/>
  <c r="AJ170" i="2"/>
  <c r="AI170" i="2"/>
  <c r="AH170" i="2"/>
  <c r="AG170" i="2"/>
  <c r="A170" i="2"/>
  <c r="CE169" i="2"/>
  <c r="CD169" i="2"/>
  <c r="CC169" i="2"/>
  <c r="CA169" i="2"/>
  <c r="BZ169" i="2"/>
  <c r="BY169" i="2"/>
  <c r="BX169" i="2"/>
  <c r="BU169" i="2"/>
  <c r="BV169" i="2" s="1"/>
  <c r="BT169" i="2"/>
  <c r="BS169" i="2"/>
  <c r="BQ169" i="2"/>
  <c r="BP169" i="2"/>
  <c r="BO169" i="2"/>
  <c r="BN169" i="2"/>
  <c r="BK169" i="2"/>
  <c r="BJ169" i="2"/>
  <c r="BI169" i="2"/>
  <c r="BF169" i="2"/>
  <c r="BG169" i="2" s="1"/>
  <c r="BE169" i="2"/>
  <c r="BD169" i="2"/>
  <c r="BB169" i="2"/>
  <c r="BA169" i="2"/>
  <c r="AZ169" i="2"/>
  <c r="AV169" i="2"/>
  <c r="AH169" i="2"/>
  <c r="AG169" i="2"/>
  <c r="A169" i="2"/>
  <c r="CE168" i="2"/>
  <c r="CF168" i="2" s="1"/>
  <c r="CD168" i="2"/>
  <c r="CC168" i="2"/>
  <c r="CA168" i="2"/>
  <c r="BZ168" i="2"/>
  <c r="BY168" i="2"/>
  <c r="BX168" i="2"/>
  <c r="BV168" i="2"/>
  <c r="BU168" i="2"/>
  <c r="BT168" i="2"/>
  <c r="BS168" i="2"/>
  <c r="BP168" i="2"/>
  <c r="BO168" i="2"/>
  <c r="BQ168" i="2" s="1"/>
  <c r="BN168" i="2"/>
  <c r="BL168" i="2"/>
  <c r="BK168" i="2"/>
  <c r="BJ168" i="2"/>
  <c r="BI168" i="2"/>
  <c r="BF168" i="2"/>
  <c r="BE168" i="2"/>
  <c r="BG168" i="2" s="1"/>
  <c r="BD168" i="2"/>
  <c r="BB168" i="2"/>
  <c r="BA168" i="2"/>
  <c r="AZ168" i="2"/>
  <c r="AV168" i="2"/>
  <c r="AH168" i="2"/>
  <c r="AJ168" i="2" s="1"/>
  <c r="AG168" i="2"/>
  <c r="A168" i="2"/>
  <c r="CF167" i="2"/>
  <c r="CE167" i="2"/>
  <c r="CD167" i="2"/>
  <c r="CC167" i="2"/>
  <c r="BZ167" i="2"/>
  <c r="CA167" i="2" s="1"/>
  <c r="BY167" i="2"/>
  <c r="BX167" i="2"/>
  <c r="BU167" i="2"/>
  <c r="BT167" i="2"/>
  <c r="BV167" i="2" s="1"/>
  <c r="BS167" i="2"/>
  <c r="BP167" i="2"/>
  <c r="BO167" i="2"/>
  <c r="BN167" i="2"/>
  <c r="BL167" i="2"/>
  <c r="BK167" i="2"/>
  <c r="BJ167" i="2"/>
  <c r="BI167" i="2"/>
  <c r="BF167" i="2"/>
  <c r="BG167" i="2" s="1"/>
  <c r="BE167" i="2"/>
  <c r="BD167" i="2"/>
  <c r="BB167" i="2"/>
  <c r="BA167" i="2"/>
  <c r="AZ167" i="2"/>
  <c r="AV167" i="2"/>
  <c r="AJ167" i="2"/>
  <c r="AI167" i="2"/>
  <c r="AH167" i="2"/>
  <c r="AG167" i="2"/>
  <c r="A167" i="2"/>
  <c r="CE166" i="2"/>
  <c r="CF166" i="2" s="1"/>
  <c r="CD166" i="2"/>
  <c r="CC166" i="2"/>
  <c r="BZ166" i="2"/>
  <c r="BY166" i="2"/>
  <c r="CA166" i="2" s="1"/>
  <c r="BX166" i="2"/>
  <c r="BU166" i="2"/>
  <c r="BV166" i="2" s="1"/>
  <c r="BT166" i="2"/>
  <c r="BS166" i="2"/>
  <c r="BP166" i="2"/>
  <c r="BQ166" i="2" s="1"/>
  <c r="BO166" i="2"/>
  <c r="BN166" i="2"/>
  <c r="BL166" i="2"/>
  <c r="BK166" i="2"/>
  <c r="BJ166" i="2"/>
  <c r="BI166" i="2"/>
  <c r="BG166" i="2"/>
  <c r="BF166" i="2"/>
  <c r="BE166" i="2"/>
  <c r="BD166" i="2"/>
  <c r="BB166" i="2"/>
  <c r="BA166" i="2"/>
  <c r="AZ166" i="2"/>
  <c r="AV166" i="2"/>
  <c r="AH166" i="2"/>
  <c r="AG166" i="2"/>
  <c r="A166" i="2"/>
  <c r="CE165" i="2"/>
  <c r="CF165" i="2" s="1"/>
  <c r="CD165" i="2"/>
  <c r="CC165" i="2"/>
  <c r="BZ165" i="2"/>
  <c r="CA165" i="2" s="1"/>
  <c r="BY165" i="2"/>
  <c r="BX165" i="2"/>
  <c r="BU165" i="2"/>
  <c r="BV165" i="2" s="1"/>
  <c r="BT165" i="2"/>
  <c r="BS165" i="2"/>
  <c r="BP165" i="2"/>
  <c r="BQ165" i="2" s="1"/>
  <c r="BO165" i="2"/>
  <c r="BN165" i="2"/>
  <c r="BK165" i="2"/>
  <c r="BL165" i="2" s="1"/>
  <c r="BJ165" i="2"/>
  <c r="BI165" i="2"/>
  <c r="BF165" i="2"/>
  <c r="BE165" i="2"/>
  <c r="BG165" i="2" s="1"/>
  <c r="BD165" i="2"/>
  <c r="BB165" i="2"/>
  <c r="BA165" i="2"/>
  <c r="AZ165" i="2"/>
  <c r="AV165" i="2"/>
  <c r="AH165" i="2"/>
  <c r="AJ165" i="2" s="1"/>
  <c r="AG165" i="2"/>
  <c r="A165" i="2"/>
  <c r="CE164" i="2"/>
  <c r="CD164" i="2"/>
  <c r="CF164" i="2" s="1"/>
  <c r="CC164" i="2"/>
  <c r="CA164" i="2"/>
  <c r="BZ164" i="2"/>
  <c r="BY164" i="2"/>
  <c r="BX164" i="2"/>
  <c r="BV164" i="2"/>
  <c r="BU164" i="2"/>
  <c r="BT164" i="2"/>
  <c r="BS164" i="2"/>
  <c r="BP164" i="2"/>
  <c r="BQ164" i="2" s="1"/>
  <c r="BO164" i="2"/>
  <c r="BN164" i="2"/>
  <c r="BK164" i="2"/>
  <c r="BJ164" i="2"/>
  <c r="BL164" i="2" s="1"/>
  <c r="BI164" i="2"/>
  <c r="BF164" i="2"/>
  <c r="BG164" i="2" s="1"/>
  <c r="BE164" i="2"/>
  <c r="BD164" i="2"/>
  <c r="BB164" i="2"/>
  <c r="BA164" i="2"/>
  <c r="AZ164" i="2"/>
  <c r="AV164" i="2"/>
  <c r="AJ164" i="2"/>
  <c r="AI164" i="2"/>
  <c r="AH164" i="2"/>
  <c r="AG164" i="2"/>
  <c r="A164" i="2"/>
  <c r="CE163" i="2"/>
  <c r="CF163" i="2" s="1"/>
  <c r="CD163" i="2"/>
  <c r="CC163" i="2"/>
  <c r="BZ163" i="2"/>
  <c r="BY163" i="2"/>
  <c r="CA163" i="2" s="1"/>
  <c r="BX163" i="2"/>
  <c r="BU163" i="2"/>
  <c r="BT163" i="2"/>
  <c r="BS163" i="2"/>
  <c r="BQ163" i="2"/>
  <c r="BP163" i="2"/>
  <c r="BO163" i="2"/>
  <c r="BN163" i="2"/>
  <c r="BK163" i="2"/>
  <c r="BL163" i="2" s="1"/>
  <c r="BJ163" i="2"/>
  <c r="BI163" i="2"/>
  <c r="BF163" i="2"/>
  <c r="BG163" i="2" s="1"/>
  <c r="BE163" i="2"/>
  <c r="BD163" i="2"/>
  <c r="BB163" i="2"/>
  <c r="BA163" i="2"/>
  <c r="AZ163" i="2"/>
  <c r="AV163" i="2"/>
  <c r="AJ163" i="2"/>
  <c r="AH163" i="2"/>
  <c r="AI163" i="2" s="1"/>
  <c r="AG163" i="2"/>
  <c r="A163" i="2"/>
  <c r="CE162" i="2"/>
  <c r="CD162" i="2"/>
  <c r="CF162" i="2" s="1"/>
  <c r="CC162" i="2"/>
  <c r="BZ162" i="2"/>
  <c r="CA162" i="2" s="1"/>
  <c r="BY162" i="2"/>
  <c r="BX162" i="2"/>
  <c r="BU162" i="2"/>
  <c r="BT162" i="2"/>
  <c r="BV162" i="2" s="1"/>
  <c r="BS162" i="2"/>
  <c r="BQ162" i="2"/>
  <c r="BP162" i="2"/>
  <c r="BO162" i="2"/>
  <c r="BN162" i="2"/>
  <c r="BL162" i="2"/>
  <c r="BK162" i="2"/>
  <c r="BJ162" i="2"/>
  <c r="BI162" i="2"/>
  <c r="BF162" i="2"/>
  <c r="BE162" i="2"/>
  <c r="BG162" i="2" s="1"/>
  <c r="BD162" i="2"/>
  <c r="BB162" i="2"/>
  <c r="BA162" i="2"/>
  <c r="AZ162" i="2"/>
  <c r="AV162" i="2"/>
  <c r="AH162" i="2"/>
  <c r="AG162" i="2"/>
  <c r="A162" i="2"/>
  <c r="CE161" i="2"/>
  <c r="CF161" i="2" s="1"/>
  <c r="CD161" i="2"/>
  <c r="CC161" i="2"/>
  <c r="BZ161" i="2"/>
  <c r="CA161" i="2" s="1"/>
  <c r="BY161" i="2"/>
  <c r="BX161" i="2"/>
  <c r="BU161" i="2"/>
  <c r="BV161" i="2" s="1"/>
  <c r="BT161" i="2"/>
  <c r="BS161" i="2"/>
  <c r="BP161" i="2"/>
  <c r="BQ161" i="2" s="1"/>
  <c r="BO161" i="2"/>
  <c r="BN161" i="2"/>
  <c r="BK161" i="2"/>
  <c r="BJ161" i="2"/>
  <c r="BL161" i="2" s="1"/>
  <c r="BI161" i="2"/>
  <c r="BF161" i="2"/>
  <c r="BE161" i="2"/>
  <c r="BD161" i="2"/>
  <c r="BB161" i="2"/>
  <c r="BA161" i="2"/>
  <c r="AZ161" i="2"/>
  <c r="AV161" i="2"/>
  <c r="AJ161" i="2"/>
  <c r="AI161" i="2"/>
  <c r="AH161" i="2"/>
  <c r="AG161" i="2"/>
  <c r="A161" i="2"/>
  <c r="CF160" i="2"/>
  <c r="CE160" i="2"/>
  <c r="CD160" i="2"/>
  <c r="CC160" i="2"/>
  <c r="CA160" i="2"/>
  <c r="BZ160" i="2"/>
  <c r="BY160" i="2"/>
  <c r="BX160" i="2"/>
  <c r="BV160" i="2"/>
  <c r="BU160" i="2"/>
  <c r="BT160" i="2"/>
  <c r="BS160" i="2"/>
  <c r="BP160" i="2"/>
  <c r="BO160" i="2"/>
  <c r="BQ160" i="2" s="1"/>
  <c r="BN160" i="2"/>
  <c r="BK160" i="2"/>
  <c r="BL160" i="2" s="1"/>
  <c r="BJ160" i="2"/>
  <c r="BI160" i="2"/>
  <c r="BF160" i="2"/>
  <c r="BG160" i="2" s="1"/>
  <c r="BE160" i="2"/>
  <c r="BD160" i="2"/>
  <c r="BB160" i="2"/>
  <c r="BA160" i="2"/>
  <c r="AZ160" i="2"/>
  <c r="AV160" i="2"/>
  <c r="AJ160" i="2"/>
  <c r="AH160" i="2"/>
  <c r="AI160" i="2" s="1"/>
  <c r="AG160" i="2"/>
  <c r="A160" i="2"/>
  <c r="CE159" i="2"/>
  <c r="CD159" i="2"/>
  <c r="CF159" i="2" s="1"/>
  <c r="CC159" i="2"/>
  <c r="BZ159" i="2"/>
  <c r="BY159" i="2"/>
  <c r="BX159" i="2"/>
  <c r="BV159" i="2"/>
  <c r="BU159" i="2"/>
  <c r="BT159" i="2"/>
  <c r="BS159" i="2"/>
  <c r="BP159" i="2"/>
  <c r="BQ159" i="2" s="1"/>
  <c r="BO159" i="2"/>
  <c r="BN159" i="2"/>
  <c r="BK159" i="2"/>
  <c r="BL159" i="2" s="1"/>
  <c r="BJ159" i="2"/>
  <c r="BI159" i="2"/>
  <c r="BF159" i="2"/>
  <c r="BE159" i="2"/>
  <c r="BG159" i="2" s="1"/>
  <c r="BD159" i="2"/>
  <c r="BB159" i="2"/>
  <c r="BA159" i="2"/>
  <c r="AZ159" i="2"/>
  <c r="AV159" i="2"/>
  <c r="AJ159" i="2"/>
  <c r="AI159" i="2"/>
  <c r="AH159" i="2"/>
  <c r="AG159" i="2"/>
  <c r="A159" i="2"/>
  <c r="CE158" i="2"/>
  <c r="CD158" i="2"/>
  <c r="CC158" i="2"/>
  <c r="BZ158" i="2"/>
  <c r="CA158" i="2" s="1"/>
  <c r="BY158" i="2"/>
  <c r="BX158" i="2"/>
  <c r="BU158" i="2"/>
  <c r="BT158" i="2"/>
  <c r="BV158" i="2" s="1"/>
  <c r="BS158" i="2"/>
  <c r="BP158" i="2"/>
  <c r="BQ158" i="2" s="1"/>
  <c r="BO158" i="2"/>
  <c r="BN158" i="2"/>
  <c r="BL158" i="2"/>
  <c r="BK158" i="2"/>
  <c r="BJ158" i="2"/>
  <c r="BI158" i="2"/>
  <c r="BF158" i="2"/>
  <c r="BE158" i="2"/>
  <c r="BD158" i="2"/>
  <c r="BB158" i="2"/>
  <c r="BA158" i="2"/>
  <c r="AZ158" i="2"/>
  <c r="AV158" i="2"/>
  <c r="AJ158" i="2"/>
  <c r="AH158" i="2"/>
  <c r="AI158" i="2" s="1"/>
  <c r="AG158" i="2"/>
  <c r="A158" i="2"/>
  <c r="CE157" i="2"/>
  <c r="CF157" i="2" s="1"/>
  <c r="CD157" i="2"/>
  <c r="CC157" i="2"/>
  <c r="BZ157" i="2"/>
  <c r="CA157" i="2" s="1"/>
  <c r="BY157" i="2"/>
  <c r="BX157" i="2"/>
  <c r="BU157" i="2"/>
  <c r="BV157" i="2" s="1"/>
  <c r="BT157" i="2"/>
  <c r="BS157" i="2"/>
  <c r="BP157" i="2"/>
  <c r="BO157" i="2"/>
  <c r="BQ157" i="2" s="1"/>
  <c r="BN157" i="2"/>
  <c r="BK157" i="2"/>
  <c r="BL157" i="2" s="1"/>
  <c r="BJ157" i="2"/>
  <c r="BI157" i="2"/>
  <c r="BG157" i="2"/>
  <c r="BF157" i="2"/>
  <c r="BE157" i="2"/>
  <c r="BD157" i="2"/>
  <c r="BB157" i="2"/>
  <c r="BA157" i="2"/>
  <c r="AZ157" i="2"/>
  <c r="AV157" i="2"/>
  <c r="AI157" i="2"/>
  <c r="AH157" i="2"/>
  <c r="AJ157" i="2" s="1"/>
  <c r="AG157" i="2"/>
  <c r="A157" i="2"/>
  <c r="CE156" i="2"/>
  <c r="CD156" i="2"/>
  <c r="CF156" i="2" s="1"/>
  <c r="CC156" i="2"/>
  <c r="BZ156" i="2"/>
  <c r="CA156" i="2" s="1"/>
  <c r="BY156" i="2"/>
  <c r="BX156" i="2"/>
  <c r="BU156" i="2"/>
  <c r="BT156" i="2"/>
  <c r="BV156" i="2" s="1"/>
  <c r="BS156" i="2"/>
  <c r="BP156" i="2"/>
  <c r="BQ156" i="2" s="1"/>
  <c r="BO156" i="2"/>
  <c r="BN156" i="2"/>
  <c r="BK156" i="2"/>
  <c r="BL156" i="2" s="1"/>
  <c r="BJ156" i="2"/>
  <c r="BI156" i="2"/>
  <c r="BF156" i="2"/>
  <c r="BE156" i="2"/>
  <c r="BG156" i="2" s="1"/>
  <c r="BD156" i="2"/>
  <c r="BB156" i="2"/>
  <c r="BA156" i="2"/>
  <c r="AZ156" i="2"/>
  <c r="AV156" i="2"/>
  <c r="AJ156" i="2"/>
  <c r="AH156" i="2"/>
  <c r="AI156" i="2" s="1"/>
  <c r="AG156" i="2"/>
  <c r="A156" i="2"/>
  <c r="CE155" i="2"/>
  <c r="CF155" i="2" s="1"/>
  <c r="CD155" i="2"/>
  <c r="CC155" i="2"/>
  <c r="BZ155" i="2"/>
  <c r="CA155" i="2" s="1"/>
  <c r="BY155" i="2"/>
  <c r="BX155" i="2"/>
  <c r="BU155" i="2"/>
  <c r="BV155" i="2" s="1"/>
  <c r="BT155" i="2"/>
  <c r="BS155" i="2"/>
  <c r="BQ155" i="2"/>
  <c r="BP155" i="2"/>
  <c r="BO155" i="2"/>
  <c r="BN155" i="2"/>
  <c r="BK155" i="2"/>
  <c r="BL155" i="2" s="1"/>
  <c r="BJ155" i="2"/>
  <c r="BI155" i="2"/>
  <c r="BF155" i="2"/>
  <c r="BG155" i="2" s="1"/>
  <c r="BE155" i="2"/>
  <c r="BD155" i="2"/>
  <c r="BB155" i="2"/>
  <c r="BA155" i="2"/>
  <c r="AZ155" i="2"/>
  <c r="AV155" i="2"/>
  <c r="AJ155" i="2"/>
  <c r="AI155" i="2"/>
  <c r="AH155" i="2"/>
  <c r="AG155" i="2"/>
  <c r="A155" i="2"/>
  <c r="CE154" i="2"/>
  <c r="CF154" i="2" s="1"/>
  <c r="CD154" i="2"/>
  <c r="CC154" i="2"/>
  <c r="CA154" i="2"/>
  <c r="BZ154" i="2"/>
  <c r="BY154" i="2"/>
  <c r="BX154" i="2"/>
  <c r="BU154" i="2"/>
  <c r="BV154" i="2" s="1"/>
  <c r="BT154" i="2"/>
  <c r="BS154" i="2"/>
  <c r="BQ154" i="2"/>
  <c r="BP154" i="2"/>
  <c r="BO154" i="2"/>
  <c r="BN154" i="2"/>
  <c r="BK154" i="2"/>
  <c r="BJ154" i="2"/>
  <c r="BI154" i="2"/>
  <c r="BF154" i="2"/>
  <c r="BE154" i="2"/>
  <c r="BG154" i="2" s="1"/>
  <c r="BD154" i="2"/>
  <c r="BB154" i="2"/>
  <c r="BA154" i="2"/>
  <c r="AZ154" i="2"/>
  <c r="AV154" i="2"/>
  <c r="AH154" i="2"/>
  <c r="AJ154" i="2" s="1"/>
  <c r="AG154" i="2"/>
  <c r="A154" i="2"/>
  <c r="CE153" i="2"/>
  <c r="CF153" i="2" s="1"/>
  <c r="CD153" i="2"/>
  <c r="CC153" i="2"/>
  <c r="CA153" i="2"/>
  <c r="BZ153" i="2"/>
  <c r="BY153" i="2"/>
  <c r="BX153" i="2"/>
  <c r="BV153" i="2"/>
  <c r="BU153" i="2"/>
  <c r="BT153" i="2"/>
  <c r="BS153" i="2"/>
  <c r="BQ153" i="2"/>
  <c r="BP153" i="2"/>
  <c r="BO153" i="2"/>
  <c r="BN153" i="2"/>
  <c r="BK153" i="2"/>
  <c r="BL153" i="2" s="1"/>
  <c r="BJ153" i="2"/>
  <c r="BI153" i="2"/>
  <c r="BF153" i="2"/>
  <c r="BG153" i="2" s="1"/>
  <c r="BE153" i="2"/>
  <c r="BD153" i="2"/>
  <c r="BB153" i="2"/>
  <c r="BA153" i="2"/>
  <c r="AZ153" i="2"/>
  <c r="AV153" i="2"/>
  <c r="AJ153" i="2"/>
  <c r="AI153" i="2"/>
  <c r="AH153" i="2"/>
  <c r="AG153" i="2"/>
  <c r="A153" i="2"/>
  <c r="CE152" i="2"/>
  <c r="CD152" i="2"/>
  <c r="CF152" i="2" s="1"/>
  <c r="CC152" i="2"/>
  <c r="CA152" i="2"/>
  <c r="BZ152" i="2"/>
  <c r="BY152" i="2"/>
  <c r="BX152" i="2"/>
  <c r="BV152" i="2"/>
  <c r="BU152" i="2"/>
  <c r="BT152" i="2"/>
  <c r="BS152" i="2"/>
  <c r="BP152" i="2"/>
  <c r="BQ152" i="2" s="1"/>
  <c r="BO152" i="2"/>
  <c r="BN152" i="2"/>
  <c r="BK152" i="2"/>
  <c r="BJ152" i="2"/>
  <c r="BI152" i="2"/>
  <c r="BG152" i="2"/>
  <c r="BF152" i="2"/>
  <c r="BE152" i="2"/>
  <c r="BD152" i="2"/>
  <c r="BB152" i="2"/>
  <c r="BA152" i="2"/>
  <c r="AZ152" i="2"/>
  <c r="AV152" i="2"/>
  <c r="AH152" i="2"/>
  <c r="L191" i="2" s="1"/>
  <c r="AG152" i="2"/>
  <c r="A152" i="2"/>
  <c r="CE151" i="2"/>
  <c r="CD151" i="2"/>
  <c r="CF151" i="2" s="1"/>
  <c r="CC151" i="2"/>
  <c r="BZ151" i="2"/>
  <c r="BY151" i="2"/>
  <c r="BX151" i="2"/>
  <c r="BU151" i="2"/>
  <c r="BT151" i="2"/>
  <c r="BS151" i="2"/>
  <c r="BP151" i="2"/>
  <c r="BQ151" i="2" s="1"/>
  <c r="BO151" i="2"/>
  <c r="BN151" i="2"/>
  <c r="BK151" i="2"/>
  <c r="BL151" i="2" s="1"/>
  <c r="BJ151" i="2"/>
  <c r="BI151" i="2"/>
  <c r="BF151" i="2"/>
  <c r="BE151" i="2"/>
  <c r="BD151" i="2"/>
  <c r="BB151" i="2"/>
  <c r="BA151" i="2"/>
  <c r="AZ151" i="2"/>
  <c r="AV151" i="2"/>
  <c r="AJ151" i="2"/>
  <c r="AI151" i="2"/>
  <c r="AH151" i="2"/>
  <c r="AG151" i="2"/>
  <c r="A151" i="2"/>
  <c r="CF150" i="2"/>
  <c r="CE150" i="2"/>
  <c r="CD150" i="2"/>
  <c r="CC150" i="2"/>
  <c r="BZ150" i="2"/>
  <c r="CA150" i="2" s="1"/>
  <c r="BY150" i="2"/>
  <c r="BX150" i="2"/>
  <c r="BU150" i="2"/>
  <c r="BT150" i="2"/>
  <c r="BV150" i="2" s="1"/>
  <c r="BS150" i="2"/>
  <c r="BQ150" i="2"/>
  <c r="BP150" i="2"/>
  <c r="BO150" i="2"/>
  <c r="BN150" i="2"/>
  <c r="BK150" i="2"/>
  <c r="BJ150" i="2"/>
  <c r="BL150" i="2" s="1"/>
  <c r="BI150" i="2"/>
  <c r="BG150" i="2"/>
  <c r="BF150" i="2"/>
  <c r="BE150" i="2"/>
  <c r="BD150" i="2"/>
  <c r="BB150" i="2"/>
  <c r="BA150" i="2"/>
  <c r="AZ150" i="2"/>
  <c r="AV150" i="2"/>
  <c r="AJ150" i="2"/>
  <c r="AH150" i="2"/>
  <c r="AI150" i="2" s="1"/>
  <c r="AG150" i="2"/>
  <c r="A150" i="2"/>
  <c r="CF149" i="2"/>
  <c r="CE149" i="2"/>
  <c r="CD149" i="2"/>
  <c r="CC149" i="2"/>
  <c r="BZ149" i="2"/>
  <c r="CA149" i="2" s="1"/>
  <c r="BY149" i="2"/>
  <c r="BX149" i="2"/>
  <c r="BU149" i="2"/>
  <c r="BV149" i="2" s="1"/>
  <c r="BT149" i="2"/>
  <c r="BS149" i="2"/>
  <c r="BP149" i="2"/>
  <c r="BQ149" i="2" s="1"/>
  <c r="BO149" i="2"/>
  <c r="BN149" i="2"/>
  <c r="BK149" i="2"/>
  <c r="BJ149" i="2"/>
  <c r="BI149" i="2"/>
  <c r="BG149" i="2"/>
  <c r="BF149" i="2"/>
  <c r="BE149" i="2"/>
  <c r="BD149" i="2"/>
  <c r="BB149" i="2"/>
  <c r="BA149" i="2"/>
  <c r="AZ149" i="2"/>
  <c r="AV149" i="2"/>
  <c r="AH149" i="2"/>
  <c r="AJ149" i="2" s="1"/>
  <c r="AG149" i="2"/>
  <c r="A149" i="2"/>
  <c r="CF148" i="2"/>
  <c r="CE148" i="2"/>
  <c r="CD148" i="2"/>
  <c r="CC148" i="2"/>
  <c r="BZ148" i="2"/>
  <c r="CA148" i="2" s="1"/>
  <c r="BY148" i="2"/>
  <c r="BX148" i="2"/>
  <c r="BU148" i="2"/>
  <c r="BV148" i="2" s="1"/>
  <c r="BT148" i="2"/>
  <c r="BS148" i="2"/>
  <c r="BP148" i="2"/>
  <c r="BQ148" i="2" s="1"/>
  <c r="BO148" i="2"/>
  <c r="BN148" i="2"/>
  <c r="BK148" i="2"/>
  <c r="BJ148" i="2"/>
  <c r="BL148" i="2" s="1"/>
  <c r="BI148" i="2"/>
  <c r="BF148" i="2"/>
  <c r="BE148" i="2"/>
  <c r="BG148" i="2" s="1"/>
  <c r="BD148" i="2"/>
  <c r="BB148" i="2"/>
  <c r="BA148" i="2"/>
  <c r="AZ148" i="2"/>
  <c r="AV148" i="2"/>
  <c r="AH148" i="2"/>
  <c r="AG148" i="2"/>
  <c r="A148" i="2"/>
  <c r="CE147" i="2"/>
  <c r="CF147" i="2" s="1"/>
  <c r="CD147" i="2"/>
  <c r="CC147" i="2"/>
  <c r="BZ147" i="2"/>
  <c r="BY147" i="2"/>
  <c r="BX147" i="2"/>
  <c r="BV147" i="2"/>
  <c r="BU147" i="2"/>
  <c r="BT147" i="2"/>
  <c r="BS147" i="2"/>
  <c r="BP147" i="2"/>
  <c r="BQ147" i="2" s="1"/>
  <c r="BO147" i="2"/>
  <c r="BN147" i="2"/>
  <c r="BK147" i="2"/>
  <c r="BJ147" i="2"/>
  <c r="BL147" i="2" s="1"/>
  <c r="BI147" i="2"/>
  <c r="BG147" i="2"/>
  <c r="BF147" i="2"/>
  <c r="BE147" i="2"/>
  <c r="BD147" i="2"/>
  <c r="BB147" i="2"/>
  <c r="BA147" i="2"/>
  <c r="AZ147" i="2"/>
  <c r="AV147" i="2"/>
  <c r="AI147" i="2"/>
  <c r="AH147" i="2"/>
  <c r="AJ147" i="2" s="1"/>
  <c r="AG147" i="2"/>
  <c r="A147" i="2"/>
  <c r="CF146" i="2"/>
  <c r="CE146" i="2"/>
  <c r="CD146" i="2"/>
  <c r="CC146" i="2"/>
  <c r="BZ146" i="2"/>
  <c r="BY146" i="2"/>
  <c r="BX146" i="2"/>
  <c r="BU146" i="2"/>
  <c r="BT146" i="2"/>
  <c r="BV146" i="2" s="1"/>
  <c r="BS146" i="2"/>
  <c r="BQ146" i="2"/>
  <c r="BP146" i="2"/>
  <c r="BO146" i="2"/>
  <c r="BN146" i="2"/>
  <c r="BK146" i="2"/>
  <c r="BL146" i="2" s="1"/>
  <c r="BJ146" i="2"/>
  <c r="BI146" i="2"/>
  <c r="BF146" i="2"/>
  <c r="BG146" i="2" s="1"/>
  <c r="BE146" i="2"/>
  <c r="BD146" i="2"/>
  <c r="BB146" i="2"/>
  <c r="BA146" i="2"/>
  <c r="AZ146" i="2"/>
  <c r="AV146" i="2"/>
  <c r="AJ146" i="2"/>
  <c r="AH146" i="2"/>
  <c r="AI146" i="2" s="1"/>
  <c r="AG146" i="2"/>
  <c r="A146" i="2"/>
  <c r="CE145" i="2"/>
  <c r="CD145" i="2"/>
  <c r="CF145" i="2" s="1"/>
  <c r="CC145" i="2"/>
  <c r="BZ145" i="2"/>
  <c r="CA145" i="2" s="1"/>
  <c r="BY145" i="2"/>
  <c r="BX145" i="2"/>
  <c r="BU145" i="2"/>
  <c r="BT145" i="2"/>
  <c r="BS145" i="2"/>
  <c r="BQ145" i="2"/>
  <c r="BP145" i="2"/>
  <c r="BO145" i="2"/>
  <c r="BN145" i="2"/>
  <c r="BK145" i="2"/>
  <c r="BJ145" i="2"/>
  <c r="BI145" i="2"/>
  <c r="BG145" i="2"/>
  <c r="BF145" i="2"/>
  <c r="BE145" i="2"/>
  <c r="BD145" i="2"/>
  <c r="BB145" i="2"/>
  <c r="BA145" i="2"/>
  <c r="AZ145" i="2"/>
  <c r="AV145" i="2"/>
  <c r="AH145" i="2"/>
  <c r="AG145" i="2"/>
  <c r="A145" i="2"/>
  <c r="CE144" i="2"/>
  <c r="CF144" i="2" s="1"/>
  <c r="CD144" i="2"/>
  <c r="CC144" i="2"/>
  <c r="BZ144" i="2"/>
  <c r="BY144" i="2"/>
  <c r="BX144" i="2"/>
  <c r="BU144" i="2"/>
  <c r="BV144" i="2" s="1"/>
  <c r="BT144" i="2"/>
  <c r="BS144" i="2"/>
  <c r="BQ144" i="2"/>
  <c r="BP144" i="2"/>
  <c r="BO144" i="2"/>
  <c r="BN144" i="2"/>
  <c r="BK144" i="2"/>
  <c r="BL144" i="2" s="1"/>
  <c r="BJ144" i="2"/>
  <c r="BI144" i="2"/>
  <c r="BF144" i="2"/>
  <c r="BG144" i="2" s="1"/>
  <c r="BE144" i="2"/>
  <c r="BD144" i="2"/>
  <c r="BB144" i="2"/>
  <c r="BA144" i="2"/>
  <c r="AZ144" i="2"/>
  <c r="AV144" i="2"/>
  <c r="AJ144" i="2"/>
  <c r="AI144" i="2"/>
  <c r="AH144" i="2"/>
  <c r="AG144" i="2"/>
  <c r="A144" i="2"/>
  <c r="CE143" i="2"/>
  <c r="CD143" i="2"/>
  <c r="CC143" i="2"/>
  <c r="BZ143" i="2"/>
  <c r="BY143" i="2"/>
  <c r="CA143" i="2" s="1"/>
  <c r="BX143" i="2"/>
  <c r="BU143" i="2"/>
  <c r="BT143" i="2"/>
  <c r="BS143" i="2"/>
  <c r="BP143" i="2"/>
  <c r="BO143" i="2"/>
  <c r="BQ143" i="2" s="1"/>
  <c r="BN143" i="2"/>
  <c r="BK143" i="2"/>
  <c r="BL143" i="2" s="1"/>
  <c r="BJ143" i="2"/>
  <c r="BI143" i="2"/>
  <c r="BF143" i="2"/>
  <c r="BE143" i="2"/>
  <c r="BD143" i="2"/>
  <c r="BB143" i="2"/>
  <c r="BA143" i="2"/>
  <c r="AZ143" i="2"/>
  <c r="AV143" i="2"/>
  <c r="AJ143" i="2"/>
  <c r="AI143" i="2"/>
  <c r="AH143" i="2"/>
  <c r="AG143" i="2"/>
  <c r="A143" i="2"/>
  <c r="CE142" i="2"/>
  <c r="CD142" i="2"/>
  <c r="CC142" i="2"/>
  <c r="BZ142" i="2"/>
  <c r="BY142" i="2"/>
  <c r="BX142" i="2"/>
  <c r="BU142" i="2"/>
  <c r="BV142" i="2" s="1"/>
  <c r="BT142" i="2"/>
  <c r="BS142" i="2"/>
  <c r="BP142" i="2"/>
  <c r="BQ142" i="2" s="1"/>
  <c r="BO142" i="2"/>
  <c r="BN142" i="2"/>
  <c r="BK142" i="2"/>
  <c r="BL142" i="2" s="1"/>
  <c r="BJ142" i="2"/>
  <c r="BI142" i="2"/>
  <c r="BG142" i="2"/>
  <c r="BF142" i="2"/>
  <c r="BE142" i="2"/>
  <c r="BD142" i="2"/>
  <c r="BB142" i="2"/>
  <c r="BA142" i="2"/>
  <c r="AZ142" i="2"/>
  <c r="AV142" i="2"/>
  <c r="AJ142" i="2"/>
  <c r="AI142" i="2"/>
  <c r="AH142" i="2"/>
  <c r="AG142" i="2"/>
  <c r="A142" i="2"/>
  <c r="CF141" i="2"/>
  <c r="CE141" i="2"/>
  <c r="CD141" i="2"/>
  <c r="CC141" i="2"/>
  <c r="CA141" i="2"/>
  <c r="BZ141" i="2"/>
  <c r="BY141" i="2"/>
  <c r="BX141" i="2"/>
  <c r="BU141" i="2"/>
  <c r="BV141" i="2" s="1"/>
  <c r="BT141" i="2"/>
  <c r="BS141" i="2"/>
  <c r="BP141" i="2"/>
  <c r="BO141" i="2"/>
  <c r="BN141" i="2"/>
  <c r="BL141" i="2"/>
  <c r="BK141" i="2"/>
  <c r="BJ141" i="2"/>
  <c r="BI141" i="2"/>
  <c r="BF141" i="2"/>
  <c r="BE141" i="2"/>
  <c r="BG141" i="2" s="1"/>
  <c r="BD141" i="2"/>
  <c r="BB141" i="2"/>
  <c r="BA141" i="2"/>
  <c r="AZ141" i="2"/>
  <c r="AV141" i="2"/>
  <c r="AH141" i="2"/>
  <c r="AJ141" i="2" s="1"/>
  <c r="AG141" i="2"/>
  <c r="A141" i="2"/>
  <c r="CE140" i="2"/>
  <c r="CF140" i="2" s="1"/>
  <c r="CD140" i="2"/>
  <c r="CC140" i="2"/>
  <c r="BZ140" i="2"/>
  <c r="CA140" i="2" s="1"/>
  <c r="BY140" i="2"/>
  <c r="BX140" i="2"/>
  <c r="BV140" i="2"/>
  <c r="BU140" i="2"/>
  <c r="BT140" i="2"/>
  <c r="BS140" i="2"/>
  <c r="BP140" i="2"/>
  <c r="BQ140" i="2" s="1"/>
  <c r="BO140" i="2"/>
  <c r="BN140" i="2"/>
  <c r="BK140" i="2"/>
  <c r="BJ140" i="2"/>
  <c r="BL140" i="2" s="1"/>
  <c r="BI140" i="2"/>
  <c r="BG140" i="2"/>
  <c r="BF140" i="2"/>
  <c r="BE140" i="2"/>
  <c r="BD140" i="2"/>
  <c r="BB140" i="2"/>
  <c r="BA140" i="2"/>
  <c r="AZ140" i="2"/>
  <c r="AV140" i="2"/>
  <c r="AH140" i="2"/>
  <c r="AJ140" i="2" s="1"/>
  <c r="AG140" i="2"/>
  <c r="A140" i="2"/>
  <c r="CF139" i="2"/>
  <c r="CE139" i="2"/>
  <c r="CD139" i="2"/>
  <c r="CC139" i="2"/>
  <c r="BZ139" i="2"/>
  <c r="CA139" i="2" s="1"/>
  <c r="BY139" i="2"/>
  <c r="BX139" i="2"/>
  <c r="BU139" i="2"/>
  <c r="BT139" i="2"/>
  <c r="BV139" i="2" s="1"/>
  <c r="BS139" i="2"/>
  <c r="BP139" i="2"/>
  <c r="BO139" i="2"/>
  <c r="BQ139" i="2" s="1"/>
  <c r="BN139" i="2"/>
  <c r="BK139" i="2"/>
  <c r="BJ139" i="2"/>
  <c r="BL139" i="2" s="1"/>
  <c r="BI139" i="2"/>
  <c r="BF139" i="2"/>
  <c r="BG139" i="2" s="1"/>
  <c r="BE139" i="2"/>
  <c r="BD139" i="2"/>
  <c r="BB139" i="2"/>
  <c r="BA139" i="2"/>
  <c r="AZ139" i="2"/>
  <c r="AV139" i="2"/>
  <c r="AH139" i="2"/>
  <c r="AG139" i="2"/>
  <c r="A139" i="2"/>
  <c r="CF138" i="2"/>
  <c r="CE138" i="2"/>
  <c r="CD138" i="2"/>
  <c r="CC138" i="2"/>
  <c r="CA138" i="2"/>
  <c r="BZ138" i="2"/>
  <c r="BY138" i="2"/>
  <c r="BX138" i="2"/>
  <c r="BU138" i="2"/>
  <c r="BV138" i="2" s="1"/>
  <c r="BT138" i="2"/>
  <c r="BS138" i="2"/>
  <c r="BP138" i="2"/>
  <c r="BQ138" i="2" s="1"/>
  <c r="BO138" i="2"/>
  <c r="BN138" i="2"/>
  <c r="BK138" i="2"/>
  <c r="BJ138" i="2"/>
  <c r="BL138" i="2" s="1"/>
  <c r="BI138" i="2"/>
  <c r="BG138" i="2"/>
  <c r="BF138" i="2"/>
  <c r="BE138" i="2"/>
  <c r="BD138" i="2"/>
  <c r="BB138" i="2"/>
  <c r="BA138" i="2"/>
  <c r="AZ138" i="2"/>
  <c r="AV138" i="2"/>
  <c r="AH138" i="2"/>
  <c r="AG138" i="2"/>
  <c r="A138" i="2"/>
  <c r="CE137" i="2"/>
  <c r="CF137" i="2" s="1"/>
  <c r="CD137" i="2"/>
  <c r="CC137" i="2"/>
  <c r="CA137" i="2"/>
  <c r="BZ137" i="2"/>
  <c r="BY137" i="2"/>
  <c r="BX137" i="2"/>
  <c r="BU137" i="2"/>
  <c r="BT137" i="2"/>
  <c r="BS137" i="2"/>
  <c r="BP137" i="2"/>
  <c r="BO137" i="2"/>
  <c r="BN137" i="2"/>
  <c r="BK137" i="2"/>
  <c r="BL137" i="2" s="1"/>
  <c r="BJ137" i="2"/>
  <c r="BI137" i="2"/>
  <c r="BF137" i="2"/>
  <c r="BE137" i="2"/>
  <c r="BG137" i="2" s="1"/>
  <c r="BD137" i="2"/>
  <c r="BB137" i="2"/>
  <c r="BA137" i="2"/>
  <c r="AZ137" i="2"/>
  <c r="AV137" i="2"/>
  <c r="AJ137" i="2"/>
  <c r="AI137" i="2"/>
  <c r="AH137" i="2"/>
  <c r="AG137" i="2"/>
  <c r="A137" i="2"/>
  <c r="CF136" i="2"/>
  <c r="CE136" i="2"/>
  <c r="CD136" i="2"/>
  <c r="CC136" i="2"/>
  <c r="CA136" i="2"/>
  <c r="BZ136" i="2"/>
  <c r="BY136" i="2"/>
  <c r="BX136" i="2"/>
  <c r="BU136" i="2"/>
  <c r="BT136" i="2"/>
  <c r="BS136" i="2"/>
  <c r="BP136" i="2"/>
  <c r="BO136" i="2"/>
  <c r="BN136" i="2"/>
  <c r="BK136" i="2"/>
  <c r="BJ136" i="2"/>
  <c r="BI136" i="2"/>
  <c r="BF136" i="2"/>
  <c r="BG136" i="2" s="1"/>
  <c r="BE136" i="2"/>
  <c r="BD136" i="2"/>
  <c r="BB136" i="2"/>
  <c r="BA136" i="2"/>
  <c r="AZ136" i="2"/>
  <c r="AV136" i="2"/>
  <c r="AJ136" i="2"/>
  <c r="AI136" i="2"/>
  <c r="AH136" i="2"/>
  <c r="AG136" i="2"/>
  <c r="A136" i="2"/>
  <c r="CF135" i="2"/>
  <c r="CE135" i="2"/>
  <c r="CD135" i="2"/>
  <c r="CC135" i="2"/>
  <c r="BZ135" i="2"/>
  <c r="BY135" i="2"/>
  <c r="CA135" i="2" s="1"/>
  <c r="BX135" i="2"/>
  <c r="BU135" i="2"/>
  <c r="BV135" i="2" s="1"/>
  <c r="BT135" i="2"/>
  <c r="BS135" i="2"/>
  <c r="BP135" i="2"/>
  <c r="BQ135" i="2" s="1"/>
  <c r="BO135" i="2"/>
  <c r="BN135" i="2"/>
  <c r="BL135" i="2"/>
  <c r="BK135" i="2"/>
  <c r="BJ135" i="2"/>
  <c r="BI135" i="2"/>
  <c r="BF135" i="2"/>
  <c r="BG135" i="2" s="1"/>
  <c r="BE135" i="2"/>
  <c r="BD135" i="2"/>
  <c r="BB135" i="2"/>
  <c r="BA135" i="2"/>
  <c r="AZ135" i="2"/>
  <c r="AV135" i="2"/>
  <c r="AJ135" i="2"/>
  <c r="AI135" i="2"/>
  <c r="AH135" i="2"/>
  <c r="AG135" i="2"/>
  <c r="A135" i="2"/>
  <c r="CF134" i="2"/>
  <c r="CE134" i="2"/>
  <c r="CD134" i="2"/>
  <c r="CC134" i="2"/>
  <c r="BZ134" i="2"/>
  <c r="CA134" i="2" s="1"/>
  <c r="BY134" i="2"/>
  <c r="BX134" i="2"/>
  <c r="BU134" i="2"/>
  <c r="BV134" i="2" s="1"/>
  <c r="BT134" i="2"/>
  <c r="BS134" i="2"/>
  <c r="BP134" i="2"/>
  <c r="BO134" i="2"/>
  <c r="BN134" i="2"/>
  <c r="BL134" i="2"/>
  <c r="BK134" i="2"/>
  <c r="BJ134" i="2"/>
  <c r="BI134" i="2"/>
  <c r="BF134" i="2"/>
  <c r="BG134" i="2" s="1"/>
  <c r="BE134" i="2"/>
  <c r="BD134" i="2"/>
  <c r="BB134" i="2"/>
  <c r="BA134" i="2"/>
  <c r="AZ134" i="2"/>
  <c r="AV134" i="2"/>
  <c r="AI134" i="2"/>
  <c r="AH134" i="2"/>
  <c r="AJ134" i="2" s="1"/>
  <c r="AG134" i="2"/>
  <c r="A134" i="2"/>
  <c r="CE133" i="2"/>
  <c r="CD133" i="2"/>
  <c r="CC133" i="2"/>
  <c r="BZ133" i="2"/>
  <c r="BY133" i="2"/>
  <c r="BX133" i="2"/>
  <c r="BU133" i="2"/>
  <c r="BT133" i="2"/>
  <c r="BS133" i="2"/>
  <c r="BP133" i="2"/>
  <c r="BO133" i="2"/>
  <c r="BN133" i="2"/>
  <c r="BK133" i="2"/>
  <c r="BJ133" i="2"/>
  <c r="BI133" i="2"/>
  <c r="BG133" i="2"/>
  <c r="BF133" i="2"/>
  <c r="BE133" i="2"/>
  <c r="BD133" i="2"/>
  <c r="BB133" i="2"/>
  <c r="BA133" i="2"/>
  <c r="AZ133" i="2"/>
  <c r="AV133" i="2"/>
  <c r="AH133" i="2"/>
  <c r="AG133" i="2"/>
  <c r="A133" i="2"/>
  <c r="CF130" i="2"/>
  <c r="CE130" i="2"/>
  <c r="CD130" i="2"/>
  <c r="CC130" i="2"/>
  <c r="BZ130" i="2"/>
  <c r="BY130" i="2"/>
  <c r="BX130" i="2"/>
  <c r="BU130" i="2"/>
  <c r="BT130" i="2"/>
  <c r="BS130" i="2"/>
  <c r="BP130" i="2"/>
  <c r="BQ130" i="2" s="1"/>
  <c r="BO130" i="2"/>
  <c r="BN130" i="2"/>
  <c r="BK130" i="2"/>
  <c r="BL130" i="2" s="1"/>
  <c r="BJ130" i="2"/>
  <c r="BI130" i="2"/>
  <c r="BF130" i="2"/>
  <c r="BG130" i="2" s="1"/>
  <c r="BE130" i="2"/>
  <c r="BD130" i="2"/>
  <c r="BB130" i="2"/>
  <c r="BA130" i="2"/>
  <c r="AZ130" i="2"/>
  <c r="AV130" i="2"/>
  <c r="AJ130" i="2"/>
  <c r="AI130" i="2"/>
  <c r="AH130" i="2"/>
  <c r="AG130" i="2"/>
  <c r="A130" i="2"/>
  <c r="CE129" i="2"/>
  <c r="CD129" i="2"/>
  <c r="CF129" i="2" s="1"/>
  <c r="CC129" i="2"/>
  <c r="CA129" i="2"/>
  <c r="BZ129" i="2"/>
  <c r="BY129" i="2"/>
  <c r="BX129" i="2"/>
  <c r="BU129" i="2"/>
  <c r="BV129" i="2" s="1"/>
  <c r="BT129" i="2"/>
  <c r="BS129" i="2"/>
  <c r="BP129" i="2"/>
  <c r="BQ129" i="2" s="1"/>
  <c r="BO129" i="2"/>
  <c r="BN129" i="2"/>
  <c r="BK129" i="2"/>
  <c r="BL129" i="2" s="1"/>
  <c r="BJ129" i="2"/>
  <c r="BI129" i="2"/>
  <c r="BF129" i="2"/>
  <c r="BG129" i="2" s="1"/>
  <c r="BE129" i="2"/>
  <c r="BD129" i="2"/>
  <c r="BB129" i="2"/>
  <c r="BA129" i="2"/>
  <c r="AZ129" i="2"/>
  <c r="AV129" i="2"/>
  <c r="AJ129" i="2"/>
  <c r="AI129" i="2"/>
  <c r="AH129" i="2"/>
  <c r="AG129" i="2"/>
  <c r="A129" i="2"/>
  <c r="CE128" i="2"/>
  <c r="CF128" i="2" s="1"/>
  <c r="CD128" i="2"/>
  <c r="CC128" i="2"/>
  <c r="BZ128" i="2"/>
  <c r="CA128" i="2" s="1"/>
  <c r="BY128" i="2"/>
  <c r="BX128" i="2"/>
  <c r="BV128" i="2"/>
  <c r="BU128" i="2"/>
  <c r="BT128" i="2"/>
  <c r="BS128" i="2"/>
  <c r="BQ128" i="2"/>
  <c r="BP128" i="2"/>
  <c r="BO128" i="2"/>
  <c r="BN128" i="2"/>
  <c r="BK128" i="2"/>
  <c r="BJ128" i="2"/>
  <c r="BI128" i="2"/>
  <c r="BG128" i="2"/>
  <c r="BF128" i="2"/>
  <c r="BE128" i="2"/>
  <c r="BD128" i="2"/>
  <c r="BB128" i="2"/>
  <c r="BA128" i="2"/>
  <c r="AZ128" i="2"/>
  <c r="AV128" i="2"/>
  <c r="AH128" i="2"/>
  <c r="AJ128" i="2" s="1"/>
  <c r="AG128" i="2"/>
  <c r="A128" i="2"/>
  <c r="CE127" i="2"/>
  <c r="CF127" i="2" s="1"/>
  <c r="CD127" i="2"/>
  <c r="CC127" i="2"/>
  <c r="CA127" i="2"/>
  <c r="BZ127" i="2"/>
  <c r="BY127" i="2"/>
  <c r="BX127" i="2"/>
  <c r="BU127" i="2"/>
  <c r="BT127" i="2"/>
  <c r="BV127" i="2" s="1"/>
  <c r="BS127" i="2"/>
  <c r="BP127" i="2"/>
  <c r="BO127" i="2"/>
  <c r="BQ127" i="2" s="1"/>
  <c r="BN127" i="2"/>
  <c r="BK127" i="2"/>
  <c r="BJ127" i="2"/>
  <c r="BL127" i="2" s="1"/>
  <c r="BI127" i="2"/>
  <c r="BF127" i="2"/>
  <c r="BE127" i="2"/>
  <c r="BG127" i="2" s="1"/>
  <c r="BD127" i="2"/>
  <c r="BB127" i="2"/>
  <c r="BA127" i="2"/>
  <c r="AZ127" i="2"/>
  <c r="AV127" i="2"/>
  <c r="AJ127" i="2"/>
  <c r="AI127" i="2"/>
  <c r="AH127" i="2"/>
  <c r="AG127" i="2"/>
  <c r="A127" i="2"/>
  <c r="CE126" i="2"/>
  <c r="CF126" i="2" s="1"/>
  <c r="CD126" i="2"/>
  <c r="CC126" i="2"/>
  <c r="BZ126" i="2"/>
  <c r="BY126" i="2"/>
  <c r="CA126" i="2" s="1"/>
  <c r="BX126" i="2"/>
  <c r="BU126" i="2"/>
  <c r="BT126" i="2"/>
  <c r="BV126" i="2" s="1"/>
  <c r="BS126" i="2"/>
  <c r="BP126" i="2"/>
  <c r="BQ126" i="2" s="1"/>
  <c r="BO126" i="2"/>
  <c r="BN126" i="2"/>
  <c r="BL126" i="2"/>
  <c r="BK126" i="2"/>
  <c r="BJ126" i="2"/>
  <c r="BI126" i="2"/>
  <c r="BF126" i="2"/>
  <c r="BE126" i="2"/>
  <c r="BD126" i="2"/>
  <c r="BB126" i="2"/>
  <c r="BA126" i="2"/>
  <c r="AZ126" i="2"/>
  <c r="AV126" i="2"/>
  <c r="AJ126" i="2"/>
  <c r="AI126" i="2"/>
  <c r="AH126" i="2"/>
  <c r="AG126" i="2"/>
  <c r="A126" i="2"/>
  <c r="CF125" i="2"/>
  <c r="CE125" i="2"/>
  <c r="CD125" i="2"/>
  <c r="CC125" i="2"/>
  <c r="BZ125" i="2"/>
  <c r="CA125" i="2" s="1"/>
  <c r="BY125" i="2"/>
  <c r="BX125" i="2"/>
  <c r="BV125" i="2"/>
  <c r="BU125" i="2"/>
  <c r="BT125" i="2"/>
  <c r="BS125" i="2"/>
  <c r="BP125" i="2"/>
  <c r="BQ125" i="2" s="1"/>
  <c r="BO125" i="2"/>
  <c r="BN125" i="2"/>
  <c r="BL125" i="2"/>
  <c r="BK125" i="2"/>
  <c r="BJ125" i="2"/>
  <c r="BI125" i="2"/>
  <c r="BG125" i="2"/>
  <c r="BF125" i="2"/>
  <c r="BE125" i="2"/>
  <c r="BD125" i="2"/>
  <c r="BB125" i="2"/>
  <c r="BA125" i="2"/>
  <c r="AZ125" i="2"/>
  <c r="AV125" i="2"/>
  <c r="AH125" i="2"/>
  <c r="AJ125" i="2" s="1"/>
  <c r="AG125" i="2"/>
  <c r="A125" i="2"/>
  <c r="CE124" i="2"/>
  <c r="CD124" i="2"/>
  <c r="CC124" i="2"/>
  <c r="BZ124" i="2"/>
  <c r="CA124" i="2" s="1"/>
  <c r="BY124" i="2"/>
  <c r="BX124" i="2"/>
  <c r="BV124" i="2"/>
  <c r="BU124" i="2"/>
  <c r="BT124" i="2"/>
  <c r="BS124" i="2"/>
  <c r="BP124" i="2"/>
  <c r="BO124" i="2"/>
  <c r="BN124" i="2"/>
  <c r="BK124" i="2"/>
  <c r="BL124" i="2" s="1"/>
  <c r="BJ124" i="2"/>
  <c r="BI124" i="2"/>
  <c r="BF124" i="2"/>
  <c r="BG124" i="2" s="1"/>
  <c r="BE124" i="2"/>
  <c r="BD124" i="2"/>
  <c r="BB124" i="2"/>
  <c r="BA124" i="2"/>
  <c r="AZ124" i="2"/>
  <c r="AV124" i="2"/>
  <c r="AH124" i="2"/>
  <c r="AJ124" i="2" s="1"/>
  <c r="AG124" i="2"/>
  <c r="A124" i="2"/>
  <c r="CE123" i="2"/>
  <c r="CD123" i="2"/>
  <c r="CF123" i="2" s="1"/>
  <c r="CC123" i="2"/>
  <c r="CA123" i="2"/>
  <c r="BZ123" i="2"/>
  <c r="BY123" i="2"/>
  <c r="BX123" i="2"/>
  <c r="BU123" i="2"/>
  <c r="BT123" i="2"/>
  <c r="BV123" i="2" s="1"/>
  <c r="BS123" i="2"/>
  <c r="BQ123" i="2"/>
  <c r="BP123" i="2"/>
  <c r="BO123" i="2"/>
  <c r="BN123" i="2"/>
  <c r="BK123" i="2"/>
  <c r="BL123" i="2" s="1"/>
  <c r="BJ123" i="2"/>
  <c r="BI123" i="2"/>
  <c r="BF123" i="2"/>
  <c r="BG123" i="2" s="1"/>
  <c r="BE123" i="2"/>
  <c r="BD123" i="2"/>
  <c r="BB123" i="2"/>
  <c r="BA123" i="2"/>
  <c r="AZ123" i="2"/>
  <c r="AV123" i="2"/>
  <c r="AH123" i="2"/>
  <c r="AG123" i="2"/>
  <c r="A123" i="2"/>
  <c r="CE122" i="2"/>
  <c r="CF122" i="2" s="1"/>
  <c r="CD122" i="2"/>
  <c r="CC122" i="2"/>
  <c r="CA122" i="2"/>
  <c r="BZ122" i="2"/>
  <c r="BY122" i="2"/>
  <c r="BX122" i="2"/>
  <c r="BU122" i="2"/>
  <c r="BV122" i="2" s="1"/>
  <c r="BT122" i="2"/>
  <c r="BS122" i="2"/>
  <c r="BP122" i="2"/>
  <c r="BQ122" i="2" s="1"/>
  <c r="BO122" i="2"/>
  <c r="BN122" i="2"/>
  <c r="BL122" i="2"/>
  <c r="BK122" i="2"/>
  <c r="BJ122" i="2"/>
  <c r="BI122" i="2"/>
  <c r="BG122" i="2"/>
  <c r="BF122" i="2"/>
  <c r="BE122" i="2"/>
  <c r="BD122" i="2"/>
  <c r="BB122" i="2"/>
  <c r="BA122" i="2"/>
  <c r="AZ122" i="2"/>
  <c r="AV122" i="2"/>
  <c r="AI122" i="2"/>
  <c r="AH122" i="2"/>
  <c r="AJ122" i="2" s="1"/>
  <c r="AG122" i="2"/>
  <c r="A122" i="2"/>
  <c r="CE121" i="2"/>
  <c r="CF121" i="2" s="1"/>
  <c r="CD121" i="2"/>
  <c r="CC121" i="2"/>
  <c r="BZ121" i="2"/>
  <c r="CA121" i="2" s="1"/>
  <c r="BY121" i="2"/>
  <c r="BX121" i="2"/>
  <c r="BU121" i="2"/>
  <c r="BT121" i="2"/>
  <c r="BV121" i="2" s="1"/>
  <c r="BS121" i="2"/>
  <c r="BP121" i="2"/>
  <c r="BQ121" i="2" s="1"/>
  <c r="BO121" i="2"/>
  <c r="BN121" i="2"/>
  <c r="BK121" i="2"/>
  <c r="BL121" i="2" s="1"/>
  <c r="BJ121" i="2"/>
  <c r="BI121" i="2"/>
  <c r="BF121" i="2"/>
  <c r="BE121" i="2"/>
  <c r="BG121" i="2" s="1"/>
  <c r="BD121" i="2"/>
  <c r="BB121" i="2"/>
  <c r="BA121" i="2"/>
  <c r="AZ121" i="2"/>
  <c r="AV121" i="2"/>
  <c r="AI121" i="2"/>
  <c r="AH121" i="2"/>
  <c r="AJ121" i="2" s="1"/>
  <c r="AG121" i="2"/>
  <c r="A121" i="2"/>
  <c r="CF120" i="2"/>
  <c r="CE120" i="2"/>
  <c r="CD120" i="2"/>
  <c r="CC120" i="2"/>
  <c r="CA120" i="2"/>
  <c r="BZ120" i="2"/>
  <c r="BY120" i="2"/>
  <c r="BX120" i="2"/>
  <c r="BU120" i="2"/>
  <c r="BV120" i="2" s="1"/>
  <c r="BT120" i="2"/>
  <c r="BS120" i="2"/>
  <c r="BP120" i="2"/>
  <c r="BO120" i="2"/>
  <c r="BQ120" i="2" s="1"/>
  <c r="BN120" i="2"/>
  <c r="BL120" i="2"/>
  <c r="BK120" i="2"/>
  <c r="BJ120" i="2"/>
  <c r="BI120" i="2"/>
  <c r="BF120" i="2"/>
  <c r="BG120" i="2" s="1"/>
  <c r="BE120" i="2"/>
  <c r="BD120" i="2"/>
  <c r="BB120" i="2"/>
  <c r="BA120" i="2"/>
  <c r="AZ120" i="2"/>
  <c r="AV120" i="2"/>
  <c r="AJ120" i="2"/>
  <c r="AI120" i="2"/>
  <c r="AH120" i="2"/>
  <c r="AG120" i="2"/>
  <c r="A120" i="2"/>
  <c r="CE119" i="2"/>
  <c r="CF119" i="2" s="1"/>
  <c r="CD119" i="2"/>
  <c r="CC119" i="2"/>
  <c r="BZ119" i="2"/>
  <c r="BY119" i="2"/>
  <c r="CA119" i="2" s="1"/>
  <c r="BX119" i="2"/>
  <c r="BU119" i="2"/>
  <c r="BV119" i="2" s="1"/>
  <c r="BT119" i="2"/>
  <c r="BS119" i="2"/>
  <c r="BP119" i="2"/>
  <c r="BO119" i="2"/>
  <c r="BQ119" i="2" s="1"/>
  <c r="BN119" i="2"/>
  <c r="BL119" i="2"/>
  <c r="BK119" i="2"/>
  <c r="BJ119" i="2"/>
  <c r="BI119" i="2"/>
  <c r="BF119" i="2"/>
  <c r="BE119" i="2"/>
  <c r="BG119" i="2" s="1"/>
  <c r="BD119" i="2"/>
  <c r="BB119" i="2"/>
  <c r="BA119" i="2"/>
  <c r="AZ119" i="2"/>
  <c r="AV119" i="2"/>
  <c r="AH119" i="2"/>
  <c r="AJ119" i="2" s="1"/>
  <c r="AG119" i="2"/>
  <c r="A119" i="2"/>
  <c r="CE118" i="2"/>
  <c r="CF118" i="2" s="1"/>
  <c r="CD118" i="2"/>
  <c r="CC118" i="2"/>
  <c r="BZ118" i="2"/>
  <c r="CA118" i="2" s="1"/>
  <c r="BY118" i="2"/>
  <c r="BX118" i="2"/>
  <c r="BU118" i="2"/>
  <c r="BT118" i="2"/>
  <c r="BV118" i="2" s="1"/>
  <c r="BS118" i="2"/>
  <c r="BP118" i="2"/>
  <c r="BQ118" i="2" s="1"/>
  <c r="BO118" i="2"/>
  <c r="BN118" i="2"/>
  <c r="BL118" i="2"/>
  <c r="BK118" i="2"/>
  <c r="BJ118" i="2"/>
  <c r="BI118" i="2"/>
  <c r="BF118" i="2"/>
  <c r="BE118" i="2"/>
  <c r="BG118" i="2" s="1"/>
  <c r="BD118" i="2"/>
  <c r="BB118" i="2"/>
  <c r="BA118" i="2"/>
  <c r="AZ118" i="2"/>
  <c r="AV118" i="2"/>
  <c r="AJ118" i="2"/>
  <c r="AI118" i="2"/>
  <c r="AH118" i="2"/>
  <c r="AG118" i="2"/>
  <c r="A118" i="2"/>
  <c r="CF117" i="2"/>
  <c r="CE117" i="2"/>
  <c r="CD117" i="2"/>
  <c r="CC117" i="2"/>
  <c r="CA117" i="2"/>
  <c r="BZ117" i="2"/>
  <c r="BY117" i="2"/>
  <c r="BX117" i="2"/>
  <c r="BU117" i="2"/>
  <c r="BV117" i="2" s="1"/>
  <c r="BT117" i="2"/>
  <c r="BS117" i="2"/>
  <c r="BP117" i="2"/>
  <c r="BO117" i="2"/>
  <c r="BN117" i="2"/>
  <c r="BK117" i="2"/>
  <c r="BJ117" i="2"/>
  <c r="BL117" i="2" s="1"/>
  <c r="BI117" i="2"/>
  <c r="BF117" i="2"/>
  <c r="BG117" i="2" s="1"/>
  <c r="BE117" i="2"/>
  <c r="BD117" i="2"/>
  <c r="BB117" i="2"/>
  <c r="BA117" i="2"/>
  <c r="AZ117" i="2"/>
  <c r="AV117" i="2"/>
  <c r="AH117" i="2"/>
  <c r="AG117" i="2"/>
  <c r="A117" i="2"/>
  <c r="CF116" i="2"/>
  <c r="CE116" i="2"/>
  <c r="CD116" i="2"/>
  <c r="CC116" i="2"/>
  <c r="BZ116" i="2"/>
  <c r="BY116" i="2"/>
  <c r="CA116" i="2" s="1"/>
  <c r="BX116" i="2"/>
  <c r="BV116" i="2"/>
  <c r="BU116" i="2"/>
  <c r="BT116" i="2"/>
  <c r="BS116" i="2"/>
  <c r="BP116" i="2"/>
  <c r="BQ116" i="2" s="1"/>
  <c r="BO116" i="2"/>
  <c r="BN116" i="2"/>
  <c r="BK116" i="2"/>
  <c r="BL116" i="2" s="1"/>
  <c r="BJ116" i="2"/>
  <c r="BI116" i="2"/>
  <c r="BF116" i="2"/>
  <c r="BG116" i="2" s="1"/>
  <c r="BE116" i="2"/>
  <c r="BD116" i="2"/>
  <c r="BB116" i="2"/>
  <c r="BA116" i="2"/>
  <c r="AZ116" i="2"/>
  <c r="AV116" i="2"/>
  <c r="AJ116" i="2"/>
  <c r="AI116" i="2"/>
  <c r="AH116" i="2"/>
  <c r="AG116" i="2"/>
  <c r="A116" i="2"/>
  <c r="CE115" i="2"/>
  <c r="CD115" i="2"/>
  <c r="CF115" i="2" s="1"/>
  <c r="CC115" i="2"/>
  <c r="BZ115" i="2"/>
  <c r="CA115" i="2" s="1"/>
  <c r="BY115" i="2"/>
  <c r="BX115" i="2"/>
  <c r="BV115" i="2"/>
  <c r="BU115" i="2"/>
  <c r="BT115" i="2"/>
  <c r="BS115" i="2"/>
  <c r="BP115" i="2"/>
  <c r="BQ115" i="2" s="1"/>
  <c r="BO115" i="2"/>
  <c r="BN115" i="2"/>
  <c r="BK115" i="2"/>
  <c r="BL115" i="2" s="1"/>
  <c r="BJ115" i="2"/>
  <c r="BI115" i="2"/>
  <c r="BG115" i="2"/>
  <c r="BF115" i="2"/>
  <c r="BE115" i="2"/>
  <c r="BD115" i="2"/>
  <c r="BB115" i="2"/>
  <c r="BA115" i="2"/>
  <c r="AZ115" i="2"/>
  <c r="AV115" i="2"/>
  <c r="AI115" i="2"/>
  <c r="AH115" i="2"/>
  <c r="AJ115" i="2" s="1"/>
  <c r="AG115" i="2"/>
  <c r="A115" i="2"/>
  <c r="CE114" i="2"/>
  <c r="CD114" i="2"/>
  <c r="CC114" i="2"/>
  <c r="BZ114" i="2"/>
  <c r="BY114" i="2"/>
  <c r="CA114" i="2" s="1"/>
  <c r="BX114" i="2"/>
  <c r="BV114" i="2"/>
  <c r="BU114" i="2"/>
  <c r="BT114" i="2"/>
  <c r="BS114" i="2"/>
  <c r="BQ114" i="2"/>
  <c r="BP114" i="2"/>
  <c r="BO114" i="2"/>
  <c r="BN114" i="2"/>
  <c r="BK114" i="2"/>
  <c r="BL114" i="2" s="1"/>
  <c r="BJ114" i="2"/>
  <c r="BI114" i="2"/>
  <c r="BF114" i="2"/>
  <c r="BE114" i="2"/>
  <c r="BG114" i="2" s="1"/>
  <c r="BD114" i="2"/>
  <c r="BB114" i="2"/>
  <c r="BA114" i="2"/>
  <c r="AZ114" i="2"/>
  <c r="AV114" i="2"/>
  <c r="AJ114" i="2"/>
  <c r="AH114" i="2"/>
  <c r="AI114" i="2" s="1"/>
  <c r="AG114" i="2"/>
  <c r="A114" i="2"/>
  <c r="CE113" i="2"/>
  <c r="CF113" i="2" s="1"/>
  <c r="CD113" i="2"/>
  <c r="CC113" i="2"/>
  <c r="BZ113" i="2"/>
  <c r="CA113" i="2" s="1"/>
  <c r="BY113" i="2"/>
  <c r="BX113" i="2"/>
  <c r="BV113" i="2"/>
  <c r="BU113" i="2"/>
  <c r="BT113" i="2"/>
  <c r="BS113" i="2"/>
  <c r="BP113" i="2"/>
  <c r="BO113" i="2"/>
  <c r="BQ113" i="2" s="1"/>
  <c r="BN113" i="2"/>
  <c r="BL113" i="2"/>
  <c r="BK113" i="2"/>
  <c r="BJ113" i="2"/>
  <c r="BI113" i="2"/>
  <c r="BF113" i="2"/>
  <c r="BG113" i="2" s="1"/>
  <c r="BE113" i="2"/>
  <c r="BD113" i="2"/>
  <c r="BB113" i="2"/>
  <c r="BA113" i="2"/>
  <c r="AZ113" i="2"/>
  <c r="AV113" i="2"/>
  <c r="AJ113" i="2"/>
  <c r="AH113" i="2"/>
  <c r="AI113" i="2" s="1"/>
  <c r="AG113" i="2"/>
  <c r="A113" i="2"/>
  <c r="CE112" i="2"/>
  <c r="CF112" i="2" s="1"/>
  <c r="CD112" i="2"/>
  <c r="CC112" i="2"/>
  <c r="BZ112" i="2"/>
  <c r="CA112" i="2" s="1"/>
  <c r="BY112" i="2"/>
  <c r="BX112" i="2"/>
  <c r="BV112" i="2"/>
  <c r="BU112" i="2"/>
  <c r="BT112" i="2"/>
  <c r="BS112" i="2"/>
  <c r="BP112" i="2"/>
  <c r="BQ112" i="2" s="1"/>
  <c r="BO112" i="2"/>
  <c r="BN112" i="2"/>
  <c r="BK112" i="2"/>
  <c r="BJ112" i="2"/>
  <c r="BL112" i="2" s="1"/>
  <c r="BI112" i="2"/>
  <c r="BG112" i="2"/>
  <c r="BF112" i="2"/>
  <c r="BE112" i="2"/>
  <c r="BD112" i="2"/>
  <c r="BB112" i="2"/>
  <c r="BA112" i="2"/>
  <c r="AZ112" i="2"/>
  <c r="AV112" i="2"/>
  <c r="AJ112" i="2"/>
  <c r="AI112" i="2"/>
  <c r="AH112" i="2"/>
  <c r="AG112" i="2"/>
  <c r="A112" i="2"/>
  <c r="CF111" i="2"/>
  <c r="CE111" i="2"/>
  <c r="CD111" i="2"/>
  <c r="CC111" i="2"/>
  <c r="BZ111" i="2"/>
  <c r="CA111" i="2" s="1"/>
  <c r="BY111" i="2"/>
  <c r="BX111" i="2"/>
  <c r="BU111" i="2"/>
  <c r="BV111" i="2" s="1"/>
  <c r="BT111" i="2"/>
  <c r="BS111" i="2"/>
  <c r="BP111" i="2"/>
  <c r="BO111" i="2"/>
  <c r="BQ111" i="2" s="1"/>
  <c r="BN111" i="2"/>
  <c r="BL111" i="2"/>
  <c r="BK111" i="2"/>
  <c r="BJ111" i="2"/>
  <c r="BI111" i="2"/>
  <c r="BF111" i="2"/>
  <c r="BE111" i="2"/>
  <c r="BD111" i="2"/>
  <c r="BB111" i="2"/>
  <c r="BA111" i="2"/>
  <c r="AZ111" i="2"/>
  <c r="AV111" i="2"/>
  <c r="AH111" i="2"/>
  <c r="AI111" i="2" s="1"/>
  <c r="AG111" i="2"/>
  <c r="A111" i="2"/>
  <c r="CF110" i="2"/>
  <c r="CE110" i="2"/>
  <c r="CD110" i="2"/>
  <c r="CC110" i="2"/>
  <c r="CA110" i="2"/>
  <c r="BZ110" i="2"/>
  <c r="BY110" i="2"/>
  <c r="BX110" i="2"/>
  <c r="BU110" i="2"/>
  <c r="BV110" i="2" s="1"/>
  <c r="BT110" i="2"/>
  <c r="BS110" i="2"/>
  <c r="BP110" i="2"/>
  <c r="BO110" i="2"/>
  <c r="BQ110" i="2" s="1"/>
  <c r="BN110" i="2"/>
  <c r="BL110" i="2"/>
  <c r="BK110" i="2"/>
  <c r="BJ110" i="2"/>
  <c r="BI110" i="2"/>
  <c r="BF110" i="2"/>
  <c r="BG110" i="2" s="1"/>
  <c r="BE110" i="2"/>
  <c r="BD110" i="2"/>
  <c r="BB110" i="2"/>
  <c r="BA110" i="2"/>
  <c r="AZ110" i="2"/>
  <c r="AV110" i="2"/>
  <c r="AH110" i="2"/>
  <c r="AJ110" i="2" s="1"/>
  <c r="AG110" i="2"/>
  <c r="A110" i="2"/>
  <c r="CE109" i="2"/>
  <c r="CD109" i="2"/>
  <c r="CC109" i="2"/>
  <c r="BZ109" i="2"/>
  <c r="BY109" i="2"/>
  <c r="BX109" i="2"/>
  <c r="BV109" i="2"/>
  <c r="BU109" i="2"/>
  <c r="BT109" i="2"/>
  <c r="BS109" i="2"/>
  <c r="BP109" i="2"/>
  <c r="BO109" i="2"/>
  <c r="BQ109" i="2" s="1"/>
  <c r="BN109" i="2"/>
  <c r="BK109" i="2"/>
  <c r="BJ109" i="2"/>
  <c r="BI109" i="2"/>
  <c r="BF109" i="2"/>
  <c r="BE109" i="2"/>
  <c r="BD109" i="2"/>
  <c r="BB109" i="2"/>
  <c r="BA109" i="2"/>
  <c r="AZ109" i="2"/>
  <c r="AV109" i="2"/>
  <c r="AJ109" i="2"/>
  <c r="AH109" i="2"/>
  <c r="AI109" i="2" s="1"/>
  <c r="AG109" i="2"/>
  <c r="A109" i="2"/>
  <c r="CE108" i="2"/>
  <c r="CD108" i="2"/>
  <c r="CC108" i="2"/>
  <c r="BZ108" i="2"/>
  <c r="CA108" i="2" s="1"/>
  <c r="BY108" i="2"/>
  <c r="BX108" i="2"/>
  <c r="BV108" i="2"/>
  <c r="BU108" i="2"/>
  <c r="BT108" i="2"/>
  <c r="BS108" i="2"/>
  <c r="BP108" i="2"/>
  <c r="BO108" i="2"/>
  <c r="BQ108" i="2" s="1"/>
  <c r="BN108" i="2"/>
  <c r="BK108" i="2"/>
  <c r="BL108" i="2" s="1"/>
  <c r="BJ108" i="2"/>
  <c r="BI108" i="2"/>
  <c r="BF108" i="2"/>
  <c r="BE108" i="2"/>
  <c r="BG108" i="2" s="1"/>
  <c r="BD108" i="2"/>
  <c r="BB108" i="2"/>
  <c r="BA108" i="2"/>
  <c r="AZ108" i="2"/>
  <c r="AV108" i="2"/>
  <c r="AI108" i="2"/>
  <c r="AH108" i="2"/>
  <c r="AJ108" i="2" s="1"/>
  <c r="AG108" i="2"/>
  <c r="A108" i="2"/>
  <c r="CE107" i="2"/>
  <c r="CD107" i="2"/>
  <c r="CF107" i="2" s="1"/>
  <c r="CC107" i="2"/>
  <c r="CA107" i="2"/>
  <c r="BZ107" i="2"/>
  <c r="BY107" i="2"/>
  <c r="BX107" i="2"/>
  <c r="BV107" i="2"/>
  <c r="BU107" i="2"/>
  <c r="BT107" i="2"/>
  <c r="BS107" i="2"/>
  <c r="BP107" i="2"/>
  <c r="BQ107" i="2" s="1"/>
  <c r="BO107" i="2"/>
  <c r="BN107" i="2"/>
  <c r="BK107" i="2"/>
  <c r="BJ107" i="2"/>
  <c r="BI107" i="2"/>
  <c r="BF107" i="2"/>
  <c r="BG107" i="2" s="1"/>
  <c r="BE107" i="2"/>
  <c r="BD107" i="2"/>
  <c r="BB107" i="2"/>
  <c r="BA107" i="2"/>
  <c r="AZ107" i="2"/>
  <c r="AV107" i="2"/>
  <c r="AJ107" i="2"/>
  <c r="AI107" i="2"/>
  <c r="AH107" i="2"/>
  <c r="AG107" i="2"/>
  <c r="A107" i="2"/>
  <c r="CE106" i="2"/>
  <c r="CF106" i="2" s="1"/>
  <c r="CD106" i="2"/>
  <c r="CC106" i="2"/>
  <c r="CA106" i="2"/>
  <c r="BZ106" i="2"/>
  <c r="BY106" i="2"/>
  <c r="BX106" i="2"/>
  <c r="BU106" i="2"/>
  <c r="BV106" i="2" s="1"/>
  <c r="BT106" i="2"/>
  <c r="BS106" i="2"/>
  <c r="BP106" i="2"/>
  <c r="BQ106" i="2" s="1"/>
  <c r="BO106" i="2"/>
  <c r="BN106" i="2"/>
  <c r="BK106" i="2"/>
  <c r="BJ106" i="2"/>
  <c r="BL106" i="2" s="1"/>
  <c r="BI106" i="2"/>
  <c r="BG106" i="2"/>
  <c r="BF106" i="2"/>
  <c r="BE106" i="2"/>
  <c r="BD106" i="2"/>
  <c r="BB106" i="2"/>
  <c r="BA106" i="2"/>
  <c r="AZ106" i="2"/>
  <c r="AV106" i="2"/>
  <c r="AH106" i="2"/>
  <c r="AG106" i="2"/>
  <c r="A106" i="2"/>
  <c r="CE105" i="2"/>
  <c r="CD105" i="2"/>
  <c r="CC105" i="2"/>
  <c r="BZ105" i="2"/>
  <c r="BY105" i="2"/>
  <c r="CA105" i="2" s="1"/>
  <c r="BX105" i="2"/>
  <c r="BV105" i="2"/>
  <c r="BU105" i="2"/>
  <c r="BT105" i="2"/>
  <c r="BS105" i="2"/>
  <c r="BP105" i="2"/>
  <c r="BO105" i="2"/>
  <c r="BN105" i="2"/>
  <c r="BL105" i="2"/>
  <c r="BK105" i="2"/>
  <c r="BJ105" i="2"/>
  <c r="BI105" i="2"/>
  <c r="BF105" i="2"/>
  <c r="BE105" i="2"/>
  <c r="BG105" i="2" s="1"/>
  <c r="BD105" i="2"/>
  <c r="BB105" i="2"/>
  <c r="BA105" i="2"/>
  <c r="AZ105" i="2"/>
  <c r="AV105" i="2"/>
  <c r="AI105" i="2"/>
  <c r="AH105" i="2"/>
  <c r="AJ105" i="2" s="1"/>
  <c r="AG105" i="2"/>
  <c r="A105" i="2"/>
  <c r="CF104" i="2"/>
  <c r="CE104" i="2"/>
  <c r="CD104" i="2"/>
  <c r="CC104" i="2"/>
  <c r="CA104" i="2"/>
  <c r="BZ104" i="2"/>
  <c r="BY104" i="2"/>
  <c r="BX104" i="2"/>
  <c r="BU104" i="2"/>
  <c r="BT104" i="2"/>
  <c r="BV104" i="2" s="1"/>
  <c r="BS104" i="2"/>
  <c r="BP104" i="2"/>
  <c r="BO104" i="2"/>
  <c r="BN104" i="2"/>
  <c r="BL104" i="2"/>
  <c r="BK104" i="2"/>
  <c r="BJ104" i="2"/>
  <c r="BI104" i="2"/>
  <c r="BF104" i="2"/>
  <c r="BG104" i="2" s="1"/>
  <c r="BE104" i="2"/>
  <c r="BD104" i="2"/>
  <c r="BB104" i="2"/>
  <c r="BA104" i="2"/>
  <c r="AZ104" i="2"/>
  <c r="AV104" i="2"/>
  <c r="AJ104" i="2"/>
  <c r="AI104" i="2"/>
  <c r="AH104" i="2"/>
  <c r="AG104" i="2"/>
  <c r="A104" i="2"/>
  <c r="CE103" i="2"/>
  <c r="CD103" i="2"/>
  <c r="CF103" i="2" s="1"/>
  <c r="CC103" i="2"/>
  <c r="BZ103" i="2"/>
  <c r="BY103" i="2"/>
  <c r="CA103" i="2" s="1"/>
  <c r="BX103" i="2"/>
  <c r="BU103" i="2"/>
  <c r="BV103" i="2" s="1"/>
  <c r="BT103" i="2"/>
  <c r="BS103" i="2"/>
  <c r="BP103" i="2"/>
  <c r="BO103" i="2"/>
  <c r="BN103" i="2"/>
  <c r="BK103" i="2"/>
  <c r="BJ103" i="2"/>
  <c r="BI103" i="2"/>
  <c r="BG103" i="2"/>
  <c r="BF103" i="2"/>
  <c r="BE103" i="2"/>
  <c r="BD103" i="2"/>
  <c r="BB103" i="2"/>
  <c r="BA103" i="2"/>
  <c r="AZ103" i="2"/>
  <c r="AV103" i="2"/>
  <c r="AH103" i="2"/>
  <c r="AI103" i="2" s="1"/>
  <c r="AG103" i="2"/>
  <c r="A103" i="2"/>
  <c r="CE102" i="2"/>
  <c r="CD102" i="2"/>
  <c r="CC102" i="2"/>
  <c r="BZ102" i="2"/>
  <c r="CA102" i="2" s="1"/>
  <c r="BY102" i="2"/>
  <c r="BX102" i="2"/>
  <c r="BU102" i="2"/>
  <c r="BT102" i="2"/>
  <c r="BV102" i="2" s="1"/>
  <c r="BS102" i="2"/>
  <c r="BQ102" i="2"/>
  <c r="BP102" i="2"/>
  <c r="BO102" i="2"/>
  <c r="BN102" i="2"/>
  <c r="BK102" i="2"/>
  <c r="BL102" i="2" s="1"/>
  <c r="BJ102" i="2"/>
  <c r="BI102" i="2"/>
  <c r="BF102" i="2"/>
  <c r="BE102" i="2"/>
  <c r="BG102" i="2" s="1"/>
  <c r="BD102" i="2"/>
  <c r="BB102" i="2"/>
  <c r="BA102" i="2"/>
  <c r="AZ102" i="2"/>
  <c r="AV102" i="2"/>
  <c r="AJ102" i="2"/>
  <c r="AH102" i="2"/>
  <c r="AI102" i="2" s="1"/>
  <c r="AG102" i="2"/>
  <c r="A102" i="2"/>
  <c r="CE101" i="2"/>
  <c r="CF101" i="2" s="1"/>
  <c r="CD101" i="2"/>
  <c r="CC101" i="2"/>
  <c r="CA101" i="2"/>
  <c r="BZ101" i="2"/>
  <c r="BY101" i="2"/>
  <c r="BX101" i="2"/>
  <c r="BU101" i="2"/>
  <c r="BT101" i="2"/>
  <c r="BS101" i="2"/>
  <c r="BP101" i="2"/>
  <c r="BQ101" i="2" s="1"/>
  <c r="BO101" i="2"/>
  <c r="BN101" i="2"/>
  <c r="BL101" i="2"/>
  <c r="BK101" i="2"/>
  <c r="BJ101" i="2"/>
  <c r="BI101" i="2"/>
  <c r="BF101" i="2"/>
  <c r="BE101" i="2"/>
  <c r="BD101" i="2"/>
  <c r="BB101" i="2"/>
  <c r="BA101" i="2"/>
  <c r="AZ101" i="2"/>
  <c r="AV101" i="2"/>
  <c r="AJ101" i="2"/>
  <c r="AI101" i="2"/>
  <c r="AH101" i="2"/>
  <c r="AG101" i="2"/>
  <c r="A101" i="2"/>
  <c r="CE100" i="2"/>
  <c r="CF100" i="2" s="1"/>
  <c r="CD100" i="2"/>
  <c r="CC100" i="2"/>
  <c r="BZ100" i="2"/>
  <c r="BY100" i="2"/>
  <c r="CA100" i="2" s="1"/>
  <c r="BX100" i="2"/>
  <c r="BU100" i="2"/>
  <c r="BT100" i="2"/>
  <c r="BS100" i="2"/>
  <c r="BP100" i="2"/>
  <c r="BQ100" i="2" s="1"/>
  <c r="BO100" i="2"/>
  <c r="BN100" i="2"/>
  <c r="BK100" i="2"/>
  <c r="BL100" i="2" s="1"/>
  <c r="BJ100" i="2"/>
  <c r="BI100" i="2"/>
  <c r="BG100" i="2"/>
  <c r="BF100" i="2"/>
  <c r="BE100" i="2"/>
  <c r="BD100" i="2"/>
  <c r="BB100" i="2"/>
  <c r="BA100" i="2"/>
  <c r="AZ100" i="2"/>
  <c r="AV100" i="2"/>
  <c r="AH100" i="2"/>
  <c r="AJ100" i="2" s="1"/>
  <c r="AG100" i="2"/>
  <c r="A100" i="2"/>
  <c r="CE99" i="2"/>
  <c r="CD99" i="2"/>
  <c r="CF99" i="2" s="1"/>
  <c r="CC99" i="2"/>
  <c r="BZ99" i="2"/>
  <c r="CA99" i="2" s="1"/>
  <c r="BY99" i="2"/>
  <c r="BX99" i="2"/>
  <c r="BV99" i="2"/>
  <c r="BU99" i="2"/>
  <c r="BT99" i="2"/>
  <c r="BS99" i="2"/>
  <c r="BP99" i="2"/>
  <c r="BO99" i="2"/>
  <c r="BN99" i="2"/>
  <c r="BK99" i="2"/>
  <c r="BL99" i="2" s="1"/>
  <c r="BJ99" i="2"/>
  <c r="BI99" i="2"/>
  <c r="BG99" i="2"/>
  <c r="BF99" i="2"/>
  <c r="BE99" i="2"/>
  <c r="BD99" i="2"/>
  <c r="BB99" i="2"/>
  <c r="BA99" i="2"/>
  <c r="AZ99" i="2"/>
  <c r="AV99" i="2"/>
  <c r="AJ99" i="2"/>
  <c r="AI99" i="2"/>
  <c r="AH99" i="2"/>
  <c r="AG99" i="2"/>
  <c r="A99" i="2"/>
  <c r="CE98" i="2"/>
  <c r="CF98" i="2" s="1"/>
  <c r="CD98" i="2"/>
  <c r="CC98" i="2"/>
  <c r="CA98" i="2"/>
  <c r="BZ98" i="2"/>
  <c r="BY98" i="2"/>
  <c r="BX98" i="2"/>
  <c r="BV98" i="2"/>
  <c r="BU98" i="2"/>
  <c r="BT98" i="2"/>
  <c r="BS98" i="2"/>
  <c r="BP98" i="2"/>
  <c r="BQ98" i="2" s="1"/>
  <c r="BO98" i="2"/>
  <c r="BN98" i="2"/>
  <c r="BK98" i="2"/>
  <c r="BJ98" i="2"/>
  <c r="BL98" i="2" s="1"/>
  <c r="BI98" i="2"/>
  <c r="BG98" i="2"/>
  <c r="BF98" i="2"/>
  <c r="BE98" i="2"/>
  <c r="BD98" i="2"/>
  <c r="BB98" i="2"/>
  <c r="BA98" i="2"/>
  <c r="AZ98" i="2"/>
  <c r="AV98" i="2"/>
  <c r="AJ98" i="2"/>
  <c r="AI98" i="2"/>
  <c r="AH98" i="2"/>
  <c r="AG98" i="2"/>
  <c r="A98" i="2"/>
  <c r="CE97" i="2"/>
  <c r="CF97" i="2" s="1"/>
  <c r="CD97" i="2"/>
  <c r="CC97" i="2"/>
  <c r="BZ97" i="2"/>
  <c r="CA97" i="2" s="1"/>
  <c r="BY97" i="2"/>
  <c r="BX97" i="2"/>
  <c r="BV97" i="2"/>
  <c r="BU97" i="2"/>
  <c r="BT97" i="2"/>
  <c r="BS97" i="2"/>
  <c r="BP97" i="2"/>
  <c r="BO97" i="2"/>
  <c r="BQ97" i="2" s="1"/>
  <c r="BN97" i="2"/>
  <c r="BK97" i="2"/>
  <c r="BL97" i="2" s="1"/>
  <c r="BJ97" i="2"/>
  <c r="BI97" i="2"/>
  <c r="BF97" i="2"/>
  <c r="BG97" i="2" s="1"/>
  <c r="BE97" i="2"/>
  <c r="BD97" i="2"/>
  <c r="BB97" i="2"/>
  <c r="BA97" i="2"/>
  <c r="AZ97" i="2"/>
  <c r="AV97" i="2"/>
  <c r="AJ97" i="2"/>
  <c r="AH97" i="2"/>
  <c r="AI97" i="2" s="1"/>
  <c r="AG97" i="2"/>
  <c r="A97" i="2"/>
  <c r="CE96" i="2"/>
  <c r="CD96" i="2"/>
  <c r="CF96" i="2" s="1"/>
  <c r="CC96" i="2"/>
  <c r="BZ96" i="2"/>
  <c r="BY96" i="2"/>
  <c r="CA96" i="2" s="1"/>
  <c r="BX96" i="2"/>
  <c r="BU96" i="2"/>
  <c r="BT96" i="2"/>
  <c r="BV96" i="2" s="1"/>
  <c r="BS96" i="2"/>
  <c r="BP96" i="2"/>
  <c r="BQ96" i="2" s="1"/>
  <c r="BO96" i="2"/>
  <c r="BN96" i="2"/>
  <c r="BK96" i="2"/>
  <c r="BL96" i="2" s="1"/>
  <c r="BJ96" i="2"/>
  <c r="BI96" i="2"/>
  <c r="BF96" i="2"/>
  <c r="BE96" i="2"/>
  <c r="BD96" i="2"/>
  <c r="BB96" i="2"/>
  <c r="BA96" i="2"/>
  <c r="AZ96" i="2"/>
  <c r="AV96" i="2"/>
  <c r="AJ96" i="2"/>
  <c r="AI96" i="2"/>
  <c r="AH96" i="2"/>
  <c r="AG96" i="2"/>
  <c r="A96" i="2"/>
  <c r="CE93" i="2"/>
  <c r="CF93" i="2" s="1"/>
  <c r="CD93" i="2"/>
  <c r="CC93" i="2"/>
  <c r="BZ93" i="2"/>
  <c r="CA93" i="2" s="1"/>
  <c r="BY93" i="2"/>
  <c r="BX93" i="2"/>
  <c r="BV93" i="2"/>
  <c r="BU93" i="2"/>
  <c r="BT93" i="2"/>
  <c r="BS93" i="2"/>
  <c r="BP93" i="2"/>
  <c r="BQ93" i="2" s="1"/>
  <c r="BO93" i="2"/>
  <c r="BN93" i="2"/>
  <c r="BK93" i="2"/>
  <c r="BJ93" i="2"/>
  <c r="BI93" i="2"/>
  <c r="BF93" i="2"/>
  <c r="BE93" i="2"/>
  <c r="BD93" i="2"/>
  <c r="BB93" i="2"/>
  <c r="BA93" i="2"/>
  <c r="AZ93" i="2"/>
  <c r="AV93" i="2"/>
  <c r="AH93" i="2"/>
  <c r="AI93" i="2" s="1"/>
  <c r="AG93" i="2"/>
  <c r="A93" i="2"/>
  <c r="CF92" i="2"/>
  <c r="CE92" i="2"/>
  <c r="CD92" i="2"/>
  <c r="CC92" i="2"/>
  <c r="BZ92" i="2"/>
  <c r="CA92" i="2" s="1"/>
  <c r="BY92" i="2"/>
  <c r="BX92" i="2"/>
  <c r="BU92" i="2"/>
  <c r="BV92" i="2" s="1"/>
  <c r="BT92" i="2"/>
  <c r="BS92" i="2"/>
  <c r="BP92" i="2"/>
  <c r="BO92" i="2"/>
  <c r="BQ92" i="2" s="1"/>
  <c r="BN92" i="2"/>
  <c r="BK92" i="2"/>
  <c r="BJ92" i="2"/>
  <c r="BL92" i="2" s="1"/>
  <c r="BI92" i="2"/>
  <c r="BF92" i="2"/>
  <c r="BE92" i="2"/>
  <c r="BG92" i="2" s="1"/>
  <c r="BD92" i="2"/>
  <c r="BB92" i="2"/>
  <c r="BA92" i="2"/>
  <c r="AZ92" i="2"/>
  <c r="AV92" i="2"/>
  <c r="AI92" i="2"/>
  <c r="AH92" i="2"/>
  <c r="AJ92" i="2" s="1"/>
  <c r="AG92" i="2"/>
  <c r="A92" i="2"/>
  <c r="CE91" i="2"/>
  <c r="CF91" i="2" s="1"/>
  <c r="CD91" i="2"/>
  <c r="CC91" i="2"/>
  <c r="BZ91" i="2"/>
  <c r="BY91" i="2"/>
  <c r="BX91" i="2"/>
  <c r="BV91" i="2"/>
  <c r="BU91" i="2"/>
  <c r="BT91" i="2"/>
  <c r="BS91" i="2"/>
  <c r="BP91" i="2"/>
  <c r="BQ91" i="2" s="1"/>
  <c r="BO91" i="2"/>
  <c r="BN91" i="2"/>
  <c r="BL91" i="2"/>
  <c r="BK91" i="2"/>
  <c r="BJ91" i="2"/>
  <c r="BI91" i="2"/>
  <c r="BF91" i="2"/>
  <c r="BE91" i="2"/>
  <c r="BD91" i="2"/>
  <c r="BB91" i="2"/>
  <c r="BA91" i="2"/>
  <c r="AZ91" i="2"/>
  <c r="AV91" i="2"/>
  <c r="AJ91" i="2"/>
  <c r="AI91" i="2"/>
  <c r="AH91" i="2"/>
  <c r="AG91" i="2"/>
  <c r="A91" i="2"/>
  <c r="CE90" i="2"/>
  <c r="CF90" i="2" s="1"/>
  <c r="CD90" i="2"/>
  <c r="CC90" i="2"/>
  <c r="BZ90" i="2"/>
  <c r="BY90" i="2"/>
  <c r="CA90" i="2" s="1"/>
  <c r="BX90" i="2"/>
  <c r="BU90" i="2"/>
  <c r="BV90" i="2" s="1"/>
  <c r="BT90" i="2"/>
  <c r="BS90" i="2"/>
  <c r="BP90" i="2"/>
  <c r="BQ90" i="2" s="1"/>
  <c r="BO90" i="2"/>
  <c r="BN90" i="2"/>
  <c r="BL90" i="2"/>
  <c r="BK90" i="2"/>
  <c r="BJ90" i="2"/>
  <c r="BI90" i="2"/>
  <c r="BF90" i="2"/>
  <c r="BE90" i="2"/>
  <c r="BD90" i="2"/>
  <c r="BB90" i="2"/>
  <c r="BA90" i="2"/>
  <c r="AZ90" i="2"/>
  <c r="AV90" i="2"/>
  <c r="AJ90" i="2"/>
  <c r="AH90" i="2"/>
  <c r="AI90" i="2" s="1"/>
  <c r="AG90" i="2"/>
  <c r="A90" i="2"/>
  <c r="CE89" i="2"/>
  <c r="CD89" i="2"/>
  <c r="CF89" i="2" s="1"/>
  <c r="CC89" i="2"/>
  <c r="BZ89" i="2"/>
  <c r="BY89" i="2"/>
  <c r="CA89" i="2" s="1"/>
  <c r="BX89" i="2"/>
  <c r="BV89" i="2"/>
  <c r="BU89" i="2"/>
  <c r="BT89" i="2"/>
  <c r="BS89" i="2"/>
  <c r="BP89" i="2"/>
  <c r="BO89" i="2"/>
  <c r="BN89" i="2"/>
  <c r="BL89" i="2"/>
  <c r="BK89" i="2"/>
  <c r="BJ89" i="2"/>
  <c r="BI89" i="2"/>
  <c r="BF89" i="2"/>
  <c r="BE89" i="2"/>
  <c r="BD89" i="2"/>
  <c r="BB89" i="2"/>
  <c r="BA89" i="2"/>
  <c r="AZ89" i="2"/>
  <c r="AV89" i="2"/>
  <c r="AI89" i="2"/>
  <c r="AH89" i="2"/>
  <c r="AJ89" i="2" s="1"/>
  <c r="AG89" i="2"/>
  <c r="A89" i="2"/>
  <c r="CE88" i="2"/>
  <c r="CF88" i="2" s="1"/>
  <c r="CD88" i="2"/>
  <c r="CC88" i="2"/>
  <c r="BZ88" i="2"/>
  <c r="BY88" i="2"/>
  <c r="CA88" i="2" s="1"/>
  <c r="BX88" i="2"/>
  <c r="BU88" i="2"/>
  <c r="BT88" i="2"/>
  <c r="BV88" i="2" s="1"/>
  <c r="BS88" i="2"/>
  <c r="BP88" i="2"/>
  <c r="BO88" i="2"/>
  <c r="BN88" i="2"/>
  <c r="BL88" i="2"/>
  <c r="BK88" i="2"/>
  <c r="BJ88" i="2"/>
  <c r="BI88" i="2"/>
  <c r="BF88" i="2"/>
  <c r="BE88" i="2"/>
  <c r="BD88" i="2"/>
  <c r="BB88" i="2"/>
  <c r="BA88" i="2"/>
  <c r="AZ88" i="2"/>
  <c r="AV88" i="2"/>
  <c r="AH88" i="2"/>
  <c r="AJ88" i="2" s="1"/>
  <c r="AG88" i="2"/>
  <c r="A88" i="2"/>
  <c r="CE87" i="2"/>
  <c r="CF87" i="2" s="1"/>
  <c r="CD87" i="2"/>
  <c r="CC87" i="2"/>
  <c r="BZ87" i="2"/>
  <c r="BY87" i="2"/>
  <c r="CA87" i="2" s="1"/>
  <c r="BX87" i="2"/>
  <c r="BU87" i="2"/>
  <c r="BT87" i="2"/>
  <c r="BS87" i="2"/>
  <c r="BP87" i="2"/>
  <c r="BQ87" i="2" s="1"/>
  <c r="BO87" i="2"/>
  <c r="BN87" i="2"/>
  <c r="BK87" i="2"/>
  <c r="BL87" i="2" s="1"/>
  <c r="BJ87" i="2"/>
  <c r="BI87" i="2"/>
  <c r="BF87" i="2"/>
  <c r="BG87" i="2" s="1"/>
  <c r="BE87" i="2"/>
  <c r="BD87" i="2"/>
  <c r="BB87" i="2"/>
  <c r="BA87" i="2"/>
  <c r="AZ87" i="2"/>
  <c r="AV87" i="2"/>
  <c r="AH87" i="2"/>
  <c r="AJ87" i="2" s="1"/>
  <c r="AG87" i="2"/>
  <c r="A87" i="2"/>
  <c r="CE86" i="2"/>
  <c r="CD86" i="2"/>
  <c r="CC86" i="2"/>
  <c r="BZ86" i="2"/>
  <c r="BY86" i="2"/>
  <c r="CA86" i="2" s="1"/>
  <c r="BX86" i="2"/>
  <c r="BV86" i="2"/>
  <c r="BU86" i="2"/>
  <c r="BT86" i="2"/>
  <c r="BS86" i="2"/>
  <c r="BQ86" i="2"/>
  <c r="BP86" i="2"/>
  <c r="BO86" i="2"/>
  <c r="BN86" i="2"/>
  <c r="BL86" i="2"/>
  <c r="BK86" i="2"/>
  <c r="BJ86" i="2"/>
  <c r="BI86" i="2"/>
  <c r="BF86" i="2"/>
  <c r="BE86" i="2"/>
  <c r="BD86" i="2"/>
  <c r="BB86" i="2"/>
  <c r="BA86" i="2"/>
  <c r="AZ86" i="2"/>
  <c r="AV86" i="2"/>
  <c r="AH86" i="2"/>
  <c r="AG86" i="2"/>
  <c r="A86" i="2"/>
  <c r="CE85" i="2"/>
  <c r="CF85" i="2" s="1"/>
  <c r="CD85" i="2"/>
  <c r="CC85" i="2"/>
  <c r="BZ85" i="2"/>
  <c r="CA85" i="2" s="1"/>
  <c r="BY85" i="2"/>
  <c r="BX85" i="2"/>
  <c r="BU85" i="2"/>
  <c r="BT85" i="2"/>
  <c r="BS85" i="2"/>
  <c r="BQ85" i="2"/>
  <c r="BP85" i="2"/>
  <c r="BO85" i="2"/>
  <c r="BN85" i="2"/>
  <c r="BK85" i="2"/>
  <c r="BL85" i="2" s="1"/>
  <c r="BJ85" i="2"/>
  <c r="BI85" i="2"/>
  <c r="BG85" i="2"/>
  <c r="BF85" i="2"/>
  <c r="BE85" i="2"/>
  <c r="BD85" i="2"/>
  <c r="BB85" i="2"/>
  <c r="BA85" i="2"/>
  <c r="AZ85" i="2"/>
  <c r="AV85" i="2"/>
  <c r="AJ85" i="2"/>
  <c r="AI85" i="2"/>
  <c r="AH85" i="2"/>
  <c r="AG85" i="2"/>
  <c r="A85" i="2"/>
  <c r="CF84" i="2"/>
  <c r="CE84" i="2"/>
  <c r="CD84" i="2"/>
  <c r="CC84" i="2"/>
  <c r="BZ84" i="2"/>
  <c r="BY84" i="2"/>
  <c r="BX84" i="2"/>
  <c r="BV84" i="2"/>
  <c r="BU84" i="2"/>
  <c r="BT84" i="2"/>
  <c r="BS84" i="2"/>
  <c r="BP84" i="2"/>
  <c r="BQ84" i="2" s="1"/>
  <c r="BO84" i="2"/>
  <c r="BN84" i="2"/>
  <c r="BK84" i="2"/>
  <c r="BJ84" i="2"/>
  <c r="BL84" i="2" s="1"/>
  <c r="BI84" i="2"/>
  <c r="BG84" i="2"/>
  <c r="BF84" i="2"/>
  <c r="BE84" i="2"/>
  <c r="BD84" i="2"/>
  <c r="BB84" i="2"/>
  <c r="BA84" i="2"/>
  <c r="AZ84" i="2"/>
  <c r="AV84" i="2"/>
  <c r="AH84" i="2"/>
  <c r="AJ84" i="2" s="1"/>
  <c r="AG84" i="2"/>
  <c r="A84" i="2"/>
  <c r="CF83" i="2"/>
  <c r="CE83" i="2"/>
  <c r="CD83" i="2"/>
  <c r="CC83" i="2"/>
  <c r="BZ83" i="2"/>
  <c r="BY83" i="2"/>
  <c r="CA83" i="2" s="1"/>
  <c r="BX83" i="2"/>
  <c r="BV83" i="2"/>
  <c r="BU83" i="2"/>
  <c r="BT83" i="2"/>
  <c r="BS83" i="2"/>
  <c r="BP83" i="2"/>
  <c r="BQ83" i="2" s="1"/>
  <c r="BO83" i="2"/>
  <c r="BN83" i="2"/>
  <c r="BK83" i="2"/>
  <c r="BL83" i="2" s="1"/>
  <c r="BJ83" i="2"/>
  <c r="BI83" i="2"/>
  <c r="BF83" i="2"/>
  <c r="BG83" i="2" s="1"/>
  <c r="BE83" i="2"/>
  <c r="BD83" i="2"/>
  <c r="BB83" i="2"/>
  <c r="BA83" i="2"/>
  <c r="AZ83" i="2"/>
  <c r="AV83" i="2"/>
  <c r="AJ83" i="2"/>
  <c r="AI83" i="2"/>
  <c r="AH83" i="2"/>
  <c r="AG83" i="2"/>
  <c r="A83" i="2"/>
  <c r="CF82" i="2"/>
  <c r="CE82" i="2"/>
  <c r="CD82" i="2"/>
  <c r="CC82" i="2"/>
  <c r="BZ82" i="2"/>
  <c r="BY82" i="2"/>
  <c r="BX82" i="2"/>
  <c r="BU82" i="2"/>
  <c r="BT82" i="2"/>
  <c r="BS82" i="2"/>
  <c r="BQ82" i="2"/>
  <c r="BP82" i="2"/>
  <c r="BO82" i="2"/>
  <c r="BN82" i="2"/>
  <c r="BK82" i="2"/>
  <c r="BL82" i="2" s="1"/>
  <c r="BJ82" i="2"/>
  <c r="BI82" i="2"/>
  <c r="BG82" i="2"/>
  <c r="BF82" i="2"/>
  <c r="BE82" i="2"/>
  <c r="BD82" i="2"/>
  <c r="BB82" i="2"/>
  <c r="BA82" i="2"/>
  <c r="AZ82" i="2"/>
  <c r="AV82" i="2"/>
  <c r="AJ82" i="2"/>
  <c r="AI82" i="2"/>
  <c r="AH82" i="2"/>
  <c r="AG82" i="2"/>
  <c r="A82" i="2"/>
  <c r="CE81" i="2"/>
  <c r="CD81" i="2"/>
  <c r="CC81" i="2"/>
  <c r="CA81" i="2"/>
  <c r="BZ81" i="2"/>
  <c r="BY81" i="2"/>
  <c r="BX81" i="2"/>
  <c r="BU81" i="2"/>
  <c r="BT81" i="2"/>
  <c r="BS81" i="2"/>
  <c r="BQ81" i="2"/>
  <c r="BP81" i="2"/>
  <c r="BO81" i="2"/>
  <c r="BN81" i="2"/>
  <c r="BK81" i="2"/>
  <c r="BL81" i="2" s="1"/>
  <c r="BJ81" i="2"/>
  <c r="BI81" i="2"/>
  <c r="BF81" i="2"/>
  <c r="BG81" i="2" s="1"/>
  <c r="BE81" i="2"/>
  <c r="BD81" i="2"/>
  <c r="BB81" i="2"/>
  <c r="BA81" i="2"/>
  <c r="AZ81" i="2"/>
  <c r="AV81" i="2"/>
  <c r="AJ81" i="2"/>
  <c r="AI81" i="2"/>
  <c r="AH81" i="2"/>
  <c r="AG81" i="2"/>
  <c r="A81" i="2"/>
  <c r="CE80" i="2"/>
  <c r="CD80" i="2"/>
  <c r="CC80" i="2"/>
  <c r="BZ80" i="2"/>
  <c r="BY80" i="2"/>
  <c r="BX80" i="2"/>
  <c r="BU80" i="2"/>
  <c r="BV80" i="2" s="1"/>
  <c r="BT80" i="2"/>
  <c r="BS80" i="2"/>
  <c r="BQ80" i="2"/>
  <c r="BP80" i="2"/>
  <c r="BO80" i="2"/>
  <c r="BN80" i="2"/>
  <c r="BK80" i="2"/>
  <c r="BL80" i="2" s="1"/>
  <c r="BJ80" i="2"/>
  <c r="BI80" i="2"/>
  <c r="BG80" i="2"/>
  <c r="BF80" i="2"/>
  <c r="BE80" i="2"/>
  <c r="BD80" i="2"/>
  <c r="BB80" i="2"/>
  <c r="BA80" i="2"/>
  <c r="AZ80" i="2"/>
  <c r="AV80" i="2"/>
  <c r="AJ80" i="2"/>
  <c r="AH80" i="2"/>
  <c r="AI80" i="2" s="1"/>
  <c r="AG80" i="2"/>
  <c r="A80" i="2"/>
  <c r="CF79" i="2"/>
  <c r="CE79" i="2"/>
  <c r="CD79" i="2"/>
  <c r="CC79" i="2"/>
  <c r="CA79" i="2"/>
  <c r="BZ79" i="2"/>
  <c r="BY79" i="2"/>
  <c r="BX79" i="2"/>
  <c r="BV79" i="2"/>
  <c r="BU79" i="2"/>
  <c r="BT79" i="2"/>
  <c r="BS79" i="2"/>
  <c r="BP79" i="2"/>
  <c r="BO79" i="2"/>
  <c r="BN79" i="2"/>
  <c r="BL79" i="2"/>
  <c r="BK79" i="2"/>
  <c r="BJ79" i="2"/>
  <c r="BI79" i="2"/>
  <c r="BF79" i="2"/>
  <c r="BG79" i="2" s="1"/>
  <c r="BE79" i="2"/>
  <c r="BD79" i="2"/>
  <c r="BB79" i="2"/>
  <c r="BA79" i="2"/>
  <c r="AZ79" i="2"/>
  <c r="AV79" i="2"/>
  <c r="AJ79" i="2"/>
  <c r="AI79" i="2"/>
  <c r="AH79" i="2"/>
  <c r="AG79" i="2"/>
  <c r="A79" i="2"/>
  <c r="CE78" i="2"/>
  <c r="CD78" i="2"/>
  <c r="CF78" i="2" s="1"/>
  <c r="CC78" i="2"/>
  <c r="BZ78" i="2"/>
  <c r="CA78" i="2" s="1"/>
  <c r="BY78" i="2"/>
  <c r="BX78" i="2"/>
  <c r="BV78" i="2"/>
  <c r="BU78" i="2"/>
  <c r="BT78" i="2"/>
  <c r="BS78" i="2"/>
  <c r="BP78" i="2"/>
  <c r="BO78" i="2"/>
  <c r="BN78" i="2"/>
  <c r="BK78" i="2"/>
  <c r="BL78" i="2" s="1"/>
  <c r="BJ78" i="2"/>
  <c r="BI78" i="2"/>
  <c r="BF78" i="2"/>
  <c r="BG78" i="2" s="1"/>
  <c r="BE78" i="2"/>
  <c r="BD78" i="2"/>
  <c r="BB78" i="2"/>
  <c r="BA78" i="2"/>
  <c r="AZ78" i="2"/>
  <c r="AV78" i="2"/>
  <c r="AH78" i="2"/>
  <c r="AG78" i="2"/>
  <c r="A78" i="2"/>
  <c r="CE77" i="2"/>
  <c r="CD77" i="2"/>
  <c r="CF77" i="2" s="1"/>
  <c r="CC77" i="2"/>
  <c r="BZ77" i="2"/>
  <c r="CA77" i="2" s="1"/>
  <c r="BY77" i="2"/>
  <c r="BX77" i="2"/>
  <c r="BU77" i="2"/>
  <c r="BV77" i="2" s="1"/>
  <c r="BT77" i="2"/>
  <c r="BS77" i="2"/>
  <c r="BQ77" i="2"/>
  <c r="BP77" i="2"/>
  <c r="BO77" i="2"/>
  <c r="BN77" i="2"/>
  <c r="BK77" i="2"/>
  <c r="BJ77" i="2"/>
  <c r="BI77" i="2"/>
  <c r="BF77" i="2"/>
  <c r="BE77" i="2"/>
  <c r="BD77" i="2"/>
  <c r="BB77" i="2"/>
  <c r="BA77" i="2"/>
  <c r="AZ77" i="2"/>
  <c r="AV77" i="2"/>
  <c r="AH77" i="2"/>
  <c r="AJ77" i="2" s="1"/>
  <c r="AG77" i="2"/>
  <c r="A77" i="2"/>
  <c r="CE76" i="2"/>
  <c r="CF76" i="2" s="1"/>
  <c r="CD76" i="2"/>
  <c r="CC76" i="2"/>
  <c r="BZ76" i="2"/>
  <c r="CA76" i="2" s="1"/>
  <c r="BY76" i="2"/>
  <c r="BX76" i="2"/>
  <c r="BU76" i="2"/>
  <c r="BT76" i="2"/>
  <c r="BV76" i="2" s="1"/>
  <c r="BS76" i="2"/>
  <c r="BQ76" i="2"/>
  <c r="BP76" i="2"/>
  <c r="BO76" i="2"/>
  <c r="BN76" i="2"/>
  <c r="BK76" i="2"/>
  <c r="BJ76" i="2"/>
  <c r="BI76" i="2"/>
  <c r="BF76" i="2"/>
  <c r="BE76" i="2"/>
  <c r="BD76" i="2"/>
  <c r="BB76" i="2"/>
  <c r="BA76" i="2"/>
  <c r="AZ76" i="2"/>
  <c r="AV76" i="2"/>
  <c r="AJ76" i="2"/>
  <c r="AH76" i="2"/>
  <c r="AI76" i="2" s="1"/>
  <c r="AG76" i="2"/>
  <c r="A76" i="2"/>
  <c r="CE75" i="2"/>
  <c r="CF75" i="2" s="1"/>
  <c r="CD75" i="2"/>
  <c r="CC75" i="2"/>
  <c r="BZ75" i="2"/>
  <c r="CA75" i="2" s="1"/>
  <c r="BY75" i="2"/>
  <c r="BX75" i="2"/>
  <c r="BU75" i="2"/>
  <c r="BT75" i="2"/>
  <c r="BS75" i="2"/>
  <c r="BQ75" i="2"/>
  <c r="BP75" i="2"/>
  <c r="BO75" i="2"/>
  <c r="BN75" i="2"/>
  <c r="BK75" i="2"/>
  <c r="BJ75" i="2"/>
  <c r="BI75" i="2"/>
  <c r="BG75" i="2"/>
  <c r="BF75" i="2"/>
  <c r="BE75" i="2"/>
  <c r="BD75" i="2"/>
  <c r="BB75" i="2"/>
  <c r="BA75" i="2"/>
  <c r="AZ75" i="2"/>
  <c r="AV75" i="2"/>
  <c r="AH75" i="2"/>
  <c r="AJ75" i="2" s="1"/>
  <c r="AG75" i="2"/>
  <c r="A75" i="2"/>
  <c r="CE74" i="2"/>
  <c r="CF74" i="2" s="1"/>
  <c r="CD74" i="2"/>
  <c r="CC74" i="2"/>
  <c r="BZ74" i="2"/>
  <c r="BY74" i="2"/>
  <c r="BX74" i="2"/>
  <c r="BU74" i="2"/>
  <c r="BV74" i="2" s="1"/>
  <c r="BT74" i="2"/>
  <c r="BS74" i="2"/>
  <c r="BP74" i="2"/>
  <c r="BQ74" i="2" s="1"/>
  <c r="BO74" i="2"/>
  <c r="BN74" i="2"/>
  <c r="BK74" i="2"/>
  <c r="BJ74" i="2"/>
  <c r="BL74" i="2" s="1"/>
  <c r="BI74" i="2"/>
  <c r="BF74" i="2"/>
  <c r="BE74" i="2"/>
  <c r="BG74" i="2" s="1"/>
  <c r="BD74" i="2"/>
  <c r="BB74" i="2"/>
  <c r="BA74" i="2"/>
  <c r="AZ74" i="2"/>
  <c r="AV74" i="2"/>
  <c r="AJ74" i="2"/>
  <c r="AI74" i="2"/>
  <c r="AH74" i="2"/>
  <c r="AG74" i="2"/>
  <c r="A74" i="2"/>
  <c r="CE73" i="2"/>
  <c r="CF73" i="2" s="1"/>
  <c r="CD73" i="2"/>
  <c r="CC73" i="2"/>
  <c r="BZ73" i="2"/>
  <c r="CA73" i="2" s="1"/>
  <c r="BY73" i="2"/>
  <c r="BX73" i="2"/>
  <c r="BU73" i="2"/>
  <c r="BV73" i="2" s="1"/>
  <c r="BT73" i="2"/>
  <c r="BS73" i="2"/>
  <c r="BQ73" i="2"/>
  <c r="BP73" i="2"/>
  <c r="BO73" i="2"/>
  <c r="BN73" i="2"/>
  <c r="BK73" i="2"/>
  <c r="BJ73" i="2"/>
  <c r="BL73" i="2" s="1"/>
  <c r="BI73" i="2"/>
  <c r="BF73" i="2"/>
  <c r="BG73" i="2" s="1"/>
  <c r="BE73" i="2"/>
  <c r="BD73" i="2"/>
  <c r="BB73" i="2"/>
  <c r="BA73" i="2"/>
  <c r="AZ73" i="2"/>
  <c r="AV73" i="2"/>
  <c r="AH73" i="2"/>
  <c r="AG73" i="2"/>
  <c r="A73" i="2"/>
  <c r="CF72" i="2"/>
  <c r="CE72" i="2"/>
  <c r="CD72" i="2"/>
  <c r="CC72" i="2"/>
  <c r="BZ72" i="2"/>
  <c r="BY72" i="2"/>
  <c r="CA72" i="2" s="1"/>
  <c r="BX72" i="2"/>
  <c r="BU72" i="2"/>
  <c r="BT72" i="2"/>
  <c r="BS72" i="2"/>
  <c r="BP72" i="2"/>
  <c r="BO72" i="2"/>
  <c r="BN72" i="2"/>
  <c r="BK72" i="2"/>
  <c r="BL72" i="2" s="1"/>
  <c r="BJ72" i="2"/>
  <c r="BI72" i="2"/>
  <c r="BG72" i="2"/>
  <c r="BF72" i="2"/>
  <c r="BE72" i="2"/>
  <c r="BD72" i="2"/>
  <c r="BB72" i="2"/>
  <c r="BA72" i="2"/>
  <c r="AZ72" i="2"/>
  <c r="AV72" i="2"/>
  <c r="AH72" i="2"/>
  <c r="AJ72" i="2" s="1"/>
  <c r="AG72" i="2"/>
  <c r="A72" i="2"/>
  <c r="CF71" i="2"/>
  <c r="CE71" i="2"/>
  <c r="CD71" i="2"/>
  <c r="CC71" i="2"/>
  <c r="BZ71" i="2"/>
  <c r="BY71" i="2"/>
  <c r="BX71" i="2"/>
  <c r="BU71" i="2"/>
  <c r="BT71" i="2"/>
  <c r="BV71" i="2" s="1"/>
  <c r="BS71" i="2"/>
  <c r="BQ71" i="2"/>
  <c r="BP71" i="2"/>
  <c r="BO71" i="2"/>
  <c r="BN71" i="2"/>
  <c r="BK71" i="2"/>
  <c r="BL71" i="2" s="1"/>
  <c r="BJ71" i="2"/>
  <c r="BI71" i="2"/>
  <c r="BF71" i="2"/>
  <c r="BG71" i="2" s="1"/>
  <c r="BE71" i="2"/>
  <c r="BD71" i="2"/>
  <c r="BB71" i="2"/>
  <c r="BA71" i="2"/>
  <c r="AZ71" i="2"/>
  <c r="AV71" i="2"/>
  <c r="AH71" i="2"/>
  <c r="AG71" i="2"/>
  <c r="A71" i="2"/>
  <c r="CF70" i="2"/>
  <c r="CE70" i="2"/>
  <c r="CD70" i="2"/>
  <c r="CC70" i="2"/>
  <c r="BZ70" i="2"/>
  <c r="BY70" i="2"/>
  <c r="BX70" i="2"/>
  <c r="BV70" i="2"/>
  <c r="BU70" i="2"/>
  <c r="BT70" i="2"/>
  <c r="BS70" i="2"/>
  <c r="BQ70" i="2"/>
  <c r="BP70" i="2"/>
  <c r="BO70" i="2"/>
  <c r="BN70" i="2"/>
  <c r="BK70" i="2"/>
  <c r="BJ70" i="2"/>
  <c r="BL70" i="2" s="1"/>
  <c r="BI70" i="2"/>
  <c r="BF70" i="2"/>
  <c r="BG70" i="2" s="1"/>
  <c r="BE70" i="2"/>
  <c r="BD70" i="2"/>
  <c r="BB70" i="2"/>
  <c r="BA70" i="2"/>
  <c r="AZ70" i="2"/>
  <c r="AV70" i="2"/>
  <c r="AH70" i="2"/>
  <c r="AJ70" i="2" s="1"/>
  <c r="AG70" i="2"/>
  <c r="A70" i="2"/>
  <c r="CE69" i="2"/>
  <c r="CF69" i="2" s="1"/>
  <c r="CD69" i="2"/>
  <c r="CC69" i="2"/>
  <c r="BZ69" i="2"/>
  <c r="BY69" i="2"/>
  <c r="BX69" i="2"/>
  <c r="BU69" i="2"/>
  <c r="BT69" i="2"/>
  <c r="BV69" i="2" s="1"/>
  <c r="BS69" i="2"/>
  <c r="BP69" i="2"/>
  <c r="BQ69" i="2" s="1"/>
  <c r="BO69" i="2"/>
  <c r="BN69" i="2"/>
  <c r="BK69" i="2"/>
  <c r="BJ69" i="2"/>
  <c r="BI69" i="2"/>
  <c r="BF69" i="2"/>
  <c r="BE69" i="2"/>
  <c r="BD69" i="2"/>
  <c r="BB69" i="2"/>
  <c r="BA69" i="2"/>
  <c r="AZ69" i="2"/>
  <c r="AV69" i="2"/>
  <c r="AH69" i="2"/>
  <c r="AI69" i="2" s="1"/>
  <c r="AG69" i="2"/>
  <c r="A69" i="2"/>
  <c r="CE68" i="2"/>
  <c r="CD68" i="2"/>
  <c r="CF68" i="2" s="1"/>
  <c r="CC68" i="2"/>
  <c r="BZ68" i="2"/>
  <c r="CA68" i="2" s="1"/>
  <c r="BY68" i="2"/>
  <c r="BX68" i="2"/>
  <c r="BU68" i="2"/>
  <c r="BV68" i="2" s="1"/>
  <c r="BT68" i="2"/>
  <c r="BS68" i="2"/>
  <c r="BP68" i="2"/>
  <c r="BO68" i="2"/>
  <c r="BN68" i="2"/>
  <c r="BL68" i="2"/>
  <c r="BK68" i="2"/>
  <c r="BJ68" i="2"/>
  <c r="BI68" i="2"/>
  <c r="BF68" i="2"/>
  <c r="BE68" i="2"/>
  <c r="BD68" i="2"/>
  <c r="BB68" i="2"/>
  <c r="BA68" i="2"/>
  <c r="AZ68" i="2"/>
  <c r="AV68" i="2"/>
  <c r="AI68" i="2"/>
  <c r="AH68" i="2"/>
  <c r="AJ68" i="2" s="1"/>
  <c r="AG68" i="2"/>
  <c r="A68" i="2"/>
  <c r="CE67" i="2"/>
  <c r="CD67" i="2"/>
  <c r="CC67" i="2"/>
  <c r="BZ67" i="2"/>
  <c r="CA67" i="2" s="1"/>
  <c r="BY67" i="2"/>
  <c r="BX67" i="2"/>
  <c r="BU67" i="2"/>
  <c r="BV67" i="2" s="1"/>
  <c r="BT67" i="2"/>
  <c r="BS67" i="2"/>
  <c r="BP67" i="2"/>
  <c r="BQ67" i="2" s="1"/>
  <c r="BO67" i="2"/>
  <c r="BN67" i="2"/>
  <c r="BL67" i="2"/>
  <c r="BK67" i="2"/>
  <c r="BJ67" i="2"/>
  <c r="BI67" i="2"/>
  <c r="BF67" i="2"/>
  <c r="BE67" i="2"/>
  <c r="BD67" i="2"/>
  <c r="BB67" i="2"/>
  <c r="BA67" i="2"/>
  <c r="AZ67" i="2"/>
  <c r="AV67" i="2"/>
  <c r="AH67" i="2"/>
  <c r="AJ67" i="2" s="1"/>
  <c r="AG67" i="2"/>
  <c r="A67" i="2"/>
  <c r="CF66" i="2"/>
  <c r="CE66" i="2"/>
  <c r="CD66" i="2"/>
  <c r="CC66" i="2"/>
  <c r="BZ66" i="2"/>
  <c r="BY66" i="2"/>
  <c r="BX66" i="2"/>
  <c r="BV66" i="2"/>
  <c r="BU66" i="2"/>
  <c r="BT66" i="2"/>
  <c r="BS66" i="2"/>
  <c r="BQ66" i="2"/>
  <c r="BP66" i="2"/>
  <c r="BO66" i="2"/>
  <c r="BN66" i="2"/>
  <c r="BK66" i="2"/>
  <c r="BL66" i="2" s="1"/>
  <c r="BJ66" i="2"/>
  <c r="BI66" i="2"/>
  <c r="BF66" i="2"/>
  <c r="BG66" i="2" s="1"/>
  <c r="BE66" i="2"/>
  <c r="BD66" i="2"/>
  <c r="BB66" i="2"/>
  <c r="BA66" i="2"/>
  <c r="AZ66" i="2"/>
  <c r="AV66" i="2"/>
  <c r="AH66" i="2"/>
  <c r="AJ66" i="2" s="1"/>
  <c r="AG66" i="2"/>
  <c r="A66" i="2"/>
  <c r="CF65" i="2"/>
  <c r="CE65" i="2"/>
  <c r="CD65" i="2"/>
  <c r="CC65" i="2"/>
  <c r="BZ65" i="2"/>
  <c r="CA65" i="2" s="1"/>
  <c r="BY65" i="2"/>
  <c r="BX65" i="2"/>
  <c r="BU65" i="2"/>
  <c r="BT65" i="2"/>
  <c r="BS65" i="2"/>
  <c r="BP65" i="2"/>
  <c r="BQ65" i="2" s="1"/>
  <c r="BO65" i="2"/>
  <c r="BN65" i="2"/>
  <c r="BK65" i="2"/>
  <c r="BL65" i="2" s="1"/>
  <c r="BJ65" i="2"/>
  <c r="BI65" i="2"/>
  <c r="BG65" i="2"/>
  <c r="BF65" i="2"/>
  <c r="BE65" i="2"/>
  <c r="BD65" i="2"/>
  <c r="BB65" i="2"/>
  <c r="BA65" i="2"/>
  <c r="AZ65" i="2"/>
  <c r="AV65" i="2"/>
  <c r="AJ65" i="2"/>
  <c r="AI65" i="2"/>
  <c r="AH65" i="2"/>
  <c r="AG65" i="2"/>
  <c r="A65" i="2"/>
  <c r="CE64" i="2"/>
  <c r="CF64" i="2" s="1"/>
  <c r="CD64" i="2"/>
  <c r="CC64" i="2"/>
  <c r="CA64" i="2"/>
  <c r="BZ64" i="2"/>
  <c r="BY64" i="2"/>
  <c r="BX64" i="2"/>
  <c r="BU64" i="2"/>
  <c r="BT64" i="2"/>
  <c r="BS64" i="2"/>
  <c r="BP64" i="2"/>
  <c r="BQ64" i="2" s="1"/>
  <c r="BO64" i="2"/>
  <c r="BN64" i="2"/>
  <c r="BK64" i="2"/>
  <c r="BJ64" i="2"/>
  <c r="BI64" i="2"/>
  <c r="BF64" i="2"/>
  <c r="BE64" i="2"/>
  <c r="BG64" i="2" s="1"/>
  <c r="BD64" i="2"/>
  <c r="BB64" i="2"/>
  <c r="BA64" i="2"/>
  <c r="AZ64" i="2"/>
  <c r="AV64" i="2"/>
  <c r="AH64" i="2"/>
  <c r="AJ64" i="2" s="1"/>
  <c r="AG64" i="2"/>
  <c r="A64" i="2"/>
  <c r="CE63" i="2"/>
  <c r="CF63" i="2" s="1"/>
  <c r="CD63" i="2"/>
  <c r="CC63" i="2"/>
  <c r="BZ63" i="2"/>
  <c r="CA63" i="2" s="1"/>
  <c r="BY63" i="2"/>
  <c r="BX63" i="2"/>
  <c r="BV63" i="2"/>
  <c r="BU63" i="2"/>
  <c r="BT63" i="2"/>
  <c r="BS63" i="2"/>
  <c r="BQ63" i="2"/>
  <c r="BP63" i="2"/>
  <c r="BO63" i="2"/>
  <c r="BN63" i="2"/>
  <c r="BK63" i="2"/>
  <c r="BL63" i="2" s="1"/>
  <c r="BJ63" i="2"/>
  <c r="BI63" i="2"/>
  <c r="BF63" i="2"/>
  <c r="BE63" i="2"/>
  <c r="BD63" i="2"/>
  <c r="BB63" i="2"/>
  <c r="BA63" i="2"/>
  <c r="AZ63" i="2"/>
  <c r="AV63" i="2"/>
  <c r="AJ63" i="2"/>
  <c r="AH63" i="2"/>
  <c r="AI63" i="2" s="1"/>
  <c r="AG63" i="2"/>
  <c r="A63" i="2"/>
  <c r="CE62" i="2"/>
  <c r="CD62" i="2"/>
  <c r="CF62" i="2" s="1"/>
  <c r="CC62" i="2"/>
  <c r="BZ62" i="2"/>
  <c r="BY62" i="2"/>
  <c r="CA62" i="2" s="1"/>
  <c r="BX62" i="2"/>
  <c r="BU62" i="2"/>
  <c r="BT62" i="2"/>
  <c r="BV62" i="2" s="1"/>
  <c r="BS62" i="2"/>
  <c r="BP62" i="2"/>
  <c r="BQ62" i="2" s="1"/>
  <c r="BO62" i="2"/>
  <c r="BN62" i="2"/>
  <c r="BL62" i="2"/>
  <c r="BK62" i="2"/>
  <c r="BJ62" i="2"/>
  <c r="BI62" i="2"/>
  <c r="BF62" i="2"/>
  <c r="BE62" i="2"/>
  <c r="BD62" i="2"/>
  <c r="BB62" i="2"/>
  <c r="BA62" i="2"/>
  <c r="AZ62" i="2"/>
  <c r="AV62" i="2"/>
  <c r="AJ62" i="2"/>
  <c r="AI62" i="2"/>
  <c r="AH62" i="2"/>
  <c r="AG62" i="2"/>
  <c r="A62" i="2"/>
  <c r="CE61" i="2"/>
  <c r="CF61" i="2" s="1"/>
  <c r="CD61" i="2"/>
  <c r="CC61" i="2"/>
  <c r="BZ61" i="2"/>
  <c r="CA61" i="2" s="1"/>
  <c r="BY61" i="2"/>
  <c r="BX61" i="2"/>
  <c r="BU61" i="2"/>
  <c r="BV61" i="2" s="1"/>
  <c r="BT61" i="2"/>
  <c r="BS61" i="2"/>
  <c r="BP61" i="2"/>
  <c r="BQ61" i="2" s="1"/>
  <c r="BO61" i="2"/>
  <c r="BN61" i="2"/>
  <c r="BL61" i="2"/>
  <c r="BK61" i="2"/>
  <c r="BJ61" i="2"/>
  <c r="BI61" i="2"/>
  <c r="BF61" i="2"/>
  <c r="BG61" i="2" s="1"/>
  <c r="BE61" i="2"/>
  <c r="BD61" i="2"/>
  <c r="BB61" i="2"/>
  <c r="BA61" i="2"/>
  <c r="AZ61" i="2"/>
  <c r="AV61" i="2"/>
  <c r="AX61" i="2" s="1"/>
  <c r="AR61" i="2"/>
  <c r="AJ61" i="2"/>
  <c r="AI61" i="2"/>
  <c r="AH61" i="2"/>
  <c r="AG61" i="2"/>
  <c r="A61" i="2"/>
  <c r="CE60" i="2"/>
  <c r="CD60" i="2"/>
  <c r="CC60" i="2"/>
  <c r="BZ60" i="2"/>
  <c r="CA60" i="2" s="1"/>
  <c r="BY60" i="2"/>
  <c r="BX60" i="2"/>
  <c r="BU60" i="2"/>
  <c r="BV60" i="2" s="1"/>
  <c r="BT60" i="2"/>
  <c r="BS60" i="2"/>
  <c r="BP60" i="2"/>
  <c r="BQ60" i="2" s="1"/>
  <c r="BO60" i="2"/>
  <c r="BN60" i="2"/>
  <c r="BL60" i="2"/>
  <c r="BK60" i="2"/>
  <c r="BJ60" i="2"/>
  <c r="BI60" i="2"/>
  <c r="BG60" i="2"/>
  <c r="BF60" i="2"/>
  <c r="BE60" i="2"/>
  <c r="BD60" i="2"/>
  <c r="BB60" i="2"/>
  <c r="BA60" i="2"/>
  <c r="AZ60" i="2"/>
  <c r="AV60" i="2"/>
  <c r="AJ60" i="2"/>
  <c r="AH60" i="2"/>
  <c r="AI60" i="2" s="1"/>
  <c r="AG60" i="2"/>
  <c r="A60" i="2"/>
  <c r="CF59" i="2"/>
  <c r="CE59" i="2"/>
  <c r="CD59" i="2"/>
  <c r="CC59" i="2"/>
  <c r="BZ59" i="2"/>
  <c r="CA59" i="2" s="1"/>
  <c r="BY59" i="2"/>
  <c r="BX59" i="2"/>
  <c r="BU59" i="2"/>
  <c r="BV59" i="2" s="1"/>
  <c r="BT59" i="2"/>
  <c r="BS59" i="2"/>
  <c r="BP59" i="2"/>
  <c r="BO59" i="2"/>
  <c r="BQ59" i="2" s="1"/>
  <c r="BN59" i="2"/>
  <c r="BL59" i="2"/>
  <c r="BK59" i="2"/>
  <c r="BJ59" i="2"/>
  <c r="BI59" i="2"/>
  <c r="BF59" i="2"/>
  <c r="BE59" i="2"/>
  <c r="BG59" i="2" s="1"/>
  <c r="BD59" i="2"/>
  <c r="BB59" i="2"/>
  <c r="BA59" i="2"/>
  <c r="AZ59" i="2"/>
  <c r="AV59" i="2"/>
  <c r="AX59" i="2" s="1"/>
  <c r="AR59" i="2"/>
  <c r="AJ59" i="2"/>
  <c r="AH59" i="2"/>
  <c r="AI59" i="2" s="1"/>
  <c r="AG59" i="2"/>
  <c r="A59" i="2"/>
  <c r="CE56" i="2"/>
  <c r="CF56" i="2" s="1"/>
  <c r="CD56" i="2"/>
  <c r="CC56" i="2"/>
  <c r="BZ56" i="2"/>
  <c r="CA56" i="2" s="1"/>
  <c r="BY56" i="2"/>
  <c r="BX56" i="2"/>
  <c r="BV56" i="2"/>
  <c r="BU56" i="2"/>
  <c r="BT56" i="2"/>
  <c r="BS56" i="2"/>
  <c r="BP56" i="2"/>
  <c r="BO56" i="2"/>
  <c r="BQ56" i="2" s="1"/>
  <c r="BN56" i="2"/>
  <c r="BK56" i="2"/>
  <c r="BJ56" i="2"/>
  <c r="BL56" i="2" s="1"/>
  <c r="BI56" i="2"/>
  <c r="BG56" i="2"/>
  <c r="BF56" i="2"/>
  <c r="BE56" i="2"/>
  <c r="BD56" i="2"/>
  <c r="BB56" i="2"/>
  <c r="BA56" i="2"/>
  <c r="AZ56" i="2"/>
  <c r="AV56" i="2"/>
  <c r="AH56" i="2"/>
  <c r="AJ56" i="2" s="1"/>
  <c r="AG56" i="2"/>
  <c r="C56" i="2"/>
  <c r="B56" i="2"/>
  <c r="A56" i="2"/>
  <c r="CE55" i="2"/>
  <c r="CF55" i="2" s="1"/>
  <c r="CD55" i="2"/>
  <c r="CC55" i="2"/>
  <c r="BZ55" i="2"/>
  <c r="CA55" i="2" s="1"/>
  <c r="BY55" i="2"/>
  <c r="BX55" i="2"/>
  <c r="BU55" i="2"/>
  <c r="BV55" i="2" s="1"/>
  <c r="BT55" i="2"/>
  <c r="BS55" i="2"/>
  <c r="BQ55" i="2"/>
  <c r="BP55" i="2"/>
  <c r="BO55" i="2"/>
  <c r="BN55" i="2"/>
  <c r="BK55" i="2"/>
  <c r="BJ55" i="2"/>
  <c r="BL55" i="2" s="1"/>
  <c r="BI55" i="2"/>
  <c r="BG55" i="2"/>
  <c r="BF55" i="2"/>
  <c r="BE55" i="2"/>
  <c r="BD55" i="2"/>
  <c r="BB55" i="2"/>
  <c r="BA55" i="2"/>
  <c r="AZ55" i="2"/>
  <c r="AV55" i="2"/>
  <c r="AH55" i="2"/>
  <c r="AJ55" i="2" s="1"/>
  <c r="AG55" i="2"/>
  <c r="C55" i="2"/>
  <c r="B55" i="2"/>
  <c r="A55" i="2"/>
  <c r="CE54" i="2"/>
  <c r="CD54" i="2"/>
  <c r="CF54" i="2" s="1"/>
  <c r="CC54" i="2"/>
  <c r="BZ54" i="2"/>
  <c r="CA54" i="2" s="1"/>
  <c r="BY54" i="2"/>
  <c r="BX54" i="2"/>
  <c r="BU54" i="2"/>
  <c r="BV54" i="2" s="1"/>
  <c r="BT54" i="2"/>
  <c r="BS54" i="2"/>
  <c r="BQ54" i="2"/>
  <c r="BP54" i="2"/>
  <c r="BO54" i="2"/>
  <c r="BN54" i="2"/>
  <c r="BK54" i="2"/>
  <c r="BL54" i="2" s="1"/>
  <c r="BJ54" i="2"/>
  <c r="BI54" i="2"/>
  <c r="BF54" i="2"/>
  <c r="BE54" i="2"/>
  <c r="BG54" i="2" s="1"/>
  <c r="BD54" i="2"/>
  <c r="BB54" i="2"/>
  <c r="BA54" i="2"/>
  <c r="AZ54" i="2"/>
  <c r="AV54" i="2"/>
  <c r="AJ54" i="2"/>
  <c r="AH54" i="2"/>
  <c r="AI54" i="2" s="1"/>
  <c r="AG54" i="2"/>
  <c r="C54" i="2"/>
  <c r="B54" i="2"/>
  <c r="A54" i="2"/>
  <c r="CF53" i="2"/>
  <c r="CE53" i="2"/>
  <c r="CD53" i="2"/>
  <c r="CC53" i="2"/>
  <c r="BZ53" i="2"/>
  <c r="CA53" i="2" s="1"/>
  <c r="BY53" i="2"/>
  <c r="BX53" i="2"/>
  <c r="BU53" i="2"/>
  <c r="BV53" i="2" s="1"/>
  <c r="BT53" i="2"/>
  <c r="BS53" i="2"/>
  <c r="BP53" i="2"/>
  <c r="BO53" i="2"/>
  <c r="BN53" i="2"/>
  <c r="BK53" i="2"/>
  <c r="BL53" i="2" s="1"/>
  <c r="BJ53" i="2"/>
  <c r="BI53" i="2"/>
  <c r="BF53" i="2"/>
  <c r="BG53" i="2" s="1"/>
  <c r="BE53" i="2"/>
  <c r="BD53" i="2"/>
  <c r="BB53" i="2"/>
  <c r="BA53" i="2"/>
  <c r="AZ53" i="2"/>
  <c r="AV53" i="2"/>
  <c r="AJ53" i="2"/>
  <c r="AI53" i="2"/>
  <c r="AH53" i="2"/>
  <c r="AG53" i="2"/>
  <c r="C53" i="2"/>
  <c r="B53" i="2"/>
  <c r="A53" i="2"/>
  <c r="CE52" i="2"/>
  <c r="CD52" i="2"/>
  <c r="CF52" i="2" s="1"/>
  <c r="CC52" i="2"/>
  <c r="BZ52" i="2"/>
  <c r="BY52" i="2"/>
  <c r="CA52" i="2" s="1"/>
  <c r="BX52" i="2"/>
  <c r="BU52" i="2"/>
  <c r="BV52" i="2" s="1"/>
  <c r="BT52" i="2"/>
  <c r="BS52" i="2"/>
  <c r="BP52" i="2"/>
  <c r="BQ52" i="2" s="1"/>
  <c r="BO52" i="2"/>
  <c r="BN52" i="2"/>
  <c r="BL52" i="2"/>
  <c r="BK52" i="2"/>
  <c r="BJ52" i="2"/>
  <c r="BI52" i="2"/>
  <c r="BF52" i="2"/>
  <c r="BG52" i="2" s="1"/>
  <c r="BE52" i="2"/>
  <c r="BD52" i="2"/>
  <c r="BB52" i="2"/>
  <c r="BA52" i="2"/>
  <c r="AZ52" i="2"/>
  <c r="AV52" i="2"/>
  <c r="AJ52" i="2"/>
  <c r="AI52" i="2"/>
  <c r="AH52" i="2"/>
  <c r="AG52" i="2"/>
  <c r="C52" i="2"/>
  <c r="B52" i="2"/>
  <c r="A52" i="2"/>
  <c r="CE51" i="2"/>
  <c r="CD51" i="2"/>
  <c r="CF51" i="2" s="1"/>
  <c r="CC51" i="2"/>
  <c r="BZ51" i="2"/>
  <c r="CA51" i="2" s="1"/>
  <c r="BY51" i="2"/>
  <c r="BX51" i="2"/>
  <c r="BV51" i="2"/>
  <c r="BU51" i="2"/>
  <c r="BT51" i="2"/>
  <c r="BS51" i="2"/>
  <c r="BP51" i="2"/>
  <c r="BQ51" i="2" s="1"/>
  <c r="BO51" i="2"/>
  <c r="BN51" i="2"/>
  <c r="BK51" i="2"/>
  <c r="BL51" i="2" s="1"/>
  <c r="BJ51" i="2"/>
  <c r="BI51" i="2"/>
  <c r="BF51" i="2"/>
  <c r="BG51" i="2" s="1"/>
  <c r="BE51" i="2"/>
  <c r="BD51" i="2"/>
  <c r="BB51" i="2"/>
  <c r="BA51" i="2"/>
  <c r="AZ51" i="2"/>
  <c r="AV51" i="2"/>
  <c r="AI51" i="2"/>
  <c r="AH51" i="2"/>
  <c r="AJ51" i="2" s="1"/>
  <c r="AG51" i="2"/>
  <c r="C51" i="2"/>
  <c r="B51" i="2"/>
  <c r="A51" i="2"/>
  <c r="CE50" i="2"/>
  <c r="CD50" i="2"/>
  <c r="CF50" i="2" s="1"/>
  <c r="CC50" i="2"/>
  <c r="BZ50" i="2"/>
  <c r="CA50" i="2" s="1"/>
  <c r="BY50" i="2"/>
  <c r="BX50" i="2"/>
  <c r="BU50" i="2"/>
  <c r="BT50" i="2"/>
  <c r="BS50" i="2"/>
  <c r="BP50" i="2"/>
  <c r="BQ50" i="2" s="1"/>
  <c r="BO50" i="2"/>
  <c r="BN50" i="2"/>
  <c r="BK50" i="2"/>
  <c r="BL50" i="2" s="1"/>
  <c r="BJ50" i="2"/>
  <c r="BI50" i="2"/>
  <c r="BF50" i="2"/>
  <c r="BG50" i="2" s="1"/>
  <c r="BE50" i="2"/>
  <c r="BD50" i="2"/>
  <c r="BB50" i="2"/>
  <c r="BA50" i="2"/>
  <c r="AZ50" i="2"/>
  <c r="AV50" i="2"/>
  <c r="AH50" i="2"/>
  <c r="AJ50" i="2" s="1"/>
  <c r="AG50" i="2"/>
  <c r="C50" i="2"/>
  <c r="B50" i="2"/>
  <c r="A50" i="2"/>
  <c r="CE49" i="2"/>
  <c r="CD49" i="2"/>
  <c r="CC49" i="2"/>
  <c r="BZ49" i="2"/>
  <c r="CA49" i="2" s="1"/>
  <c r="BY49" i="2"/>
  <c r="BX49" i="2"/>
  <c r="BU49" i="2"/>
  <c r="BV49" i="2" s="1"/>
  <c r="BT49" i="2"/>
  <c r="BS49" i="2"/>
  <c r="BP49" i="2"/>
  <c r="BQ49" i="2" s="1"/>
  <c r="BO49" i="2"/>
  <c r="BN49" i="2"/>
  <c r="BL49" i="2"/>
  <c r="BK49" i="2"/>
  <c r="BJ49" i="2"/>
  <c r="BI49" i="2"/>
  <c r="BF49" i="2"/>
  <c r="BE49" i="2"/>
  <c r="BD49" i="2"/>
  <c r="BB49" i="2"/>
  <c r="BA49" i="2"/>
  <c r="AZ49" i="2"/>
  <c r="AV49" i="2"/>
  <c r="AH49" i="2"/>
  <c r="AJ49" i="2" s="1"/>
  <c r="AG49" i="2"/>
  <c r="C49" i="2"/>
  <c r="B49" i="2"/>
  <c r="A49" i="2"/>
  <c r="CE48" i="2"/>
  <c r="CF48" i="2" s="1"/>
  <c r="CD48" i="2"/>
  <c r="CC48" i="2"/>
  <c r="BZ48" i="2"/>
  <c r="BY48" i="2"/>
  <c r="BX48" i="2"/>
  <c r="BU48" i="2"/>
  <c r="BT48" i="2"/>
  <c r="BS48" i="2"/>
  <c r="BP48" i="2"/>
  <c r="BQ48" i="2" s="1"/>
  <c r="BO48" i="2"/>
  <c r="BN48" i="2"/>
  <c r="BK48" i="2"/>
  <c r="BJ48" i="2"/>
  <c r="BL48" i="2" s="1"/>
  <c r="BI48" i="2"/>
  <c r="BF48" i="2"/>
  <c r="BE48" i="2"/>
  <c r="BG48" i="2" s="1"/>
  <c r="BD48" i="2"/>
  <c r="BB48" i="2"/>
  <c r="BA48" i="2"/>
  <c r="AZ48" i="2"/>
  <c r="AV48" i="2"/>
  <c r="AJ48" i="2"/>
  <c r="AI48" i="2"/>
  <c r="AH48" i="2"/>
  <c r="AG48" i="2"/>
  <c r="C48" i="2"/>
  <c r="B48" i="2"/>
  <c r="A48" i="2"/>
  <c r="CE47" i="2"/>
  <c r="CD47" i="2"/>
  <c r="CC47" i="2"/>
  <c r="BZ47" i="2"/>
  <c r="CA47" i="2" s="1"/>
  <c r="BY47" i="2"/>
  <c r="BX47" i="2"/>
  <c r="BU47" i="2"/>
  <c r="BV47" i="2" s="1"/>
  <c r="BT47" i="2"/>
  <c r="BS47" i="2"/>
  <c r="BQ47" i="2"/>
  <c r="BP47" i="2"/>
  <c r="BO47" i="2"/>
  <c r="BN47" i="2"/>
  <c r="BL47" i="2"/>
  <c r="BK47" i="2"/>
  <c r="BJ47" i="2"/>
  <c r="BI47" i="2"/>
  <c r="BF47" i="2"/>
  <c r="BE47" i="2"/>
  <c r="BD47" i="2"/>
  <c r="BB47" i="2"/>
  <c r="BA47" i="2"/>
  <c r="AZ47" i="2"/>
  <c r="AV47" i="2"/>
  <c r="AJ47" i="2"/>
  <c r="AH47" i="2"/>
  <c r="AI47" i="2" s="1"/>
  <c r="AG47" i="2"/>
  <c r="C47" i="2"/>
  <c r="B47" i="2"/>
  <c r="A47" i="2"/>
  <c r="CF46" i="2"/>
  <c r="CE46" i="2"/>
  <c r="CD46" i="2"/>
  <c r="CC46" i="2"/>
  <c r="BZ46" i="2"/>
  <c r="CA46" i="2" s="1"/>
  <c r="BY46" i="2"/>
  <c r="BX46" i="2"/>
  <c r="BU46" i="2"/>
  <c r="BV46" i="2" s="1"/>
  <c r="BT46" i="2"/>
  <c r="BS46" i="2"/>
  <c r="BP46" i="2"/>
  <c r="BQ46" i="2" s="1"/>
  <c r="BO46" i="2"/>
  <c r="BN46" i="2"/>
  <c r="BL46" i="2"/>
  <c r="BK46" i="2"/>
  <c r="BJ46" i="2"/>
  <c r="BI46" i="2"/>
  <c r="BG46" i="2"/>
  <c r="BF46" i="2"/>
  <c r="BE46" i="2"/>
  <c r="BD46" i="2"/>
  <c r="BB46" i="2"/>
  <c r="BA46" i="2"/>
  <c r="AZ46" i="2"/>
  <c r="AV46" i="2"/>
  <c r="AH46" i="2"/>
  <c r="AG46" i="2"/>
  <c r="C46" i="2"/>
  <c r="B46" i="2"/>
  <c r="A46" i="2"/>
  <c r="CE45" i="2"/>
  <c r="CF45" i="2" s="1"/>
  <c r="CD45" i="2"/>
  <c r="CC45" i="2"/>
  <c r="CA45" i="2"/>
  <c r="BZ45" i="2"/>
  <c r="BY45" i="2"/>
  <c r="BX45" i="2"/>
  <c r="BU45" i="2"/>
  <c r="BV45" i="2" s="1"/>
  <c r="BT45" i="2"/>
  <c r="BS45" i="2"/>
  <c r="BP45" i="2"/>
  <c r="BQ45" i="2" s="1"/>
  <c r="BO45" i="2"/>
  <c r="BN45" i="2"/>
  <c r="BK45" i="2"/>
  <c r="BL45" i="2" s="1"/>
  <c r="BJ45" i="2"/>
  <c r="BI45" i="2"/>
  <c r="BF45" i="2"/>
  <c r="BG45" i="2" s="1"/>
  <c r="BE45" i="2"/>
  <c r="BD45" i="2"/>
  <c r="BB45" i="2"/>
  <c r="BA45" i="2"/>
  <c r="AZ45" i="2"/>
  <c r="AV45" i="2"/>
  <c r="AH45" i="2"/>
  <c r="AJ45" i="2" s="1"/>
  <c r="AG45" i="2"/>
  <c r="C45" i="2"/>
  <c r="B45" i="2"/>
  <c r="A45" i="2"/>
  <c r="CE44" i="2"/>
  <c r="CF44" i="2" s="1"/>
  <c r="CD44" i="2"/>
  <c r="CC44" i="2"/>
  <c r="BZ44" i="2"/>
  <c r="CA44" i="2" s="1"/>
  <c r="BY44" i="2"/>
  <c r="BX44" i="2"/>
  <c r="BU44" i="2"/>
  <c r="BV44" i="2" s="1"/>
  <c r="BT44" i="2"/>
  <c r="BS44" i="2"/>
  <c r="BP44" i="2"/>
  <c r="BQ44" i="2" s="1"/>
  <c r="BO44" i="2"/>
  <c r="BN44" i="2"/>
  <c r="BK44" i="2"/>
  <c r="BL44" i="2" s="1"/>
  <c r="BJ44" i="2"/>
  <c r="BI44" i="2"/>
  <c r="BF44" i="2"/>
  <c r="BE44" i="2"/>
  <c r="BG44" i="2" s="1"/>
  <c r="BD44" i="2"/>
  <c r="BB44" i="2"/>
  <c r="BA44" i="2"/>
  <c r="AZ44" i="2"/>
  <c r="AV44" i="2"/>
  <c r="AJ44" i="2"/>
  <c r="AI44" i="2"/>
  <c r="AH44" i="2"/>
  <c r="AG44" i="2"/>
  <c r="C44" i="2"/>
  <c r="B44" i="2"/>
  <c r="A44" i="2"/>
  <c r="CE43" i="2"/>
  <c r="CF43" i="2" s="1"/>
  <c r="CD43" i="2"/>
  <c r="CC43" i="2"/>
  <c r="BZ43" i="2"/>
  <c r="BY43" i="2"/>
  <c r="CA43" i="2" s="1"/>
  <c r="BX43" i="2"/>
  <c r="BU43" i="2"/>
  <c r="BT43" i="2"/>
  <c r="BV43" i="2" s="1"/>
  <c r="BS43" i="2"/>
  <c r="BQ43" i="2"/>
  <c r="BP43" i="2"/>
  <c r="BO43" i="2"/>
  <c r="BN43" i="2"/>
  <c r="BK43" i="2"/>
  <c r="BL43" i="2" s="1"/>
  <c r="BJ43" i="2"/>
  <c r="BI43" i="2"/>
  <c r="BG43" i="2"/>
  <c r="BF43" i="2"/>
  <c r="BE43" i="2"/>
  <c r="BD43" i="2"/>
  <c r="BB43" i="2"/>
  <c r="BA43" i="2"/>
  <c r="AZ43" i="2"/>
  <c r="AV43" i="2"/>
  <c r="AI43" i="2"/>
  <c r="AH43" i="2"/>
  <c r="AJ43" i="2" s="1"/>
  <c r="AG43" i="2"/>
  <c r="C43" i="2"/>
  <c r="B43" i="2"/>
  <c r="A43" i="2"/>
  <c r="CE42" i="2"/>
  <c r="CF42" i="2" s="1"/>
  <c r="CD42" i="2"/>
  <c r="CC42" i="2"/>
  <c r="BZ42" i="2"/>
  <c r="CA42" i="2" s="1"/>
  <c r="BY42" i="2"/>
  <c r="BX42" i="2"/>
  <c r="BU42" i="2"/>
  <c r="BV42" i="2" s="1"/>
  <c r="BT42" i="2"/>
  <c r="BS42" i="2"/>
  <c r="BQ42" i="2"/>
  <c r="BP42" i="2"/>
  <c r="BO42" i="2"/>
  <c r="BN42" i="2"/>
  <c r="BK42" i="2"/>
  <c r="BJ42" i="2"/>
  <c r="BL42" i="2" s="1"/>
  <c r="BI42" i="2"/>
  <c r="BF42" i="2"/>
  <c r="BE42" i="2"/>
  <c r="BG42" i="2" s="1"/>
  <c r="BD42" i="2"/>
  <c r="BB42" i="2"/>
  <c r="BA42" i="2"/>
  <c r="AZ42" i="2"/>
  <c r="AV42" i="2"/>
  <c r="AH42" i="2"/>
  <c r="AJ42" i="2" s="1"/>
  <c r="AG42" i="2"/>
  <c r="C42" i="2"/>
  <c r="B42" i="2"/>
  <c r="A42" i="2"/>
  <c r="CE41" i="2"/>
  <c r="CD41" i="2"/>
  <c r="CF41" i="2" s="1"/>
  <c r="CC41" i="2"/>
  <c r="BZ41" i="2"/>
  <c r="BY41" i="2"/>
  <c r="CA41" i="2" s="1"/>
  <c r="BX41" i="2"/>
  <c r="BU41" i="2"/>
  <c r="BV41" i="2" s="1"/>
  <c r="BT41" i="2"/>
  <c r="BS41" i="2"/>
  <c r="BP41" i="2"/>
  <c r="BQ41" i="2" s="1"/>
  <c r="BO41" i="2"/>
  <c r="BN41" i="2"/>
  <c r="BK41" i="2"/>
  <c r="BL41" i="2" s="1"/>
  <c r="BJ41" i="2"/>
  <c r="BI41" i="2"/>
  <c r="BF41" i="2"/>
  <c r="BE41" i="2"/>
  <c r="BG41" i="2" s="1"/>
  <c r="BD41" i="2"/>
  <c r="BB41" i="2"/>
  <c r="BA41" i="2"/>
  <c r="AZ41" i="2"/>
  <c r="AV41" i="2"/>
  <c r="AH41" i="2"/>
  <c r="AJ41" i="2" s="1"/>
  <c r="AG41" i="2"/>
  <c r="C41" i="2"/>
  <c r="B41" i="2"/>
  <c r="A41" i="2"/>
  <c r="CE40" i="2"/>
  <c r="CF40" i="2" s="1"/>
  <c r="CD40" i="2"/>
  <c r="CC40" i="2"/>
  <c r="BZ40" i="2"/>
  <c r="BY40" i="2"/>
  <c r="BX40" i="2"/>
  <c r="BU40" i="2"/>
  <c r="BT40" i="2"/>
  <c r="BV40" i="2" s="1"/>
  <c r="BS40" i="2"/>
  <c r="BP40" i="2"/>
  <c r="BQ40" i="2" s="1"/>
  <c r="BO40" i="2"/>
  <c r="BN40" i="2"/>
  <c r="BL40" i="2"/>
  <c r="BK40" i="2"/>
  <c r="BJ40" i="2"/>
  <c r="BI40" i="2"/>
  <c r="BF40" i="2"/>
  <c r="BG40" i="2" s="1"/>
  <c r="BE40" i="2"/>
  <c r="BD40" i="2"/>
  <c r="BB40" i="2"/>
  <c r="BA40" i="2"/>
  <c r="AZ40" i="2"/>
  <c r="AV40" i="2"/>
  <c r="AJ40" i="2"/>
  <c r="AI40" i="2"/>
  <c r="AH40" i="2"/>
  <c r="AG40" i="2"/>
  <c r="C40" i="2"/>
  <c r="B40" i="2"/>
  <c r="A40" i="2"/>
  <c r="CF39" i="2"/>
  <c r="CE39" i="2"/>
  <c r="CD39" i="2"/>
  <c r="CC39" i="2"/>
  <c r="CA39" i="2"/>
  <c r="BZ39" i="2"/>
  <c r="BY39" i="2"/>
  <c r="BX39" i="2"/>
  <c r="BV39" i="2"/>
  <c r="BU39" i="2"/>
  <c r="BT39" i="2"/>
  <c r="BS39" i="2"/>
  <c r="BP39" i="2"/>
  <c r="BQ39" i="2" s="1"/>
  <c r="BO39" i="2"/>
  <c r="BN39" i="2"/>
  <c r="BK39" i="2"/>
  <c r="BJ39" i="2"/>
  <c r="BI39" i="2"/>
  <c r="BG39" i="2"/>
  <c r="BF39" i="2"/>
  <c r="BE39" i="2"/>
  <c r="BD39" i="2"/>
  <c r="BB39" i="2"/>
  <c r="BA39" i="2"/>
  <c r="AZ39" i="2"/>
  <c r="AV39" i="2"/>
  <c r="AJ39" i="2"/>
  <c r="AI39" i="2"/>
  <c r="AH39" i="2"/>
  <c r="AG39" i="2"/>
  <c r="C39" i="2"/>
  <c r="B39" i="2"/>
  <c r="A39" i="2"/>
  <c r="CE38" i="2"/>
  <c r="CF38" i="2" s="1"/>
  <c r="CD38" i="2"/>
  <c r="CC38" i="2"/>
  <c r="BZ38" i="2"/>
  <c r="CA38" i="2" s="1"/>
  <c r="BY38" i="2"/>
  <c r="BX38" i="2"/>
  <c r="BU38" i="2"/>
  <c r="BT38" i="2"/>
  <c r="BV38" i="2" s="1"/>
  <c r="BS38" i="2"/>
  <c r="BP38" i="2"/>
  <c r="BQ38" i="2" s="1"/>
  <c r="BO38" i="2"/>
  <c r="BN38" i="2"/>
  <c r="BK38" i="2"/>
  <c r="BL38" i="2" s="1"/>
  <c r="BJ38" i="2"/>
  <c r="BI38" i="2"/>
  <c r="BG38" i="2"/>
  <c r="BF38" i="2"/>
  <c r="BE38" i="2"/>
  <c r="BD38" i="2"/>
  <c r="BB38" i="2"/>
  <c r="BA38" i="2"/>
  <c r="AZ38" i="2"/>
  <c r="AV38" i="2"/>
  <c r="AJ38" i="2"/>
  <c r="AI38" i="2"/>
  <c r="AH38" i="2"/>
  <c r="AG38" i="2"/>
  <c r="C38" i="2"/>
  <c r="B38" i="2"/>
  <c r="A38" i="2"/>
  <c r="CE37" i="2"/>
  <c r="CF37" i="2" s="1"/>
  <c r="CD37" i="2"/>
  <c r="CC37" i="2"/>
  <c r="BZ37" i="2"/>
  <c r="CA37" i="2" s="1"/>
  <c r="BY37" i="2"/>
  <c r="BX37" i="2"/>
  <c r="BV37" i="2"/>
  <c r="BU37" i="2"/>
  <c r="BT37" i="2"/>
  <c r="BS37" i="2"/>
  <c r="BP37" i="2"/>
  <c r="BQ37" i="2" s="1"/>
  <c r="BO37" i="2"/>
  <c r="BN37" i="2"/>
  <c r="BK37" i="2"/>
  <c r="BL37" i="2" s="1"/>
  <c r="BJ37" i="2"/>
  <c r="BI37" i="2"/>
  <c r="BF37" i="2"/>
  <c r="BE37" i="2"/>
  <c r="BG37" i="2" s="1"/>
  <c r="BD37" i="2"/>
  <c r="BB37" i="2"/>
  <c r="BA37" i="2"/>
  <c r="AZ37" i="2"/>
  <c r="AV37" i="2"/>
  <c r="AJ37" i="2"/>
  <c r="AI37" i="2"/>
  <c r="AH37" i="2"/>
  <c r="AG37" i="2"/>
  <c r="C37" i="2"/>
  <c r="B37" i="2"/>
  <c r="A37" i="2"/>
  <c r="CE36" i="2"/>
  <c r="CF36" i="2" s="1"/>
  <c r="CD36" i="2"/>
  <c r="CC36" i="2"/>
  <c r="CA36" i="2"/>
  <c r="BZ36" i="2"/>
  <c r="BY36" i="2"/>
  <c r="BX36" i="2"/>
  <c r="BU36" i="2"/>
  <c r="BT36" i="2"/>
  <c r="BV36" i="2" s="1"/>
  <c r="BS36" i="2"/>
  <c r="BQ36" i="2"/>
  <c r="BP36" i="2"/>
  <c r="BO36" i="2"/>
  <c r="BN36" i="2"/>
  <c r="BK36" i="2"/>
  <c r="BL36" i="2" s="1"/>
  <c r="BJ36" i="2"/>
  <c r="BI36" i="2"/>
  <c r="BF36" i="2"/>
  <c r="BE36" i="2"/>
  <c r="BD36" i="2"/>
  <c r="BB36" i="2"/>
  <c r="BA36" i="2"/>
  <c r="AZ36" i="2"/>
  <c r="AV36" i="2"/>
  <c r="AH36" i="2"/>
  <c r="AI36" i="2" s="1"/>
  <c r="AG36" i="2"/>
  <c r="C36" i="2"/>
  <c r="B36" i="2"/>
  <c r="A36" i="2"/>
  <c r="CF35" i="2"/>
  <c r="CE35" i="2"/>
  <c r="CD35" i="2"/>
  <c r="CC35" i="2"/>
  <c r="BZ35" i="2"/>
  <c r="CA35" i="2" s="1"/>
  <c r="BY35" i="2"/>
  <c r="BX35" i="2"/>
  <c r="BU35" i="2"/>
  <c r="BV35" i="2" s="1"/>
  <c r="BT35" i="2"/>
  <c r="BS35" i="2"/>
  <c r="BP35" i="2"/>
  <c r="BQ35" i="2" s="1"/>
  <c r="BO35" i="2"/>
  <c r="BN35" i="2"/>
  <c r="BL35" i="2"/>
  <c r="BK35" i="2"/>
  <c r="BJ35" i="2"/>
  <c r="BI35" i="2"/>
  <c r="BG35" i="2"/>
  <c r="BF35" i="2"/>
  <c r="BE35" i="2"/>
  <c r="BD35" i="2"/>
  <c r="BB35" i="2"/>
  <c r="BA35" i="2"/>
  <c r="AZ35" i="2"/>
  <c r="AV35" i="2"/>
  <c r="AJ35" i="2"/>
  <c r="AI35" i="2"/>
  <c r="AH35" i="2"/>
  <c r="AG35" i="2"/>
  <c r="C35" i="2"/>
  <c r="B35" i="2"/>
  <c r="A35" i="2"/>
  <c r="CE34" i="2"/>
  <c r="CD34" i="2"/>
  <c r="CC34" i="2"/>
  <c r="BZ34" i="2"/>
  <c r="BY34" i="2"/>
  <c r="BX34" i="2"/>
  <c r="BV34" i="2"/>
  <c r="BU34" i="2"/>
  <c r="BT34" i="2"/>
  <c r="BS34" i="2"/>
  <c r="BQ34" i="2"/>
  <c r="BP34" i="2"/>
  <c r="BO34" i="2"/>
  <c r="BN34" i="2"/>
  <c r="BK34" i="2"/>
  <c r="BJ34" i="2"/>
  <c r="BL34" i="2" s="1"/>
  <c r="BI34" i="2"/>
  <c r="BF34" i="2"/>
  <c r="BE34" i="2"/>
  <c r="BG34" i="2" s="1"/>
  <c r="BD34" i="2"/>
  <c r="BB34" i="2"/>
  <c r="BA34" i="2"/>
  <c r="AZ34" i="2"/>
  <c r="AV34" i="2"/>
  <c r="AH34" i="2"/>
  <c r="AG34" i="2"/>
  <c r="C34" i="2"/>
  <c r="B34" i="2"/>
  <c r="A34" i="2"/>
  <c r="CE33" i="2"/>
  <c r="CD33" i="2"/>
  <c r="CF33" i="2" s="1"/>
  <c r="CC33" i="2"/>
  <c r="BZ33" i="2"/>
  <c r="BY33" i="2"/>
  <c r="CA33" i="2" s="1"/>
  <c r="BX33" i="2"/>
  <c r="BU33" i="2"/>
  <c r="BV33" i="2" s="1"/>
  <c r="BT33" i="2"/>
  <c r="BS33" i="2"/>
  <c r="BP33" i="2"/>
  <c r="BQ33" i="2" s="1"/>
  <c r="BO33" i="2"/>
  <c r="BN33" i="2"/>
  <c r="BK33" i="2"/>
  <c r="BL33" i="2" s="1"/>
  <c r="BJ33" i="2"/>
  <c r="BI33" i="2"/>
  <c r="BF33" i="2"/>
  <c r="BG33" i="2" s="1"/>
  <c r="BE33" i="2"/>
  <c r="BD33" i="2"/>
  <c r="BB33" i="2"/>
  <c r="BA33" i="2"/>
  <c r="AZ33" i="2"/>
  <c r="AV33" i="2"/>
  <c r="AJ33" i="2"/>
  <c r="AH33" i="2"/>
  <c r="AI33" i="2" s="1"/>
  <c r="AG33" i="2"/>
  <c r="C33" i="2"/>
  <c r="B33" i="2"/>
  <c r="A33" i="2"/>
  <c r="CF32" i="2"/>
  <c r="CE32" i="2"/>
  <c r="CD32" i="2"/>
  <c r="CC32" i="2"/>
  <c r="BZ32" i="2"/>
  <c r="BY32" i="2"/>
  <c r="CA32" i="2" s="1"/>
  <c r="BX32" i="2"/>
  <c r="BU32" i="2"/>
  <c r="BV32" i="2" s="1"/>
  <c r="BT32" i="2"/>
  <c r="BS32" i="2"/>
  <c r="BP32" i="2"/>
  <c r="BQ32" i="2" s="1"/>
  <c r="BO32" i="2"/>
  <c r="BN32" i="2"/>
  <c r="BL32" i="2"/>
  <c r="BK32" i="2"/>
  <c r="BJ32" i="2"/>
  <c r="BI32" i="2"/>
  <c r="BG32" i="2"/>
  <c r="BF32" i="2"/>
  <c r="BE32" i="2"/>
  <c r="BD32" i="2"/>
  <c r="BB32" i="2"/>
  <c r="BA32" i="2"/>
  <c r="AZ32" i="2"/>
  <c r="AV32" i="2"/>
  <c r="AJ32" i="2"/>
  <c r="AI32" i="2"/>
  <c r="AH32" i="2"/>
  <c r="AG32" i="2"/>
  <c r="C32" i="2"/>
  <c r="B32" i="2"/>
  <c r="A32" i="2"/>
  <c r="CE31" i="2"/>
  <c r="CF31" i="2" s="1"/>
  <c r="CD31" i="2"/>
  <c r="CC31" i="2"/>
  <c r="CA31" i="2"/>
  <c r="BZ31" i="2"/>
  <c r="BY31" i="2"/>
  <c r="BX31" i="2"/>
  <c r="BV31" i="2"/>
  <c r="BU31" i="2"/>
  <c r="BT31" i="2"/>
  <c r="BS31" i="2"/>
  <c r="BP31" i="2"/>
  <c r="BO31" i="2"/>
  <c r="BN31" i="2"/>
  <c r="BK31" i="2"/>
  <c r="BJ31" i="2"/>
  <c r="BI31" i="2"/>
  <c r="BG31" i="2"/>
  <c r="BF31" i="2"/>
  <c r="BE31" i="2"/>
  <c r="BD31" i="2"/>
  <c r="BB31" i="2"/>
  <c r="BA31" i="2"/>
  <c r="AZ31" i="2"/>
  <c r="AV31" i="2"/>
  <c r="AI31" i="2"/>
  <c r="AH31" i="2"/>
  <c r="AJ31" i="2" s="1"/>
  <c r="AG31" i="2"/>
  <c r="C31" i="2"/>
  <c r="B31" i="2"/>
  <c r="A31" i="2"/>
  <c r="CE30" i="2"/>
  <c r="CF30" i="2" s="1"/>
  <c r="CD30" i="2"/>
  <c r="CC30" i="2"/>
  <c r="BZ30" i="2"/>
  <c r="CA30" i="2" s="1"/>
  <c r="BY30" i="2"/>
  <c r="BX30" i="2"/>
  <c r="BV30" i="2"/>
  <c r="BU30" i="2"/>
  <c r="BT30" i="2"/>
  <c r="BS30" i="2"/>
  <c r="BP30" i="2"/>
  <c r="BQ30" i="2" s="1"/>
  <c r="BO30" i="2"/>
  <c r="BN30" i="2"/>
  <c r="BK30" i="2"/>
  <c r="BJ30" i="2"/>
  <c r="BI30" i="2"/>
  <c r="BG30" i="2"/>
  <c r="BF30" i="2"/>
  <c r="BE30" i="2"/>
  <c r="BD30" i="2"/>
  <c r="BB30" i="2"/>
  <c r="BA30" i="2"/>
  <c r="AZ30" i="2"/>
  <c r="AV30" i="2"/>
  <c r="AJ30" i="2"/>
  <c r="AI30" i="2"/>
  <c r="AH30" i="2"/>
  <c r="AG30" i="2"/>
  <c r="C30" i="2"/>
  <c r="B30" i="2"/>
  <c r="A30" i="2"/>
  <c r="CF29" i="2"/>
  <c r="CE29" i="2"/>
  <c r="CD29" i="2"/>
  <c r="CC29" i="2"/>
  <c r="BZ29" i="2"/>
  <c r="CA29" i="2" s="1"/>
  <c r="BY29" i="2"/>
  <c r="BX29" i="2"/>
  <c r="BU29" i="2"/>
  <c r="BT29" i="2"/>
  <c r="BV29" i="2" s="1"/>
  <c r="BS29" i="2"/>
  <c r="BP29" i="2"/>
  <c r="BO29" i="2"/>
  <c r="BQ29" i="2" s="1"/>
  <c r="BN29" i="2"/>
  <c r="BK29" i="2"/>
  <c r="BL29" i="2" s="1"/>
  <c r="BJ29" i="2"/>
  <c r="BI29" i="2"/>
  <c r="BF29" i="2"/>
  <c r="BG29" i="2" s="1"/>
  <c r="BE29" i="2"/>
  <c r="BD29" i="2"/>
  <c r="BB29" i="2"/>
  <c r="BA29" i="2"/>
  <c r="AZ29" i="2"/>
  <c r="AV29" i="2"/>
  <c r="AH29" i="2"/>
  <c r="AG29" i="2"/>
  <c r="C29" i="2"/>
  <c r="B29" i="2"/>
  <c r="A29" i="2"/>
  <c r="CE28" i="2"/>
  <c r="CF28" i="2" s="1"/>
  <c r="CD28" i="2"/>
  <c r="CC28" i="2"/>
  <c r="BZ28" i="2"/>
  <c r="CA28" i="2" s="1"/>
  <c r="BY28" i="2"/>
  <c r="BX28" i="2"/>
  <c r="BU28" i="2"/>
  <c r="BV28" i="2" s="1"/>
  <c r="BT28" i="2"/>
  <c r="BS28" i="2"/>
  <c r="BQ28" i="2"/>
  <c r="BP28" i="2"/>
  <c r="BO28" i="2"/>
  <c r="BN28" i="2"/>
  <c r="BK28" i="2"/>
  <c r="BL28" i="2" s="1"/>
  <c r="BJ28" i="2"/>
  <c r="BI28" i="2"/>
  <c r="BF28" i="2"/>
  <c r="BE28" i="2"/>
  <c r="BG28" i="2" s="1"/>
  <c r="BD28" i="2"/>
  <c r="BB28" i="2"/>
  <c r="BA28" i="2"/>
  <c r="AZ28" i="2"/>
  <c r="AV28" i="2"/>
  <c r="AI28" i="2"/>
  <c r="AH28" i="2"/>
  <c r="AJ28" i="2" s="1"/>
  <c r="AG28" i="2"/>
  <c r="C28" i="2"/>
  <c r="B28" i="2"/>
  <c r="A28" i="2"/>
  <c r="CF27" i="2"/>
  <c r="CE27" i="2"/>
  <c r="CD27" i="2"/>
  <c r="CC27" i="2"/>
  <c r="BZ27" i="2"/>
  <c r="BY27" i="2"/>
  <c r="CA27" i="2" s="1"/>
  <c r="BX27" i="2"/>
  <c r="BU27" i="2"/>
  <c r="BT27" i="2"/>
  <c r="BV27" i="2" s="1"/>
  <c r="BS27" i="2"/>
  <c r="BP27" i="2"/>
  <c r="BO27" i="2"/>
  <c r="BN27" i="2"/>
  <c r="BK27" i="2"/>
  <c r="BL27" i="2" s="1"/>
  <c r="BJ27" i="2"/>
  <c r="BI27" i="2"/>
  <c r="BF27" i="2"/>
  <c r="BG27" i="2" s="1"/>
  <c r="BE27" i="2"/>
  <c r="BD27" i="2"/>
  <c r="BB27" i="2"/>
  <c r="BA27" i="2"/>
  <c r="AZ27" i="2"/>
  <c r="AV27" i="2"/>
  <c r="AH27" i="2"/>
  <c r="AJ27" i="2" s="1"/>
  <c r="AG27" i="2"/>
  <c r="C27" i="2"/>
  <c r="B27" i="2"/>
  <c r="A27" i="2"/>
  <c r="CF26" i="2"/>
  <c r="CE26" i="2"/>
  <c r="CD26" i="2"/>
  <c r="CC26" i="2"/>
  <c r="BZ26" i="2"/>
  <c r="CA26" i="2" s="1"/>
  <c r="BY26" i="2"/>
  <c r="BX26" i="2"/>
  <c r="BU26" i="2"/>
  <c r="BV26" i="2" s="1"/>
  <c r="BT26" i="2"/>
  <c r="BS26" i="2"/>
  <c r="BQ26" i="2"/>
  <c r="BP26" i="2"/>
  <c r="BO26" i="2"/>
  <c r="BN26" i="2"/>
  <c r="BK26" i="2"/>
  <c r="BJ26" i="2"/>
  <c r="BI26" i="2"/>
  <c r="BF26" i="2"/>
  <c r="BG26" i="2" s="1"/>
  <c r="BE26" i="2"/>
  <c r="BD26" i="2"/>
  <c r="BB26" i="2"/>
  <c r="BA26" i="2"/>
  <c r="AZ26" i="2"/>
  <c r="AV26" i="2"/>
  <c r="AJ26" i="2"/>
  <c r="AI26" i="2"/>
  <c r="AH26" i="2"/>
  <c r="AG26" i="2"/>
  <c r="C26" i="2"/>
  <c r="B26" i="2"/>
  <c r="A26" i="2"/>
  <c r="CE25" i="2"/>
  <c r="CF25" i="2" s="1"/>
  <c r="CD25" i="2"/>
  <c r="CC25" i="2"/>
  <c r="BZ25" i="2"/>
  <c r="BY25" i="2"/>
  <c r="BX25" i="2"/>
  <c r="BV25" i="2"/>
  <c r="BU25" i="2"/>
  <c r="BT25" i="2"/>
  <c r="BS25" i="2"/>
  <c r="BP25" i="2"/>
  <c r="BO25" i="2"/>
  <c r="BQ25" i="2" s="1"/>
  <c r="BN25" i="2"/>
  <c r="BL25" i="2"/>
  <c r="BK25" i="2"/>
  <c r="BJ25" i="2"/>
  <c r="BI25" i="2"/>
  <c r="BF25" i="2"/>
  <c r="BE25" i="2"/>
  <c r="BD25" i="2"/>
  <c r="BB25" i="2"/>
  <c r="BA25" i="2"/>
  <c r="AZ25" i="2"/>
  <c r="AV25" i="2"/>
  <c r="AH25" i="2"/>
  <c r="AJ25" i="2" s="1"/>
  <c r="AG25" i="2"/>
  <c r="C25" i="2"/>
  <c r="B25" i="2"/>
  <c r="A25" i="2"/>
  <c r="CE24" i="2"/>
  <c r="CD24" i="2"/>
  <c r="CC24" i="2"/>
  <c r="BZ24" i="2"/>
  <c r="CA24" i="2" s="1"/>
  <c r="BY24" i="2"/>
  <c r="BX24" i="2"/>
  <c r="BU24" i="2"/>
  <c r="BV24" i="2" s="1"/>
  <c r="BT24" i="2"/>
  <c r="BS24" i="2"/>
  <c r="BQ24" i="2"/>
  <c r="BP24" i="2"/>
  <c r="BO24" i="2"/>
  <c r="BN24" i="2"/>
  <c r="BK24" i="2"/>
  <c r="BL24" i="2" s="1"/>
  <c r="BJ24" i="2"/>
  <c r="BI24" i="2"/>
  <c r="BG24" i="2"/>
  <c r="BF24" i="2"/>
  <c r="BE24" i="2"/>
  <c r="BD24" i="2"/>
  <c r="BB24" i="2"/>
  <c r="BA24" i="2"/>
  <c r="AZ24" i="2"/>
  <c r="AV24" i="2"/>
  <c r="AI24" i="2"/>
  <c r="AH24" i="2"/>
  <c r="AJ24" i="2" s="1"/>
  <c r="AG24" i="2"/>
  <c r="C24" i="2"/>
  <c r="B24" i="2"/>
  <c r="A24" i="2"/>
  <c r="CF23" i="2"/>
  <c r="CE23" i="2"/>
  <c r="CD23" i="2"/>
  <c r="CC23" i="2"/>
  <c r="BZ23" i="2"/>
  <c r="CA23" i="2" s="1"/>
  <c r="BY23" i="2"/>
  <c r="BX23" i="2"/>
  <c r="BU23" i="2"/>
  <c r="BV23" i="2" s="1"/>
  <c r="BT23" i="2"/>
  <c r="BS23" i="2"/>
  <c r="BP23" i="2"/>
  <c r="BO23" i="2"/>
  <c r="BN23" i="2"/>
  <c r="BL23" i="2"/>
  <c r="BK23" i="2"/>
  <c r="BJ23" i="2"/>
  <c r="BI23" i="2"/>
  <c r="BF23" i="2"/>
  <c r="BE23" i="2"/>
  <c r="BG23" i="2" s="1"/>
  <c r="BD23" i="2"/>
  <c r="BB23" i="2"/>
  <c r="BA23" i="2"/>
  <c r="AZ23" i="2"/>
  <c r="AV23" i="2"/>
  <c r="AH23" i="2"/>
  <c r="AI23" i="2" s="1"/>
  <c r="AG23" i="2"/>
  <c r="C23" i="2"/>
  <c r="B23" i="2"/>
  <c r="A23" i="2"/>
  <c r="CF22" i="2"/>
  <c r="CE22" i="2"/>
  <c r="CD22" i="2"/>
  <c r="CC22" i="2"/>
  <c r="BZ22" i="2"/>
  <c r="CA22" i="2" s="1"/>
  <c r="BY22" i="2"/>
  <c r="BX22" i="2"/>
  <c r="BU22" i="2"/>
  <c r="BV22" i="2" s="1"/>
  <c r="BT22" i="2"/>
  <c r="BS22" i="2"/>
  <c r="BP22" i="2"/>
  <c r="BQ22" i="2" s="1"/>
  <c r="BO22" i="2"/>
  <c r="BN22" i="2"/>
  <c r="BK22" i="2"/>
  <c r="BL22" i="2" s="1"/>
  <c r="BJ22" i="2"/>
  <c r="BI22" i="2"/>
  <c r="BG22" i="2"/>
  <c r="BF22" i="2"/>
  <c r="BE22" i="2"/>
  <c r="BD22" i="2"/>
  <c r="BB22" i="2"/>
  <c r="BA22" i="2"/>
  <c r="AZ22" i="2"/>
  <c r="AV22" i="2"/>
  <c r="AJ22" i="2"/>
  <c r="AI22" i="2"/>
  <c r="AH22" i="2"/>
  <c r="AG22" i="2"/>
  <c r="C22" i="2"/>
  <c r="B22" i="2"/>
  <c r="A22" i="2"/>
  <c r="CE21" i="2"/>
  <c r="CD21" i="2"/>
  <c r="CF21" i="2" s="1"/>
  <c r="CC21" i="2"/>
  <c r="BZ21" i="2"/>
  <c r="BY21" i="2"/>
  <c r="CA21" i="2" s="1"/>
  <c r="BX21" i="2"/>
  <c r="BU21" i="2"/>
  <c r="BV21" i="2" s="1"/>
  <c r="BT21" i="2"/>
  <c r="BS21" i="2"/>
  <c r="BP21" i="2"/>
  <c r="BQ21" i="2" s="1"/>
  <c r="BO21" i="2"/>
  <c r="BN21" i="2"/>
  <c r="BK21" i="2"/>
  <c r="BL21" i="2" s="1"/>
  <c r="BJ21" i="2"/>
  <c r="BI21" i="2"/>
  <c r="BF21" i="2"/>
  <c r="BE21" i="2"/>
  <c r="BD21" i="2"/>
  <c r="BB21" i="2"/>
  <c r="BA21" i="2"/>
  <c r="AZ21" i="2"/>
  <c r="AV21" i="2"/>
  <c r="AJ21" i="2"/>
  <c r="AI21" i="2"/>
  <c r="AH21" i="2"/>
  <c r="AG21" i="2"/>
  <c r="C21" i="2"/>
  <c r="B21" i="2"/>
  <c r="A21" i="2"/>
  <c r="CC20" i="2"/>
  <c r="BX20" i="2"/>
  <c r="BN20" i="2"/>
  <c r="BI20" i="2"/>
  <c r="AV20" i="2"/>
  <c r="AJ20" i="2"/>
  <c r="AI20" i="2"/>
  <c r="BD20" i="2" s="1"/>
  <c r="AH20" i="2"/>
  <c r="AG20" i="2"/>
  <c r="C20" i="2"/>
  <c r="B20" i="2"/>
  <c r="AV19" i="2"/>
  <c r="AH19" i="2"/>
  <c r="AJ19" i="2" s="1"/>
  <c r="AG19" i="2"/>
  <c r="C19" i="2"/>
  <c r="B19" i="2"/>
  <c r="AV18" i="2"/>
  <c r="AH18" i="2"/>
  <c r="AJ18" i="2" s="1"/>
  <c r="AG18" i="2"/>
  <c r="C18" i="2"/>
  <c r="B18" i="2"/>
  <c r="A18" i="2"/>
  <c r="AV17" i="2"/>
  <c r="AJ17" i="2"/>
  <c r="AI17" i="2"/>
  <c r="AH17" i="2"/>
  <c r="AG17" i="2"/>
  <c r="C17" i="2"/>
  <c r="B17" i="2"/>
  <c r="A17" i="2"/>
  <c r="AE14" i="2"/>
  <c r="AD14" i="2"/>
  <c r="AC14" i="2"/>
  <c r="AB14" i="2"/>
  <c r="AA14" i="2"/>
  <c r="Z14" i="2"/>
  <c r="Y14" i="2"/>
  <c r="X14" i="2"/>
  <c r="W14" i="2"/>
  <c r="AT23" i="2" s="1"/>
  <c r="V14" i="2"/>
  <c r="AT19" i="2" s="1"/>
  <c r="U14" i="2"/>
  <c r="T14" i="2"/>
  <c r="S14" i="2"/>
  <c r="R14" i="2"/>
  <c r="Q14" i="2"/>
  <c r="P14" i="2"/>
  <c r="O14" i="2"/>
  <c r="N14" i="2"/>
  <c r="M14" i="2"/>
  <c r="L14" i="2"/>
  <c r="K14" i="2"/>
  <c r="AE13" i="2"/>
  <c r="AD13" i="2"/>
  <c r="AC13" i="2"/>
  <c r="AB13" i="2"/>
  <c r="AA13" i="2"/>
  <c r="Z13" i="2"/>
  <c r="Y13" i="2"/>
  <c r="X13" i="2"/>
  <c r="W13" i="2"/>
  <c r="V13" i="2"/>
  <c r="U13" i="2"/>
  <c r="T13" i="2"/>
  <c r="S13" i="2"/>
  <c r="R13" i="2"/>
  <c r="Q13" i="2"/>
  <c r="P13" i="2"/>
  <c r="O13" i="2"/>
  <c r="N13" i="2"/>
  <c r="M13" i="2"/>
  <c r="L13" i="2"/>
  <c r="K13" i="2"/>
  <c r="A13" i="2"/>
  <c r="AE12" i="2"/>
  <c r="AD12" i="2"/>
  <c r="AC12" i="2"/>
  <c r="AB12" i="2"/>
  <c r="AA12" i="2"/>
  <c r="Z12" i="2"/>
  <c r="Y12" i="2"/>
  <c r="X12" i="2"/>
  <c r="W12" i="2"/>
  <c r="V12" i="2"/>
  <c r="U12" i="2"/>
  <c r="T12" i="2"/>
  <c r="S12" i="2"/>
  <c r="R12" i="2"/>
  <c r="Q12" i="2"/>
  <c r="P12" i="2"/>
  <c r="O12" i="2"/>
  <c r="N12" i="2"/>
  <c r="M12" i="2"/>
  <c r="L12" i="2"/>
  <c r="K12" i="2"/>
  <c r="AE11" i="2"/>
  <c r="AD11" i="2"/>
  <c r="AC11" i="2"/>
  <c r="AB11" i="2"/>
  <c r="AA11" i="2"/>
  <c r="Z11" i="2"/>
  <c r="Y11" i="2"/>
  <c r="X11" i="2"/>
  <c r="W11" i="2"/>
  <c r="V11" i="2"/>
  <c r="U11" i="2"/>
  <c r="T11" i="2"/>
  <c r="S11" i="2"/>
  <c r="R11" i="2"/>
  <c r="Q11" i="2"/>
  <c r="P11" i="2"/>
  <c r="AL26" i="2" s="1"/>
  <c r="O11" i="2"/>
  <c r="AL40" i="2" s="1"/>
  <c r="N11" i="2"/>
  <c r="M11" i="2"/>
  <c r="L11" i="2"/>
  <c r="K11" i="2"/>
  <c r="A11" i="2"/>
  <c r="AT6" i="2"/>
  <c r="AN6" i="2"/>
  <c r="AO6" i="2" s="1"/>
  <c r="AM6" i="2"/>
  <c r="AL6" i="2"/>
  <c r="AE6" i="2"/>
  <c r="AD6" i="2"/>
  <c r="AC6" i="2"/>
  <c r="AB6" i="2"/>
  <c r="AA6" i="2"/>
  <c r="Z6" i="2"/>
  <c r="Y6" i="2"/>
  <c r="X6" i="2"/>
  <c r="W6" i="2"/>
  <c r="V6" i="2"/>
  <c r="U6" i="2"/>
  <c r="T6" i="2"/>
  <c r="S6" i="2"/>
  <c r="R6" i="2"/>
  <c r="Q6" i="2"/>
  <c r="AI6" i="2" s="1"/>
  <c r="P6" i="2"/>
  <c r="O6" i="2"/>
  <c r="N6" i="2"/>
  <c r="M6" i="2"/>
  <c r="L6" i="2"/>
  <c r="K6" i="2"/>
  <c r="B6" i="2"/>
  <c r="A3" i="2"/>
  <c r="AN2" i="2"/>
  <c r="U1" i="2"/>
  <c r="A1" i="2"/>
  <c r="D28" i="1"/>
  <c r="E24" i="1"/>
  <c r="E23" i="1"/>
  <c r="A2" i="1"/>
  <c r="A1" i="1"/>
  <c r="CF14" i="6" l="1"/>
  <c r="AV14" i="6"/>
  <c r="CF48" i="6"/>
  <c r="AC13" i="6"/>
  <c r="AC34" i="6"/>
  <c r="AC41" i="6"/>
  <c r="AC48" i="6"/>
  <c r="AV15" i="6"/>
  <c r="AC20" i="6"/>
  <c r="AC27" i="6"/>
  <c r="AK20" i="6"/>
  <c r="AK34" i="6"/>
  <c r="AK48" i="6"/>
  <c r="AM13" i="6"/>
  <c r="AC14" i="6"/>
  <c r="AC21" i="6"/>
  <c r="AM27" i="6"/>
  <c r="AM34" i="6"/>
  <c r="AC49" i="6"/>
  <c r="CF23" i="6"/>
  <c r="AS24" i="6"/>
  <c r="AN27" i="6"/>
  <c r="AK28" i="6"/>
  <c r="CF30" i="6"/>
  <c r="AS31" i="6"/>
  <c r="AN34" i="6"/>
  <c r="AK35" i="6"/>
  <c r="CF37" i="6"/>
  <c r="AS38" i="6"/>
  <c r="AN41" i="6"/>
  <c r="AK42" i="6"/>
  <c r="CF44" i="6"/>
  <c r="AS45" i="6"/>
  <c r="AN48" i="6"/>
  <c r="AK49" i="6"/>
  <c r="CF51" i="6"/>
  <c r="AM20" i="6"/>
  <c r="AC28" i="6"/>
  <c r="AC35" i="6"/>
  <c r="AM41" i="6"/>
  <c r="AC42" i="6"/>
  <c r="AM48" i="6"/>
  <c r="AN13" i="6"/>
  <c r="AK14" i="6"/>
  <c r="CF12" i="6"/>
  <c r="AO13" i="6"/>
  <c r="AM14" i="6"/>
  <c r="AC15" i="6"/>
  <c r="AO20" i="6"/>
  <c r="AM21" i="6"/>
  <c r="AC22" i="6"/>
  <c r="AO27" i="6"/>
  <c r="AM28" i="6"/>
  <c r="AC29" i="6"/>
  <c r="AO34" i="6"/>
  <c r="AM35" i="6"/>
  <c r="AC36" i="6"/>
  <c r="AO41" i="6"/>
  <c r="AM42" i="6"/>
  <c r="AC43" i="6"/>
  <c r="AO48" i="6"/>
  <c r="AM49" i="6"/>
  <c r="AC50" i="6"/>
  <c r="CF24" i="6"/>
  <c r="AP27" i="6" a="1"/>
  <c r="AP27" i="6" s="1"/>
  <c r="AN28" i="6"/>
  <c r="AK29" i="6"/>
  <c r="CF31" i="6"/>
  <c r="AP34" i="6" a="1"/>
  <c r="AP34" i="6" s="1"/>
  <c r="AN35" i="6"/>
  <c r="AK36" i="6"/>
  <c r="CF38" i="6"/>
  <c r="AP41" i="6" a="1"/>
  <c r="AP41" i="6" s="1"/>
  <c r="AN42" i="6"/>
  <c r="AK43" i="6"/>
  <c r="CF45" i="6"/>
  <c r="AP48" i="6" a="1"/>
  <c r="AP48" i="6" s="1"/>
  <c r="AN49" i="6"/>
  <c r="AK50" i="6"/>
  <c r="AK13" i="6"/>
  <c r="AK27" i="6"/>
  <c r="AK41" i="6"/>
  <c r="AN20" i="6"/>
  <c r="AP20" i="6" a="1"/>
  <c r="AP20" i="6" s="1"/>
  <c r="AK22" i="6"/>
  <c r="AM15" i="6"/>
  <c r="AC16" i="6"/>
  <c r="AM22" i="6"/>
  <c r="AC23" i="6"/>
  <c r="AM29" i="6"/>
  <c r="AC30" i="6"/>
  <c r="AO35" i="6"/>
  <c r="AM36" i="6"/>
  <c r="AC37" i="6"/>
  <c r="AO42" i="6"/>
  <c r="AM43" i="6"/>
  <c r="AC44" i="6"/>
  <c r="AO49" i="6"/>
  <c r="AM50" i="6"/>
  <c r="AC51" i="6"/>
  <c r="AC12" i="6"/>
  <c r="AQ13" i="6"/>
  <c r="AN15" i="6"/>
  <c r="AK16" i="6"/>
  <c r="AQ20" i="6"/>
  <c r="AP21" i="6" a="1"/>
  <c r="AP21" i="6" s="1"/>
  <c r="AN22" i="6"/>
  <c r="AK23" i="6"/>
  <c r="AQ27" i="6"/>
  <c r="AP28" i="6" a="1"/>
  <c r="AP28" i="6" s="1"/>
  <c r="AN29" i="6"/>
  <c r="AK30" i="6"/>
  <c r="AQ34" i="6"/>
  <c r="AP35" i="6" a="1"/>
  <c r="AP35" i="6" s="1"/>
  <c r="AN36" i="6"/>
  <c r="AK37" i="6"/>
  <c r="AQ41" i="6"/>
  <c r="AP42" i="6" a="1"/>
  <c r="AP42" i="6" s="1"/>
  <c r="AN43" i="6"/>
  <c r="AK44" i="6"/>
  <c r="AS47" i="6"/>
  <c r="AQ48" i="6"/>
  <c r="AP49" i="6" a="1"/>
  <c r="AP49" i="6" s="1"/>
  <c r="AN50" i="6"/>
  <c r="AK51" i="6"/>
  <c r="BU10" i="6"/>
  <c r="AK12" i="6"/>
  <c r="AR13" i="6"/>
  <c r="CF13" i="6" s="1"/>
  <c r="AO15" i="6"/>
  <c r="AP15" i="6" s="1" a="1"/>
  <c r="AP15" i="6" s="1"/>
  <c r="AM16" i="6"/>
  <c r="AC17" i="6"/>
  <c r="AR20" i="6"/>
  <c r="AO22" i="6"/>
  <c r="AM23" i="6"/>
  <c r="AC24" i="6"/>
  <c r="AR27" i="6"/>
  <c r="AO29" i="6"/>
  <c r="AM30" i="6"/>
  <c r="AC31" i="6"/>
  <c r="AR34" i="6"/>
  <c r="AO36" i="6"/>
  <c r="AM37" i="6"/>
  <c r="AC38" i="6"/>
  <c r="AR41" i="6"/>
  <c r="AO43" i="6"/>
  <c r="AM44" i="6"/>
  <c r="AC45" i="6"/>
  <c r="AV47" i="6"/>
  <c r="AR48" i="6"/>
  <c r="AO50" i="6"/>
  <c r="AM51" i="6"/>
  <c r="AM12" i="6"/>
  <c r="AS13" i="6"/>
  <c r="AQ14" i="6"/>
  <c r="AN16" i="6"/>
  <c r="AK17" i="6"/>
  <c r="AS20" i="6"/>
  <c r="AQ21" i="6"/>
  <c r="AN23" i="6"/>
  <c r="AK24" i="6"/>
  <c r="AS27" i="6"/>
  <c r="AQ28" i="6"/>
  <c r="AN30" i="6"/>
  <c r="AK31" i="6"/>
  <c r="AS34" i="6"/>
  <c r="AQ35" i="6"/>
  <c r="AN37" i="6"/>
  <c r="AK38" i="6"/>
  <c r="AS41" i="6"/>
  <c r="AQ42" i="6"/>
  <c r="AN44" i="6"/>
  <c r="AK45" i="6"/>
  <c r="AS48" i="6"/>
  <c r="AQ49" i="6"/>
  <c r="AN51" i="6"/>
  <c r="AK21" i="6"/>
  <c r="AP13" i="6" a="1"/>
  <c r="AP13" i="6" s="1"/>
  <c r="AN14" i="6"/>
  <c r="AN21" i="6"/>
  <c r="AO14" i="6"/>
  <c r="AP14" i="6" s="1" a="1"/>
  <c r="AP14" i="6" s="1"/>
  <c r="AO21" i="6"/>
  <c r="AO28" i="6"/>
  <c r="F192" i="5"/>
  <c r="D194" i="5"/>
  <c r="H197" i="5"/>
  <c r="D201" i="5"/>
  <c r="D187" i="5"/>
  <c r="H194" i="5"/>
  <c r="H192" i="5" s="1"/>
  <c r="C87" i="4"/>
  <c r="Q35" i="4" a="1"/>
  <c r="Q35" i="4" s="1"/>
  <c r="X35" i="4" a="1"/>
  <c r="X35" i="4" s="1"/>
  <c r="I35" i="4" a="1"/>
  <c r="I35" i="4" s="1"/>
  <c r="W35" i="4" a="1"/>
  <c r="W35" i="4" s="1"/>
  <c r="O35" i="4" a="1"/>
  <c r="O35" i="4" s="1"/>
  <c r="P35" i="4" a="1"/>
  <c r="P35" i="4" s="1"/>
  <c r="F35" i="4" a="1"/>
  <c r="F35" i="4" s="1"/>
  <c r="Y35" i="4" a="1"/>
  <c r="Y35" i="4" s="1"/>
  <c r="N35" i="4" a="1"/>
  <c r="N35" i="4" s="1"/>
  <c r="E35" i="4" a="1"/>
  <c r="E35" i="4" s="1"/>
  <c r="T35" i="4" a="1"/>
  <c r="T35" i="4" s="1"/>
  <c r="K35" i="4" a="1"/>
  <c r="K35" i="4" s="1"/>
  <c r="AC35" i="4" a="1"/>
  <c r="AC35" i="4" s="1"/>
  <c r="M35" i="4" a="1"/>
  <c r="M35" i="4" s="1"/>
  <c r="AB35" i="4" a="1"/>
  <c r="AB35" i="4" s="1"/>
  <c r="L35" i="4" a="1"/>
  <c r="L35" i="4" s="1"/>
  <c r="V35" i="4" a="1"/>
  <c r="V35" i="4" s="1"/>
  <c r="J35" i="4" a="1"/>
  <c r="J35" i="4" s="1"/>
  <c r="U35" i="4" a="1"/>
  <c r="U35" i="4" s="1"/>
  <c r="H35" i="4" a="1"/>
  <c r="H35" i="4" s="1"/>
  <c r="G35" i="4" a="1"/>
  <c r="G35" i="4" s="1"/>
  <c r="R35" i="4" a="1"/>
  <c r="R35" i="4" s="1"/>
  <c r="AB50" i="4" a="1"/>
  <c r="AB50" i="4" s="1"/>
  <c r="S50" i="4" a="1"/>
  <c r="S50" i="4" s="1"/>
  <c r="L50" i="4" a="1"/>
  <c r="L50" i="4" s="1"/>
  <c r="E50" i="4" a="1"/>
  <c r="E50" i="4" s="1"/>
  <c r="Y50" i="4" a="1"/>
  <c r="Y50" i="4" s="1"/>
  <c r="R50" i="4" a="1"/>
  <c r="R50" i="4" s="1"/>
  <c r="K50" i="4" a="1"/>
  <c r="K50" i="4" s="1"/>
  <c r="H50" i="4" a="1"/>
  <c r="H50" i="4" s="1"/>
  <c r="P50" i="4" a="1"/>
  <c r="P50" i="4" s="1"/>
  <c r="X50" i="4" a="1"/>
  <c r="X50" i="4" s="1"/>
  <c r="G50" i="4" a="1"/>
  <c r="G50" i="4" s="1"/>
  <c r="C102" i="4"/>
  <c r="O50" i="4" a="1"/>
  <c r="O50" i="4" s="1"/>
  <c r="U50" i="4" a="1"/>
  <c r="U50" i="4" s="1"/>
  <c r="I50" i="4" a="1"/>
  <c r="I50" i="4" s="1"/>
  <c r="T50" i="4" a="1"/>
  <c r="T50" i="4" s="1"/>
  <c r="F50" i="4" a="1"/>
  <c r="F50" i="4" s="1"/>
  <c r="AC50" i="4" a="1"/>
  <c r="AC50" i="4" s="1"/>
  <c r="V50" i="4" a="1"/>
  <c r="V50" i="4" s="1"/>
  <c r="Q50" i="4" a="1"/>
  <c r="Q50" i="4" s="1"/>
  <c r="N50" i="4" a="1"/>
  <c r="N50" i="4" s="1"/>
  <c r="M50" i="4" a="1"/>
  <c r="M50" i="4" s="1"/>
  <c r="J50" i="4" a="1"/>
  <c r="J50" i="4" s="1"/>
  <c r="Z62" i="4"/>
  <c r="S35" i="4" a="1"/>
  <c r="S35" i="4" s="1"/>
  <c r="Z63" i="4"/>
  <c r="C90" i="4"/>
  <c r="S38" i="4" a="1"/>
  <c r="S38" i="4" s="1"/>
  <c r="L38" i="4" a="1"/>
  <c r="L38" i="4" s="1"/>
  <c r="E38" i="4" a="1"/>
  <c r="E38" i="4" s="1"/>
  <c r="AB38" i="4" a="1"/>
  <c r="AB38" i="4" s="1"/>
  <c r="K38" i="4" a="1"/>
  <c r="K38" i="4" s="1"/>
  <c r="R38" i="4" a="1"/>
  <c r="R38" i="4" s="1"/>
  <c r="Y38" i="4" a="1"/>
  <c r="Y38" i="4" s="1"/>
  <c r="J38" i="4" a="1"/>
  <c r="J38" i="4" s="1"/>
  <c r="Q38" i="4" a="1"/>
  <c r="Q38" i="4" s="1"/>
  <c r="M38" i="4" a="1"/>
  <c r="M38" i="4" s="1"/>
  <c r="V38" i="4" a="1"/>
  <c r="V38" i="4" s="1"/>
  <c r="P38" i="4" a="1"/>
  <c r="P38" i="4" s="1"/>
  <c r="O38" i="4" a="1"/>
  <c r="O38" i="4" s="1"/>
  <c r="N38" i="4" a="1"/>
  <c r="N38" i="4" s="1"/>
  <c r="AC38" i="4" a="1"/>
  <c r="AC38" i="4" s="1"/>
  <c r="I38" i="4" a="1"/>
  <c r="I38" i="4" s="1"/>
  <c r="X38" i="4" a="1"/>
  <c r="X38" i="4" s="1"/>
  <c r="H38" i="4" a="1"/>
  <c r="H38" i="4" s="1"/>
  <c r="W38" i="4" a="1"/>
  <c r="W38" i="4" s="1"/>
  <c r="U38" i="4" a="1"/>
  <c r="U38" i="4" s="1"/>
  <c r="G38" i="4" a="1"/>
  <c r="G38" i="4" s="1"/>
  <c r="W43" i="4" a="1"/>
  <c r="W43" i="4" s="1"/>
  <c r="P43" i="4" a="1"/>
  <c r="P43" i="4" s="1"/>
  <c r="I43" i="4" a="1"/>
  <c r="I43" i="4" s="1"/>
  <c r="U43" i="4" a="1"/>
  <c r="U43" i="4" s="1"/>
  <c r="L43" i="4" a="1"/>
  <c r="L43" i="4" s="1"/>
  <c r="T43" i="4" a="1"/>
  <c r="T43" i="4" s="1"/>
  <c r="K43" i="4" a="1"/>
  <c r="K43" i="4" s="1"/>
  <c r="R43" i="4" a="1"/>
  <c r="R43" i="4" s="1"/>
  <c r="F43" i="4" a="1"/>
  <c r="F43" i="4" s="1"/>
  <c r="AC43" i="4" a="1"/>
  <c r="AC43" i="4" s="1"/>
  <c r="Q43" i="4" a="1"/>
  <c r="Q43" i="4" s="1"/>
  <c r="E43" i="4" a="1"/>
  <c r="E43" i="4" s="1"/>
  <c r="C95" i="4"/>
  <c r="O43" i="4" a="1"/>
  <c r="O43" i="4" s="1"/>
  <c r="N43" i="4" a="1"/>
  <c r="N43" i="4" s="1"/>
  <c r="M43" i="4" a="1"/>
  <c r="M43" i="4" s="1"/>
  <c r="AB43" i="4" a="1"/>
  <c r="AB43" i="4" s="1"/>
  <c r="J43" i="4" a="1"/>
  <c r="J43" i="4" s="1"/>
  <c r="H43" i="4" a="1"/>
  <c r="H43" i="4" s="1"/>
  <c r="Y43" i="4" a="1"/>
  <c r="Y43" i="4" s="1"/>
  <c r="G43" i="4" a="1"/>
  <c r="G43" i="4" s="1"/>
  <c r="X43" i="4" a="1"/>
  <c r="X43" i="4" s="1"/>
  <c r="F38" i="4" a="1"/>
  <c r="F38" i="4" s="1"/>
  <c r="T38" i="4" a="1"/>
  <c r="T38" i="4" s="1"/>
  <c r="S34" i="4" a="1"/>
  <c r="S34" i="4" s="1"/>
  <c r="L34" i="4" a="1"/>
  <c r="L34" i="4" s="1"/>
  <c r="E34" i="4" a="1"/>
  <c r="E34" i="4" s="1"/>
  <c r="C86" i="4"/>
  <c r="AB34" i="4" a="1"/>
  <c r="AB34" i="4" s="1"/>
  <c r="K34" i="4" a="1"/>
  <c r="K34" i="4" s="1"/>
  <c r="R34" i="4" a="1"/>
  <c r="R34" i="4" s="1"/>
  <c r="Q34" i="4" a="1"/>
  <c r="Q34" i="4" s="1"/>
  <c r="U34" i="4" a="1"/>
  <c r="U34" i="4" s="1"/>
  <c r="J34" i="4" a="1"/>
  <c r="J34" i="4" s="1"/>
  <c r="Y34" i="4" a="1"/>
  <c r="Y34" i="4" s="1"/>
  <c r="N21" i="4" a="1"/>
  <c r="N21" i="4" s="1"/>
  <c r="N23" i="4" a="1"/>
  <c r="N23" i="4" s="1"/>
  <c r="AC32" i="4" a="1"/>
  <c r="AC32" i="4" s="1"/>
  <c r="O42" i="4" a="1"/>
  <c r="O42" i="4" s="1"/>
  <c r="U56" i="4" a="1"/>
  <c r="U56" i="4" s="1"/>
  <c r="P32" i="4" a="1"/>
  <c r="P32" i="4" s="1"/>
  <c r="F34" i="4" a="1"/>
  <c r="F34" i="4" s="1"/>
  <c r="AB48" i="4" a="1"/>
  <c r="AB48" i="4" s="1"/>
  <c r="S48" i="4" a="1"/>
  <c r="S48" i="4" s="1"/>
  <c r="L48" i="4" a="1"/>
  <c r="L48" i="4" s="1"/>
  <c r="E48" i="4" a="1"/>
  <c r="E48" i="4" s="1"/>
  <c r="C100" i="4"/>
  <c r="Y48" i="4" a="1"/>
  <c r="Y48" i="4" s="1"/>
  <c r="R48" i="4" a="1"/>
  <c r="R48" i="4" s="1"/>
  <c r="K48" i="4" a="1"/>
  <c r="K48" i="4" s="1"/>
  <c r="V48" i="4" a="1"/>
  <c r="V48" i="4" s="1"/>
  <c r="M48" i="4" a="1"/>
  <c r="M48" i="4" s="1"/>
  <c r="U48" i="4" a="1"/>
  <c r="U48" i="4" s="1"/>
  <c r="X48" i="4" a="1"/>
  <c r="X48" i="4" s="1"/>
  <c r="J48" i="4" a="1"/>
  <c r="J48" i="4" s="1"/>
  <c r="W48" i="4" a="1"/>
  <c r="W48" i="4" s="1"/>
  <c r="I48" i="4" a="1"/>
  <c r="I48" i="4" s="1"/>
  <c r="F48" i="4" a="1"/>
  <c r="F48" i="4" s="1"/>
  <c r="T48" i="4" a="1"/>
  <c r="T48" i="4" s="1"/>
  <c r="W51" i="4" a="1"/>
  <c r="W51" i="4" s="1"/>
  <c r="P51" i="4" a="1"/>
  <c r="P51" i="4" s="1"/>
  <c r="I51" i="4" a="1"/>
  <c r="I51" i="4" s="1"/>
  <c r="C103" i="4"/>
  <c r="AC51" i="4" a="1"/>
  <c r="AC51" i="4" s="1"/>
  <c r="S51" i="4" a="1"/>
  <c r="S51" i="4" s="1"/>
  <c r="J51" i="4" a="1"/>
  <c r="J51" i="4" s="1"/>
  <c r="AB51" i="4" a="1"/>
  <c r="AB51" i="4" s="1"/>
  <c r="R51" i="4" a="1"/>
  <c r="R51" i="4" s="1"/>
  <c r="H51" i="4" a="1"/>
  <c r="H51" i="4" s="1"/>
  <c r="U51" i="4" a="1"/>
  <c r="U51" i="4" s="1"/>
  <c r="G51" i="4" a="1"/>
  <c r="G51" i="4" s="1"/>
  <c r="T51" i="4" a="1"/>
  <c r="T51" i="4" s="1"/>
  <c r="F51" i="4" a="1"/>
  <c r="F51" i="4" s="1"/>
  <c r="Q51" i="4" a="1"/>
  <c r="Q51" i="4" s="1"/>
  <c r="X51" i="4" a="1"/>
  <c r="X51" i="4" s="1"/>
  <c r="C73" i="4"/>
  <c r="X21" i="4" a="1"/>
  <c r="X21" i="4" s="1"/>
  <c r="Q21" i="4" a="1"/>
  <c r="Q21" i="4" s="1"/>
  <c r="J21" i="4" a="1"/>
  <c r="J21" i="4" s="1"/>
  <c r="P21" i="4" a="1"/>
  <c r="P21" i="4" s="1"/>
  <c r="G21" i="4" a="1"/>
  <c r="G21" i="4" s="1"/>
  <c r="G66" i="4" s="1"/>
  <c r="Y21" i="4" a="1"/>
  <c r="Y21" i="4" s="1"/>
  <c r="O21" i="4" a="1"/>
  <c r="O21" i="4" s="1"/>
  <c r="L21" i="4" a="1"/>
  <c r="L21" i="4" s="1"/>
  <c r="R21" i="4" a="1"/>
  <c r="R21" i="4" s="1"/>
  <c r="C75" i="4"/>
  <c r="X23" i="4" a="1"/>
  <c r="X23" i="4" s="1"/>
  <c r="Q23" i="4" a="1"/>
  <c r="Q23" i="4" s="1"/>
  <c r="J23" i="4" a="1"/>
  <c r="J23" i="4" s="1"/>
  <c r="U23" i="4" a="1"/>
  <c r="U23" i="4" s="1"/>
  <c r="L23" i="4" a="1"/>
  <c r="L23" i="4" s="1"/>
  <c r="T23" i="4" a="1"/>
  <c r="T23" i="4" s="1"/>
  <c r="P23" i="4" a="1"/>
  <c r="P23" i="4" s="1"/>
  <c r="G23" i="4" a="1"/>
  <c r="G23" i="4" s="1"/>
  <c r="O23" i="4" a="1"/>
  <c r="O23" i="4" s="1"/>
  <c r="AC23" i="4" a="1"/>
  <c r="AC23" i="4" s="1"/>
  <c r="G34" i="4" a="1"/>
  <c r="G34" i="4" s="1"/>
  <c r="T34" i="4" a="1"/>
  <c r="T34" i="4" s="1"/>
  <c r="P42" i="4" a="1"/>
  <c r="P42" i="4" s="1"/>
  <c r="E21" i="4" a="1"/>
  <c r="E21" i="4" s="1"/>
  <c r="E23" i="4" a="1"/>
  <c r="E23" i="4" s="1"/>
  <c r="C85" i="4"/>
  <c r="M33" i="4" a="1"/>
  <c r="M33" i="4" s="1"/>
  <c r="AC33" i="4" a="1"/>
  <c r="AC33" i="4" s="1"/>
  <c r="T33" i="4" a="1"/>
  <c r="T33" i="4" s="1"/>
  <c r="E33" i="4" a="1"/>
  <c r="E33" i="4" s="1"/>
  <c r="AB33" i="4" a="1"/>
  <c r="AB33" i="4" s="1"/>
  <c r="S33" i="4" a="1"/>
  <c r="S33" i="4" s="1"/>
  <c r="Q33" i="4" a="1"/>
  <c r="Q33" i="4" s="1"/>
  <c r="G33" i="4" a="1"/>
  <c r="G33" i="4" s="1"/>
  <c r="Y33" i="4" a="1"/>
  <c r="Y33" i="4" s="1"/>
  <c r="P33" i="4" a="1"/>
  <c r="P33" i="4" s="1"/>
  <c r="K33" i="4" a="1"/>
  <c r="K33" i="4" s="1"/>
  <c r="V34" i="4" a="1"/>
  <c r="V34" i="4" s="1"/>
  <c r="AB42" i="4" a="1"/>
  <c r="AB42" i="4" s="1"/>
  <c r="S42" i="4" a="1"/>
  <c r="S42" i="4" s="1"/>
  <c r="L42" i="4" a="1"/>
  <c r="L42" i="4" s="1"/>
  <c r="E42" i="4" a="1"/>
  <c r="E42" i="4" s="1"/>
  <c r="Y42" i="4" a="1"/>
  <c r="Y42" i="4" s="1"/>
  <c r="R42" i="4" a="1"/>
  <c r="R42" i="4" s="1"/>
  <c r="K42" i="4" a="1"/>
  <c r="K42" i="4" s="1"/>
  <c r="T42" i="4" a="1"/>
  <c r="T42" i="4" s="1"/>
  <c r="AC42" i="4" a="1"/>
  <c r="AC42" i="4" s="1"/>
  <c r="J42" i="4" a="1"/>
  <c r="J42" i="4" s="1"/>
  <c r="Q42" i="4" a="1"/>
  <c r="Q42" i="4" s="1"/>
  <c r="G42" i="4" a="1"/>
  <c r="G42" i="4" s="1"/>
  <c r="AB56" i="4" a="1"/>
  <c r="AB56" i="4" s="1"/>
  <c r="S56" i="4" a="1"/>
  <c r="S56" i="4" s="1"/>
  <c r="L56" i="4" a="1"/>
  <c r="L56" i="4" s="1"/>
  <c r="E56" i="4" a="1"/>
  <c r="E56" i="4" s="1"/>
  <c r="Y56" i="4" a="1"/>
  <c r="Y56" i="4" s="1"/>
  <c r="R56" i="4" a="1"/>
  <c r="R56" i="4" s="1"/>
  <c r="K56" i="4" a="1"/>
  <c r="K56" i="4" s="1"/>
  <c r="T56" i="4" a="1"/>
  <c r="T56" i="4" s="1"/>
  <c r="J56" i="4" a="1"/>
  <c r="J56" i="4" s="1"/>
  <c r="AC56" i="4" a="1"/>
  <c r="AC56" i="4" s="1"/>
  <c r="I56" i="4" a="1"/>
  <c r="I56" i="4" s="1"/>
  <c r="Q56" i="4" a="1"/>
  <c r="Q56" i="4" s="1"/>
  <c r="W56" i="4" a="1"/>
  <c r="W56" i="4" s="1"/>
  <c r="F56" i="4" a="1"/>
  <c r="F56" i="4" s="1"/>
  <c r="O56" i="4" a="1"/>
  <c r="O56" i="4" s="1"/>
  <c r="N56" i="4" a="1"/>
  <c r="N56" i="4" s="1"/>
  <c r="X56" i="4" a="1"/>
  <c r="X56" i="4" s="1"/>
  <c r="G56" i="4" a="1"/>
  <c r="G56" i="4" s="1"/>
  <c r="F23" i="4" a="1"/>
  <c r="F23" i="4" s="1"/>
  <c r="H33" i="4" a="1"/>
  <c r="H33" i="4" s="1"/>
  <c r="U33" i="4" a="1"/>
  <c r="U33" i="4" s="1"/>
  <c r="W34" i="4" a="1"/>
  <c r="W34" i="4" s="1"/>
  <c r="V42" i="4" a="1"/>
  <c r="V42" i="4" s="1"/>
  <c r="S21" i="4" a="1"/>
  <c r="S21" i="4" s="1"/>
  <c r="S32" i="4" a="1"/>
  <c r="S32" i="4" s="1"/>
  <c r="L32" i="4" a="1"/>
  <c r="L32" i="4" s="1"/>
  <c r="E32" i="4" a="1"/>
  <c r="E32" i="4" s="1"/>
  <c r="O32" i="4" a="1"/>
  <c r="O32" i="4" s="1"/>
  <c r="V32" i="4" a="1"/>
  <c r="V32" i="4" s="1"/>
  <c r="G32" i="4" a="1"/>
  <c r="G32" i="4" s="1"/>
  <c r="U32" i="4" a="1"/>
  <c r="U32" i="4" s="1"/>
  <c r="F32" i="4" a="1"/>
  <c r="F32" i="4" s="1"/>
  <c r="M32" i="4" a="1"/>
  <c r="M32" i="4" s="1"/>
  <c r="W32" i="4" a="1"/>
  <c r="W32" i="4" s="1"/>
  <c r="R32" i="4" a="1"/>
  <c r="R32" i="4" s="1"/>
  <c r="H34" i="4" a="1"/>
  <c r="H34" i="4" s="1"/>
  <c r="C71" i="4"/>
  <c r="X19" i="4" a="1"/>
  <c r="X19" i="4" s="1"/>
  <c r="Q19" i="4" a="1"/>
  <c r="Q19" i="4" s="1"/>
  <c r="J19" i="4" a="1"/>
  <c r="J19" i="4" s="1"/>
  <c r="U19" i="4" a="1"/>
  <c r="U19" i="4" s="1"/>
  <c r="L19" i="4" a="1"/>
  <c r="L19" i="4" s="1"/>
  <c r="N19" i="4" a="1"/>
  <c r="N19" i="4" s="1"/>
  <c r="Y19" i="4" a="1"/>
  <c r="Y19" i="4" s="1"/>
  <c r="E19" i="4" a="1"/>
  <c r="E19" i="4" s="1"/>
  <c r="H21" i="4" a="1"/>
  <c r="H21" i="4" s="1"/>
  <c r="T21" i="4" a="1"/>
  <c r="T21" i="4" s="1"/>
  <c r="S23" i="4" a="1"/>
  <c r="S23" i="4" s="1"/>
  <c r="C83" i="4"/>
  <c r="Q31" i="4" a="1"/>
  <c r="Q31" i="4" s="1"/>
  <c r="X31" i="4" a="1"/>
  <c r="X31" i="4" s="1"/>
  <c r="I31" i="4" a="1"/>
  <c r="I31" i="4" s="1"/>
  <c r="W31" i="4" a="1"/>
  <c r="W31" i="4" s="1"/>
  <c r="O31" i="4" a="1"/>
  <c r="O31" i="4" s="1"/>
  <c r="S31" i="4" a="1"/>
  <c r="S31" i="4" s="1"/>
  <c r="J31" i="4" a="1"/>
  <c r="J31" i="4" s="1"/>
  <c r="AC31" i="4" a="1"/>
  <c r="AC31" i="4" s="1"/>
  <c r="H31" i="4" a="1"/>
  <c r="H31" i="4" s="1"/>
  <c r="R31" i="4" a="1"/>
  <c r="R31" i="4" s="1"/>
  <c r="G31" i="4" a="1"/>
  <c r="G31" i="4" s="1"/>
  <c r="V31" i="4" a="1"/>
  <c r="V31" i="4" s="1"/>
  <c r="M31" i="4" a="1"/>
  <c r="M31" i="4" s="1"/>
  <c r="I33" i="4" a="1"/>
  <c r="I33" i="4" s="1"/>
  <c r="V33" i="4" a="1"/>
  <c r="V33" i="4" s="1"/>
  <c r="I34" i="4" a="1"/>
  <c r="I34" i="4" s="1"/>
  <c r="Q39" i="4" a="1"/>
  <c r="Q39" i="4" s="1"/>
  <c r="X39" i="4" a="1"/>
  <c r="X39" i="4" s="1"/>
  <c r="I39" i="4" a="1"/>
  <c r="I39" i="4" s="1"/>
  <c r="P39" i="4" a="1"/>
  <c r="P39" i="4" s="1"/>
  <c r="H39" i="4" a="1"/>
  <c r="H39" i="4" s="1"/>
  <c r="W39" i="4" a="1"/>
  <c r="W39" i="4" s="1"/>
  <c r="O39" i="4" a="1"/>
  <c r="O39" i="4" s="1"/>
  <c r="J39" i="4" a="1"/>
  <c r="J39" i="4" s="1"/>
  <c r="S39" i="4" a="1"/>
  <c r="S39" i="4" s="1"/>
  <c r="G39" i="4" a="1"/>
  <c r="G39" i="4" s="1"/>
  <c r="Y39" i="4" a="1"/>
  <c r="Y39" i="4" s="1"/>
  <c r="M39" i="4" a="1"/>
  <c r="M39" i="4" s="1"/>
  <c r="T39" i="4" a="1"/>
  <c r="T39" i="4" s="1"/>
  <c r="F42" i="4" a="1"/>
  <c r="F42" i="4" s="1"/>
  <c r="AC48" i="4" a="1"/>
  <c r="AC48" i="4" s="1"/>
  <c r="L51" i="4" a="1"/>
  <c r="L51" i="4" s="1"/>
  <c r="AB52" i="4" a="1"/>
  <c r="AB52" i="4" s="1"/>
  <c r="C104" i="4"/>
  <c r="S52" i="4" a="1"/>
  <c r="S52" i="4" s="1"/>
  <c r="L52" i="4" a="1"/>
  <c r="L52" i="4" s="1"/>
  <c r="E52" i="4" a="1"/>
  <c r="E52" i="4" s="1"/>
  <c r="Y52" i="4" a="1"/>
  <c r="Y52" i="4" s="1"/>
  <c r="R52" i="4" a="1"/>
  <c r="R52" i="4" s="1"/>
  <c r="K52" i="4" a="1"/>
  <c r="K52" i="4" s="1"/>
  <c r="U52" i="4" a="1"/>
  <c r="U52" i="4" s="1"/>
  <c r="T52" i="4" a="1"/>
  <c r="T52" i="4" s="1"/>
  <c r="J52" i="4" a="1"/>
  <c r="J52" i="4" s="1"/>
  <c r="V52" i="4" a="1"/>
  <c r="V52" i="4" s="1"/>
  <c r="H52" i="4" a="1"/>
  <c r="H52" i="4" s="1"/>
  <c r="G52" i="4" a="1"/>
  <c r="G52" i="4" s="1"/>
  <c r="F52" i="4" a="1"/>
  <c r="F52" i="4" s="1"/>
  <c r="X52" i="4" a="1"/>
  <c r="X52" i="4" s="1"/>
  <c r="C84" i="4"/>
  <c r="F21" i="4" a="1"/>
  <c r="F21" i="4" s="1"/>
  <c r="O19" i="4" a="1"/>
  <c r="O19" i="4" s="1"/>
  <c r="I21" i="4" a="1"/>
  <c r="I21" i="4" s="1"/>
  <c r="U21" i="4" a="1"/>
  <c r="U21" i="4" s="1"/>
  <c r="X25" i="4" a="1"/>
  <c r="X25" i="4" s="1"/>
  <c r="Q25" i="4" a="1"/>
  <c r="Q25" i="4" s="1"/>
  <c r="J25" i="4" a="1"/>
  <c r="J25" i="4" s="1"/>
  <c r="C77" i="4"/>
  <c r="P25" i="4" a="1"/>
  <c r="P25" i="4" s="1"/>
  <c r="G25" i="4" a="1"/>
  <c r="G25" i="4" s="1"/>
  <c r="Z25" i="4" s="1"/>
  <c r="Y25" i="4" a="1"/>
  <c r="Y25" i="4" s="1"/>
  <c r="O25" i="4" a="1"/>
  <c r="O25" i="4" s="1"/>
  <c r="L25" i="4" a="1"/>
  <c r="L25" i="4" s="1"/>
  <c r="R25" i="4" a="1"/>
  <c r="R25" i="4" s="1"/>
  <c r="Q27" i="4" a="1"/>
  <c r="Q27" i="4" s="1"/>
  <c r="J27" i="4" a="1"/>
  <c r="J27" i="4" s="1"/>
  <c r="X27" i="4" a="1"/>
  <c r="X27" i="4" s="1"/>
  <c r="C79" i="4"/>
  <c r="W27" i="4" a="1"/>
  <c r="W27" i="4" s="1"/>
  <c r="U27" i="4" a="1"/>
  <c r="U27" i="4" s="1"/>
  <c r="L27" i="4" a="1"/>
  <c r="L27" i="4" s="1"/>
  <c r="T27" i="4" a="1"/>
  <c r="T27" i="4" s="1"/>
  <c r="P27" i="4" a="1"/>
  <c r="P27" i="4" s="1"/>
  <c r="G27" i="4" a="1"/>
  <c r="G27" i="4" s="1"/>
  <c r="O27" i="4" a="1"/>
  <c r="O27" i="4" s="1"/>
  <c r="E31" i="4" a="1"/>
  <c r="E31" i="4" s="1"/>
  <c r="H32" i="4" a="1"/>
  <c r="H32" i="4" s="1"/>
  <c r="T32" i="4" a="1"/>
  <c r="T32" i="4" s="1"/>
  <c r="W33" i="4" a="1"/>
  <c r="W33" i="4" s="1"/>
  <c r="M34" i="4" a="1"/>
  <c r="M34" i="4" s="1"/>
  <c r="X34" i="4" a="1"/>
  <c r="X34" i="4" s="1"/>
  <c r="E39" i="4" a="1"/>
  <c r="E39" i="4" s="1"/>
  <c r="H42" i="4" a="1"/>
  <c r="H42" i="4" s="1"/>
  <c r="W42" i="4" a="1"/>
  <c r="W42" i="4" s="1"/>
  <c r="N48" i="4" a="1"/>
  <c r="N48" i="4" s="1"/>
  <c r="H56" i="4" a="1"/>
  <c r="H56" i="4" s="1"/>
  <c r="V66" i="4"/>
  <c r="F19" i="4" a="1"/>
  <c r="F19" i="4" s="1"/>
  <c r="P19" i="4" a="1"/>
  <c r="P19" i="4" s="1"/>
  <c r="H23" i="4" a="1"/>
  <c r="H23" i="4" s="1"/>
  <c r="I32" i="4" a="1"/>
  <c r="I32" i="4" s="1"/>
  <c r="J33" i="4" a="1"/>
  <c r="J33" i="4" s="1"/>
  <c r="X42" i="4" a="1"/>
  <c r="X42" i="4" s="1"/>
  <c r="W47" i="4" a="1"/>
  <c r="W47" i="4" s="1"/>
  <c r="P47" i="4" a="1"/>
  <c r="P47" i="4" s="1"/>
  <c r="I47" i="4" a="1"/>
  <c r="I47" i="4" s="1"/>
  <c r="C99" i="4"/>
  <c r="T47" i="4" a="1"/>
  <c r="T47" i="4" s="1"/>
  <c r="K47" i="4" a="1"/>
  <c r="K47" i="4" s="1"/>
  <c r="AC47" i="4" a="1"/>
  <c r="AC47" i="4" s="1"/>
  <c r="S47" i="4" a="1"/>
  <c r="S47" i="4" s="1"/>
  <c r="J47" i="4" a="1"/>
  <c r="J47" i="4" s="1"/>
  <c r="Y47" i="4" a="1"/>
  <c r="Y47" i="4" s="1"/>
  <c r="M47" i="4" a="1"/>
  <c r="M47" i="4" s="1"/>
  <c r="X47" i="4" a="1"/>
  <c r="X47" i="4" s="1"/>
  <c r="L47" i="4" a="1"/>
  <c r="L47" i="4" s="1"/>
  <c r="U47" i="4" a="1"/>
  <c r="U47" i="4" s="1"/>
  <c r="M51" i="4" a="1"/>
  <c r="M51" i="4" s="1"/>
  <c r="C94" i="4"/>
  <c r="AB19" i="4" a="1"/>
  <c r="AB19" i="4" s="1"/>
  <c r="AB99" i="4" s="1"/>
  <c r="K21" i="4" a="1"/>
  <c r="K21" i="4" s="1"/>
  <c r="V21" i="4" a="1"/>
  <c r="V21" i="4" s="1"/>
  <c r="I23" i="4" a="1"/>
  <c r="I23" i="4" s="1"/>
  <c r="V23" i="4" a="1"/>
  <c r="V23" i="4" s="1"/>
  <c r="S25" i="4" a="1"/>
  <c r="S25" i="4" s="1"/>
  <c r="R27" i="4" a="1"/>
  <c r="R27" i="4" s="1"/>
  <c r="F31" i="4" a="1"/>
  <c r="F31" i="4" s="1"/>
  <c r="X32" i="4" a="1"/>
  <c r="X32" i="4" s="1"/>
  <c r="X33" i="4" a="1"/>
  <c r="X33" i="4" s="1"/>
  <c r="N34" i="4" a="1"/>
  <c r="N34" i="4" s="1"/>
  <c r="AC34" i="4" a="1"/>
  <c r="AC34" i="4" s="1"/>
  <c r="F39" i="4" a="1"/>
  <c r="F39" i="4" s="1"/>
  <c r="I42" i="4" a="1"/>
  <c r="I42" i="4" s="1"/>
  <c r="E47" i="4" a="1"/>
  <c r="E47" i="4" s="1"/>
  <c r="V47" i="4" a="1"/>
  <c r="V47" i="4" s="1"/>
  <c r="O48" i="4" a="1"/>
  <c r="O48" i="4" s="1"/>
  <c r="N51" i="4" a="1"/>
  <c r="N51" i="4" s="1"/>
  <c r="I52" i="4" a="1"/>
  <c r="I52" i="4" s="1"/>
  <c r="AC52" i="4" a="1"/>
  <c r="AC52" i="4" s="1"/>
  <c r="M56" i="4" a="1"/>
  <c r="M56" i="4" s="1"/>
  <c r="AC22" i="4" a="1"/>
  <c r="AC22" i="4" s="1"/>
  <c r="T22" i="4" a="1"/>
  <c r="T22" i="4" s="1"/>
  <c r="M22" i="4" a="1"/>
  <c r="M22" i="4" s="1"/>
  <c r="F22" i="4" a="1"/>
  <c r="F22" i="4" s="1"/>
  <c r="S22" i="4" a="1"/>
  <c r="S22" i="4" s="1"/>
  <c r="L22" i="4" a="1"/>
  <c r="L22" i="4" s="1"/>
  <c r="E22" i="4" a="1"/>
  <c r="E22" i="4" s="1"/>
  <c r="W22" i="4" a="1"/>
  <c r="W22" i="4" s="1"/>
  <c r="C78" i="4"/>
  <c r="AC26" i="4" a="1"/>
  <c r="AC26" i="4" s="1"/>
  <c r="AC78" i="4" s="1"/>
  <c r="T26" i="4" a="1"/>
  <c r="T26" i="4" s="1"/>
  <c r="M26" i="4" a="1"/>
  <c r="M26" i="4" s="1"/>
  <c r="F26" i="4" a="1"/>
  <c r="F26" i="4" s="1"/>
  <c r="S26" i="4" a="1"/>
  <c r="S26" i="4" s="1"/>
  <c r="L26" i="4" a="1"/>
  <c r="L26" i="4" s="1"/>
  <c r="E26" i="4" a="1"/>
  <c r="E26" i="4" s="1"/>
  <c r="W26" i="4" a="1"/>
  <c r="W26" i="4" s="1"/>
  <c r="M29" i="4" a="1"/>
  <c r="M29" i="4" s="1"/>
  <c r="AC29" i="4" a="1"/>
  <c r="AC29" i="4" s="1"/>
  <c r="T29" i="4" a="1"/>
  <c r="T29" i="4" s="1"/>
  <c r="E29" i="4" a="1"/>
  <c r="E29" i="4" s="1"/>
  <c r="AB29" i="4" a="1"/>
  <c r="AB29" i="4" s="1"/>
  <c r="S29" i="4" a="1"/>
  <c r="S29" i="4" s="1"/>
  <c r="X29" i="4" a="1"/>
  <c r="X29" i="4" s="1"/>
  <c r="S36" i="4" a="1"/>
  <c r="S36" i="4" s="1"/>
  <c r="L36" i="4" a="1"/>
  <c r="L36" i="4" s="1"/>
  <c r="E36" i="4" a="1"/>
  <c r="E36" i="4" s="1"/>
  <c r="O36" i="4" a="1"/>
  <c r="O36" i="4" s="1"/>
  <c r="V36" i="4" a="1"/>
  <c r="V36" i="4" s="1"/>
  <c r="G36" i="4" a="1"/>
  <c r="G36" i="4" s="1"/>
  <c r="C88" i="4"/>
  <c r="U36" i="4" a="1"/>
  <c r="U36" i="4" s="1"/>
  <c r="F36" i="4" a="1"/>
  <c r="F36" i="4" s="1"/>
  <c r="Y36" i="4" a="1"/>
  <c r="Y36" i="4" s="1"/>
  <c r="W45" i="4" a="1"/>
  <c r="W45" i="4" s="1"/>
  <c r="P45" i="4" a="1"/>
  <c r="P45" i="4" s="1"/>
  <c r="I45" i="4" a="1"/>
  <c r="I45" i="4" s="1"/>
  <c r="C97" i="4"/>
  <c r="Q45" i="4" a="1"/>
  <c r="Q45" i="4" s="1"/>
  <c r="G45" i="4" a="1"/>
  <c r="G45" i="4" s="1"/>
  <c r="Y45" i="4" a="1"/>
  <c r="Y45" i="4" s="1"/>
  <c r="O45" i="4" a="1"/>
  <c r="O45" i="4" s="1"/>
  <c r="F45" i="4" a="1"/>
  <c r="F45" i="4" s="1"/>
  <c r="X45" i="4" a="1"/>
  <c r="X45" i="4" s="1"/>
  <c r="N45" i="4" a="1"/>
  <c r="N45" i="4" s="1"/>
  <c r="AB46" i="4" a="1"/>
  <c r="AB46" i="4" s="1"/>
  <c r="S46" i="4" a="1"/>
  <c r="S46" i="4" s="1"/>
  <c r="L46" i="4" a="1"/>
  <c r="L46" i="4" s="1"/>
  <c r="E46" i="4" a="1"/>
  <c r="E46" i="4" s="1"/>
  <c r="Y46" i="4" a="1"/>
  <c r="Y46" i="4" s="1"/>
  <c r="R46" i="4" a="1"/>
  <c r="R46" i="4" s="1"/>
  <c r="K46" i="4" a="1"/>
  <c r="K46" i="4" s="1"/>
  <c r="AC46" i="4" a="1"/>
  <c r="AC46" i="4" s="1"/>
  <c r="I46" i="4" a="1"/>
  <c r="I46" i="4" s="1"/>
  <c r="Q46" i="4" a="1"/>
  <c r="Q46" i="4" s="1"/>
  <c r="H46" i="4" a="1"/>
  <c r="H46" i="4" s="1"/>
  <c r="P46" i="4" a="1"/>
  <c r="P46" i="4" s="1"/>
  <c r="W55" i="4" a="1"/>
  <c r="W55" i="4" s="1"/>
  <c r="P55" i="4" a="1"/>
  <c r="P55" i="4" s="1"/>
  <c r="I55" i="4" a="1"/>
  <c r="I55" i="4" s="1"/>
  <c r="C107" i="4"/>
  <c r="AB55" i="4" a="1"/>
  <c r="AB55" i="4" s="1"/>
  <c r="R55" i="4" a="1"/>
  <c r="R55" i="4" s="1"/>
  <c r="H55" i="4" a="1"/>
  <c r="H55" i="4" s="1"/>
  <c r="Z55" i="4" s="1"/>
  <c r="Q55" i="4" a="1"/>
  <c r="Q55" i="4" s="1"/>
  <c r="G55" i="4" a="1"/>
  <c r="G55" i="4" s="1"/>
  <c r="Y55" i="4" a="1"/>
  <c r="Y55" i="4" s="1"/>
  <c r="U55" i="4" a="1"/>
  <c r="U55" i="4" s="1"/>
  <c r="S55" i="4" a="1"/>
  <c r="S55" i="4" s="1"/>
  <c r="C74" i="4"/>
  <c r="I22" i="4" a="1"/>
  <c r="I22" i="4" s="1"/>
  <c r="AB22" i="4" a="1"/>
  <c r="AB22" i="4" s="1"/>
  <c r="AB75" i="4" s="1"/>
  <c r="I26" i="4" a="1"/>
  <c r="I26" i="4" s="1"/>
  <c r="AB26" i="4" a="1"/>
  <c r="AB26" i="4" s="1"/>
  <c r="AB78" i="4" s="1"/>
  <c r="S28" i="4" a="1"/>
  <c r="S28" i="4" s="1"/>
  <c r="L28" i="4" a="1"/>
  <c r="L28" i="4" s="1"/>
  <c r="E28" i="4" a="1"/>
  <c r="E28" i="4" s="1"/>
  <c r="C80" i="4"/>
  <c r="O28" i="4" a="1"/>
  <c r="O28" i="4" s="1"/>
  <c r="V28" i="4" a="1"/>
  <c r="V28" i="4" s="1"/>
  <c r="G28" i="4" a="1"/>
  <c r="G28" i="4" s="1"/>
  <c r="U28" i="4" a="1"/>
  <c r="U28" i="4" s="1"/>
  <c r="F28" i="4" a="1"/>
  <c r="F28" i="4" s="1"/>
  <c r="I29" i="4" a="1"/>
  <c r="I29" i="4" s="1"/>
  <c r="R29" i="4" a="1"/>
  <c r="R29" i="4" s="1"/>
  <c r="K45" i="4" a="1"/>
  <c r="K45" i="4" s="1"/>
  <c r="V45" i="4" a="1"/>
  <c r="V45" i="4" s="1"/>
  <c r="K55" i="4" a="1"/>
  <c r="K55" i="4" s="1"/>
  <c r="X55" i="4" a="1"/>
  <c r="X55" i="4" s="1"/>
  <c r="C98" i="4"/>
  <c r="AC20" i="4" a="1"/>
  <c r="AC20" i="4" s="1"/>
  <c r="AC80" i="4" s="1"/>
  <c r="T20" i="4" a="1"/>
  <c r="T20" i="4" s="1"/>
  <c r="M20" i="4" a="1"/>
  <c r="M20" i="4" s="1"/>
  <c r="F20" i="4" a="1"/>
  <c r="F20" i="4" s="1"/>
  <c r="C72" i="4"/>
  <c r="S20" i="4" a="1"/>
  <c r="S20" i="4" s="1"/>
  <c r="L20" i="4" a="1"/>
  <c r="L20" i="4" s="1"/>
  <c r="E20" i="4" a="1"/>
  <c r="E20" i="4" s="1"/>
  <c r="W20" i="4" a="1"/>
  <c r="W20" i="4" s="1"/>
  <c r="R22" i="4" a="1"/>
  <c r="R22" i="4" s="1"/>
  <c r="AC24" i="4" a="1"/>
  <c r="AC24" i="4" s="1"/>
  <c r="T24" i="4" a="1"/>
  <c r="T24" i="4" s="1"/>
  <c r="M24" i="4" a="1"/>
  <c r="M24" i="4" s="1"/>
  <c r="F24" i="4" a="1"/>
  <c r="F24" i="4" s="1"/>
  <c r="S24" i="4" a="1"/>
  <c r="S24" i="4" s="1"/>
  <c r="L24" i="4" a="1"/>
  <c r="L24" i="4" s="1"/>
  <c r="E24" i="4" a="1"/>
  <c r="E24" i="4" s="1"/>
  <c r="W24" i="4" a="1"/>
  <c r="W24" i="4" s="1"/>
  <c r="R26" i="4" a="1"/>
  <c r="R26" i="4" s="1"/>
  <c r="P28" i="4" a="1"/>
  <c r="P28" i="4" s="1"/>
  <c r="Y28" i="4" a="1"/>
  <c r="Y28" i="4" s="1"/>
  <c r="S30" i="4" a="1"/>
  <c r="S30" i="4" s="1"/>
  <c r="L30" i="4" a="1"/>
  <c r="L30" i="4" s="1"/>
  <c r="E30" i="4" a="1"/>
  <c r="E30" i="4" s="1"/>
  <c r="C82" i="4"/>
  <c r="AB30" i="4" a="1"/>
  <c r="AB30" i="4" s="1"/>
  <c r="K30" i="4" a="1"/>
  <c r="K30" i="4" s="1"/>
  <c r="R30" i="4" a="1"/>
  <c r="R30" i="4" s="1"/>
  <c r="Q30" i="4" a="1"/>
  <c r="Q30" i="4" s="1"/>
  <c r="N30" i="4" a="1"/>
  <c r="N30" i="4" s="1"/>
  <c r="W30" i="4" a="1"/>
  <c r="W30" i="4" s="1"/>
  <c r="J36" i="4" a="1"/>
  <c r="J36" i="4" s="1"/>
  <c r="W46" i="4" a="1"/>
  <c r="W46" i="4" s="1"/>
  <c r="J22" i="4" a="1"/>
  <c r="J22" i="4" s="1"/>
  <c r="J26" i="4" a="1"/>
  <c r="J26" i="4" s="1"/>
  <c r="J29" i="4" a="1"/>
  <c r="J29" i="4" s="1"/>
  <c r="T36" i="4" a="1"/>
  <c r="T36" i="4" s="1"/>
  <c r="S40" i="4" a="1"/>
  <c r="S40" i="4" s="1"/>
  <c r="L40" i="4" a="1"/>
  <c r="L40" i="4" s="1"/>
  <c r="E40" i="4" a="1"/>
  <c r="E40" i="4" s="1"/>
  <c r="C92" i="4"/>
  <c r="O40" i="4" a="1"/>
  <c r="O40" i="4" s="1"/>
  <c r="V40" i="4" a="1"/>
  <c r="V40" i="4" s="1"/>
  <c r="G40" i="4" a="1"/>
  <c r="G40" i="4" s="1"/>
  <c r="N40" i="4" a="1"/>
  <c r="N40" i="4" s="1"/>
  <c r="U40" i="4" a="1"/>
  <c r="U40" i="4" s="1"/>
  <c r="F40" i="4" a="1"/>
  <c r="F40" i="4" s="1"/>
  <c r="AB40" i="4" a="1"/>
  <c r="AB40" i="4" s="1"/>
  <c r="L45" i="4" a="1"/>
  <c r="L45" i="4" s="1"/>
  <c r="M46" i="4" a="1"/>
  <c r="M46" i="4" s="1"/>
  <c r="L55" i="4" a="1"/>
  <c r="L55" i="4" s="1"/>
  <c r="W57" i="4" a="1"/>
  <c r="W57" i="4" s="1"/>
  <c r="P57" i="4" a="1"/>
  <c r="P57" i="4" s="1"/>
  <c r="I57" i="4" a="1"/>
  <c r="I57" i="4" s="1"/>
  <c r="U57" i="4" a="1"/>
  <c r="U57" i="4" s="1"/>
  <c r="L57" i="4" a="1"/>
  <c r="L57" i="4" s="1"/>
  <c r="T57" i="4" a="1"/>
  <c r="T57" i="4" s="1"/>
  <c r="K57" i="4" a="1"/>
  <c r="K57" i="4" s="1"/>
  <c r="Q57" i="4" a="1"/>
  <c r="Q57" i="4" s="1"/>
  <c r="G57" i="4" a="1"/>
  <c r="G57" i="4" s="1"/>
  <c r="S37" i="4" a="1"/>
  <c r="S37" i="4" s="1"/>
  <c r="AB37" i="4" a="1"/>
  <c r="AB37" i="4" s="1"/>
  <c r="S41" i="4" a="1"/>
  <c r="S41" i="4" s="1"/>
  <c r="AB41" i="4" a="1"/>
  <c r="AB41" i="4" s="1"/>
  <c r="W49" i="4" a="1"/>
  <c r="W49" i="4" s="1"/>
  <c r="P49" i="4" a="1"/>
  <c r="P49" i="4" s="1"/>
  <c r="I49" i="4" a="1"/>
  <c r="I49" i="4" s="1"/>
  <c r="M49" i="4" a="1"/>
  <c r="M49" i="4" s="1"/>
  <c r="V49" i="4" a="1"/>
  <c r="V49" i="4" s="1"/>
  <c r="AB54" i="4" a="1"/>
  <c r="AB54" i="4" s="1"/>
  <c r="S54" i="4" a="1"/>
  <c r="S54" i="4" s="1"/>
  <c r="L54" i="4" a="1"/>
  <c r="L54" i="4" s="1"/>
  <c r="E54" i="4" a="1"/>
  <c r="E54" i="4" s="1"/>
  <c r="Y54" i="4" a="1"/>
  <c r="Y54" i="4" s="1"/>
  <c r="R54" i="4" a="1"/>
  <c r="R54" i="4" s="1"/>
  <c r="K54" i="4" a="1"/>
  <c r="K54" i="4" s="1"/>
  <c r="C106" i="4"/>
  <c r="N54" i="4" a="1"/>
  <c r="N54" i="4" s="1"/>
  <c r="L37" i="4" a="1"/>
  <c r="L37" i="4" s="1"/>
  <c r="L41" i="4" a="1"/>
  <c r="L41" i="4" s="1"/>
  <c r="E37" i="4" a="1"/>
  <c r="E37" i="4" s="1"/>
  <c r="T37" i="4" a="1"/>
  <c r="T37" i="4" s="1"/>
  <c r="AC37" i="4" a="1"/>
  <c r="AC37" i="4" s="1"/>
  <c r="E41" i="4" a="1"/>
  <c r="E41" i="4" s="1"/>
  <c r="T41" i="4" a="1"/>
  <c r="T41" i="4" s="1"/>
  <c r="AC41" i="4" a="1"/>
  <c r="AC41" i="4" s="1"/>
  <c r="AB44" i="4" a="1"/>
  <c r="AB44" i="4" s="1"/>
  <c r="S44" i="4" a="1"/>
  <c r="S44" i="4" s="1"/>
  <c r="L44" i="4" a="1"/>
  <c r="L44" i="4" s="1"/>
  <c r="E44" i="4" a="1"/>
  <c r="E44" i="4" s="1"/>
  <c r="Y44" i="4" a="1"/>
  <c r="Y44" i="4" s="1"/>
  <c r="R44" i="4" a="1"/>
  <c r="R44" i="4" s="1"/>
  <c r="K44" i="4" a="1"/>
  <c r="K44" i="4" s="1"/>
  <c r="C96" i="4"/>
  <c r="N44" i="4" a="1"/>
  <c r="N44" i="4" s="1"/>
  <c r="N49" i="4" a="1"/>
  <c r="N49" i="4" s="1"/>
  <c r="X49" i="4" a="1"/>
  <c r="X49" i="4" s="1"/>
  <c r="W53" i="4" a="1"/>
  <c r="W53" i="4" s="1"/>
  <c r="P53" i="4" a="1"/>
  <c r="P53" i="4" s="1"/>
  <c r="I53" i="4" a="1"/>
  <c r="I53" i="4" s="1"/>
  <c r="M53" i="4" a="1"/>
  <c r="M53" i="4" s="1"/>
  <c r="V53" i="4" a="1"/>
  <c r="V53" i="4" s="1"/>
  <c r="O54" i="4" a="1"/>
  <c r="O54" i="4" s="1"/>
  <c r="AB58" i="4" a="1"/>
  <c r="AB58" i="4" s="1"/>
  <c r="S58" i="4" a="1"/>
  <c r="S58" i="4" s="1"/>
  <c r="L58" i="4" a="1"/>
  <c r="L58" i="4" s="1"/>
  <c r="E58" i="4" a="1"/>
  <c r="E58" i="4" s="1"/>
  <c r="Y58" i="4" a="1"/>
  <c r="Y58" i="4" s="1"/>
  <c r="R58" i="4" a="1"/>
  <c r="R58" i="4" s="1"/>
  <c r="K58" i="4" a="1"/>
  <c r="K58" i="4" s="1"/>
  <c r="C110" i="4"/>
  <c r="N58" i="4" a="1"/>
  <c r="N58" i="4" s="1"/>
  <c r="M37" i="4" a="1"/>
  <c r="M37" i="4" s="1"/>
  <c r="M41" i="4" a="1"/>
  <c r="M41" i="4" s="1"/>
  <c r="C101" i="4"/>
  <c r="V24" i="3"/>
  <c r="V28" i="3"/>
  <c r="V20" i="3"/>
  <c r="V16" i="3"/>
  <c r="P26" i="3"/>
  <c r="V12" i="3"/>
  <c r="V26" i="3" s="1"/>
  <c r="N20" i="3"/>
  <c r="N22" i="3" s="1"/>
  <c r="X24" i="3"/>
  <c r="P20" i="3"/>
  <c r="P22" i="3" s="1"/>
  <c r="BD6" i="2"/>
  <c r="BS6" i="2"/>
  <c r="BI6" i="2"/>
  <c r="BX6" i="2"/>
  <c r="CC6" i="2"/>
  <c r="BN6" i="2"/>
  <c r="AJ6" i="2"/>
  <c r="AW26" i="2"/>
  <c r="AQ26" i="2"/>
  <c r="AI34" i="2"/>
  <c r="AJ34" i="2"/>
  <c r="BL31" i="2"/>
  <c r="AI72" i="2"/>
  <c r="AQ40" i="2"/>
  <c r="AW40" i="2"/>
  <c r="AT41" i="2"/>
  <c r="AJ106" i="2"/>
  <c r="AI106" i="2"/>
  <c r="AL52" i="2"/>
  <c r="AL17" i="2"/>
  <c r="AM26" i="2"/>
  <c r="AN26" i="2" s="1"/>
  <c r="AO26" i="2" s="1"/>
  <c r="AM43" i="2"/>
  <c r="AN43" i="2" s="1"/>
  <c r="AO43" i="2" s="1"/>
  <c r="AM127" i="2"/>
  <c r="AN127" i="2" s="1"/>
  <c r="AO127" i="2" s="1"/>
  <c r="AM72" i="2"/>
  <c r="AN72" i="2" s="1"/>
  <c r="AO72" i="2" s="1"/>
  <c r="AM25" i="2"/>
  <c r="AN25" i="2" s="1"/>
  <c r="AO25" i="2" s="1"/>
  <c r="AM89" i="2"/>
  <c r="AN89" i="2" s="1"/>
  <c r="AO89" i="2" s="1"/>
  <c r="AM68" i="2"/>
  <c r="AN68" i="2" s="1"/>
  <c r="AO68" i="2" s="1"/>
  <c r="AM78" i="2"/>
  <c r="AN78" i="2" s="1"/>
  <c r="AO78" i="2" s="1"/>
  <c r="AT59" i="2"/>
  <c r="AT79" i="2"/>
  <c r="T190" i="2"/>
  <c r="AB190" i="2"/>
  <c r="N190" i="2"/>
  <c r="Z190" i="2"/>
  <c r="L190" i="2"/>
  <c r="L192" i="2" s="1"/>
  <c r="X190" i="2"/>
  <c r="W190" i="2"/>
  <c r="Y190" i="2"/>
  <c r="V190" i="2"/>
  <c r="U190" i="2"/>
  <c r="S190" i="2"/>
  <c r="Q190" i="2"/>
  <c r="O190" i="2"/>
  <c r="P190" i="2"/>
  <c r="M190" i="2"/>
  <c r="K190" i="2"/>
  <c r="AE190" i="2"/>
  <c r="AD190" i="2"/>
  <c r="AC190" i="2"/>
  <c r="AC192" i="2" s="1"/>
  <c r="AA190" i="2"/>
  <c r="AA192" i="2" s="1"/>
  <c r="R190" i="2"/>
  <c r="AL22" i="2"/>
  <c r="BG25" i="2"/>
  <c r="CA25" i="2"/>
  <c r="BQ27" i="2"/>
  <c r="AM35" i="2"/>
  <c r="AN35" i="2" s="1"/>
  <c r="AO35" i="2" s="1"/>
  <c r="AL48" i="2"/>
  <c r="AT50" i="2"/>
  <c r="AT61" i="2"/>
  <c r="AL65" i="2"/>
  <c r="AM105" i="2"/>
  <c r="AN105" i="2" s="1"/>
  <c r="AO105" i="2" s="1"/>
  <c r="BQ105" i="2"/>
  <c r="AT121" i="2"/>
  <c r="BN17" i="2"/>
  <c r="CC17" i="2"/>
  <c r="BX17" i="2"/>
  <c r="BS17" i="2"/>
  <c r="BI17" i="2"/>
  <c r="AL43" i="2"/>
  <c r="AL68" i="2"/>
  <c r="CA74" i="2"/>
  <c r="AI88" i="2"/>
  <c r="AT81" i="2"/>
  <c r="BQ23" i="2"/>
  <c r="CA34" i="2"/>
  <c r="AM83" i="2"/>
  <c r="AN83" i="2" s="1"/>
  <c r="AO83" i="2" s="1"/>
  <c r="AL178" i="2"/>
  <c r="AL164" i="2"/>
  <c r="AL186" i="2"/>
  <c r="AL172" i="2"/>
  <c r="AL158" i="2"/>
  <c r="AL184" i="2"/>
  <c r="AL170" i="2"/>
  <c r="AL156" i="2"/>
  <c r="AL182" i="2"/>
  <c r="AL168" i="2"/>
  <c r="AL181" i="2"/>
  <c r="AL167" i="2"/>
  <c r="AL187" i="2"/>
  <c r="AL177" i="2"/>
  <c r="AL174" i="2"/>
  <c r="AL140" i="2"/>
  <c r="AL139" i="2"/>
  <c r="AL166" i="2"/>
  <c r="AL138" i="2"/>
  <c r="AL185" i="2"/>
  <c r="AL175" i="2"/>
  <c r="AL137" i="2"/>
  <c r="AL180" i="2"/>
  <c r="AL153" i="2"/>
  <c r="AL183" i="2"/>
  <c r="AL169" i="2"/>
  <c r="AL148" i="2"/>
  <c r="AL145" i="2"/>
  <c r="AL171" i="2"/>
  <c r="AL165" i="2"/>
  <c r="AL162" i="2"/>
  <c r="AL151" i="2"/>
  <c r="AL179" i="2"/>
  <c r="AL176" i="2"/>
  <c r="AL173" i="2"/>
  <c r="AL133" i="2"/>
  <c r="AL159" i="2"/>
  <c r="AL147" i="2"/>
  <c r="AL142" i="2"/>
  <c r="AL141" i="2"/>
  <c r="AL160" i="2"/>
  <c r="AL154" i="2"/>
  <c r="AL150" i="2"/>
  <c r="AL149" i="2"/>
  <c r="AL144" i="2"/>
  <c r="AL136" i="2"/>
  <c r="AL157" i="2"/>
  <c r="AL135" i="2"/>
  <c r="AL161" i="2"/>
  <c r="AL163" i="2"/>
  <c r="AL155" i="2"/>
  <c r="AL146" i="2"/>
  <c r="AL143" i="2"/>
  <c r="AL134" i="2"/>
  <c r="AL152" i="2"/>
  <c r="BT6" i="2"/>
  <c r="BU6" i="2" s="1"/>
  <c r="BV6" i="2" s="1"/>
  <c r="BY6" i="2"/>
  <c r="BZ6" i="2" s="1"/>
  <c r="CA6" i="2" s="1"/>
  <c r="AR6" i="2"/>
  <c r="CD6" i="2"/>
  <c r="CE6" i="2" s="1"/>
  <c r="CF6" i="2" s="1"/>
  <c r="BE6" i="2"/>
  <c r="BF6" i="2" s="1"/>
  <c r="BG6" i="2" s="1"/>
  <c r="BO6" i="2"/>
  <c r="BP6" i="2" s="1"/>
  <c r="BQ6" i="2" s="1"/>
  <c r="BJ6" i="2"/>
  <c r="BK6" i="2" s="1"/>
  <c r="BL6" i="2" s="1"/>
  <c r="AT46" i="2"/>
  <c r="BG49" i="2"/>
  <c r="BG109" i="2"/>
  <c r="BG21" i="2"/>
  <c r="AL25" i="2"/>
  <c r="AM30" i="2"/>
  <c r="AN30" i="2" s="1"/>
  <c r="AO30" i="2" s="1"/>
  <c r="BB6" i="2"/>
  <c r="BA6" i="2"/>
  <c r="AZ6" i="2"/>
  <c r="AQ6" i="2"/>
  <c r="BD17" i="2"/>
  <c r="BQ53" i="2"/>
  <c r="AT32" i="2"/>
  <c r="AT55" i="2"/>
  <c r="AJ29" i="2"/>
  <c r="AI29" i="2"/>
  <c r="CA109" i="2"/>
  <c r="A19" i="2"/>
  <c r="A20" i="2" s="1"/>
  <c r="AM76" i="2"/>
  <c r="AN76" i="2" s="1"/>
  <c r="AO76" i="2" s="1"/>
  <c r="AM86" i="2"/>
  <c r="AN86" i="2" s="1"/>
  <c r="AO86" i="2" s="1"/>
  <c r="AM22" i="2"/>
  <c r="AN22" i="2" s="1"/>
  <c r="AO22" i="2" s="1"/>
  <c r="AM20" i="2"/>
  <c r="AM27" i="2"/>
  <c r="AN27" i="2" s="1"/>
  <c r="AO27" i="2" s="1"/>
  <c r="AM31" i="2"/>
  <c r="AN31" i="2" s="1"/>
  <c r="AO31" i="2" s="1"/>
  <c r="AT33" i="2"/>
  <c r="AM39" i="2"/>
  <c r="AN39" i="2" s="1"/>
  <c r="AO39" i="2" s="1"/>
  <c r="AM40" i="2"/>
  <c r="AN40" i="2" s="1"/>
  <c r="AO40" i="2" s="1"/>
  <c r="AL86" i="2"/>
  <c r="AT120" i="2"/>
  <c r="BV64" i="2"/>
  <c r="BV85" i="2"/>
  <c r="BV145" i="2"/>
  <c r="AI152" i="2"/>
  <c r="AM17" i="2"/>
  <c r="AL21" i="2"/>
  <c r="BL30" i="2"/>
  <c r="AI42" i="2"/>
  <c r="AT43" i="2"/>
  <c r="AI45" i="2"/>
  <c r="CF49" i="2"/>
  <c r="AM51" i="2"/>
  <c r="AN51" i="2" s="1"/>
  <c r="AO51" i="2" s="1"/>
  <c r="AM52" i="2"/>
  <c r="AN52" i="2" s="1"/>
  <c r="AO52" i="2" s="1"/>
  <c r="AM56" i="2"/>
  <c r="AN56" i="2" s="1"/>
  <c r="AO56" i="2" s="1"/>
  <c r="AI66" i="2"/>
  <c r="CA66" i="2"/>
  <c r="CA70" i="2"/>
  <c r="AJ73" i="2"/>
  <c r="AI73" i="2"/>
  <c r="AL84" i="2"/>
  <c r="AL108" i="2"/>
  <c r="AI128" i="2"/>
  <c r="AJ152" i="2"/>
  <c r="K191" i="2"/>
  <c r="AM21" i="2"/>
  <c r="AN21" i="2" s="1"/>
  <c r="AO21" i="2" s="1"/>
  <c r="BQ31" i="2"/>
  <c r="AL34" i="2"/>
  <c r="AL42" i="2"/>
  <c r="AI49" i="2"/>
  <c r="AL60" i="2"/>
  <c r="AT62" i="2"/>
  <c r="BQ68" i="2"/>
  <c r="AI70" i="2"/>
  <c r="BQ72" i="2"/>
  <c r="AM84" i="2"/>
  <c r="AN84" i="2" s="1"/>
  <c r="AO84" i="2" s="1"/>
  <c r="AM108" i="2"/>
  <c r="AN108" i="2" s="1"/>
  <c r="AO108" i="2" s="1"/>
  <c r="AM109" i="2"/>
  <c r="AN109" i="2" s="1"/>
  <c r="AO109" i="2" s="1"/>
  <c r="BL109" i="2"/>
  <c r="AM37" i="2"/>
  <c r="AN37" i="2" s="1"/>
  <c r="AO37" i="2" s="1"/>
  <c r="AL54" i="2"/>
  <c r="AM60" i="2"/>
  <c r="AN60" i="2" s="1"/>
  <c r="AO60" i="2" s="1"/>
  <c r="AM66" i="2"/>
  <c r="AN66" i="2" s="1"/>
  <c r="AO66" i="2" s="1"/>
  <c r="AL70" i="2"/>
  <c r="AM99" i="2"/>
  <c r="AN99" i="2" s="1"/>
  <c r="AO99" i="2" s="1"/>
  <c r="AM128" i="2"/>
  <c r="AN128" i="2" s="1"/>
  <c r="AO128" i="2" s="1"/>
  <c r="AT183" i="2"/>
  <c r="AL33" i="2"/>
  <c r="BG36" i="2"/>
  <c r="AI41" i="2"/>
  <c r="AL47" i="2"/>
  <c r="CF47" i="2"/>
  <c r="BV48" i="2"/>
  <c r="AM49" i="2"/>
  <c r="AN49" i="2" s="1"/>
  <c r="AO49" i="2" s="1"/>
  <c r="AM54" i="2"/>
  <c r="AN54" i="2" s="1"/>
  <c r="AO54" i="2" s="1"/>
  <c r="AM63" i="2"/>
  <c r="AN63" i="2" s="1"/>
  <c r="AO63" i="2" s="1"/>
  <c r="BV65" i="2"/>
  <c r="BG67" i="2"/>
  <c r="AM70" i="2"/>
  <c r="AN70" i="2" s="1"/>
  <c r="AO70" i="2" s="1"/>
  <c r="AT78" i="2"/>
  <c r="CF81" i="2"/>
  <c r="AM91" i="2"/>
  <c r="AN91" i="2" s="1"/>
  <c r="AO91" i="2" s="1"/>
  <c r="AT101" i="2"/>
  <c r="CA144" i="2"/>
  <c r="AJ78" i="2"/>
  <c r="AI78" i="2"/>
  <c r="BL26" i="2"/>
  <c r="BG47" i="2"/>
  <c r="AI84" i="2"/>
  <c r="AM42" i="2"/>
  <c r="AN42" i="2" s="1"/>
  <c r="AO42" i="2" s="1"/>
  <c r="AT25" i="2"/>
  <c r="AT37" i="2"/>
  <c r="AL114" i="2"/>
  <c r="AM18" i="2"/>
  <c r="AI19" i="2"/>
  <c r="AM28" i="2"/>
  <c r="AN28" i="2" s="1"/>
  <c r="AO28" i="2" s="1"/>
  <c r="AJ36" i="2"/>
  <c r="AL41" i="2"/>
  <c r="AT56" i="2"/>
  <c r="BG76" i="2"/>
  <c r="BG89" i="2"/>
  <c r="AJ103" i="2"/>
  <c r="AT111" i="2"/>
  <c r="BL39" i="2"/>
  <c r="AL28" i="2"/>
  <c r="AL27" i="2"/>
  <c r="AM107" i="2"/>
  <c r="AN107" i="2" s="1"/>
  <c r="AO107" i="2" s="1"/>
  <c r="AT21" i="2"/>
  <c r="AJ23" i="2"/>
  <c r="CF24" i="2"/>
  <c r="AL36" i="2"/>
  <c r="AM41" i="2"/>
  <c r="AN41" i="2" s="1"/>
  <c r="AO41" i="2" s="1"/>
  <c r="AT47" i="2"/>
  <c r="CA48" i="2"/>
  <c r="AI50" i="2"/>
  <c r="AI55" i="2"/>
  <c r="AL61" i="2"/>
  <c r="AL64" i="2"/>
  <c r="BL64" i="2"/>
  <c r="BV101" i="2"/>
  <c r="AL120" i="2"/>
  <c r="BG63" i="2"/>
  <c r="AT185" i="2"/>
  <c r="AT171" i="2"/>
  <c r="AT157" i="2"/>
  <c r="AT179" i="2"/>
  <c r="AT165" i="2"/>
  <c r="AT177" i="2"/>
  <c r="AT163" i="2"/>
  <c r="AT149" i="2"/>
  <c r="AT175" i="2"/>
  <c r="AT161" i="2"/>
  <c r="AT174" i="2"/>
  <c r="AT160" i="2"/>
  <c r="AT182" i="2"/>
  <c r="AT172" i="2"/>
  <c r="AT169" i="2"/>
  <c r="AT159" i="2"/>
  <c r="AT148" i="2"/>
  <c r="AT147" i="2"/>
  <c r="AT133" i="2"/>
  <c r="AT117" i="2"/>
  <c r="AT164" i="2"/>
  <c r="AT151" i="2"/>
  <c r="AT150" i="2"/>
  <c r="AT146" i="2"/>
  <c r="AT130" i="2"/>
  <c r="AT116" i="2"/>
  <c r="AT162" i="2"/>
  <c r="AT153" i="2"/>
  <c r="AT152" i="2"/>
  <c r="AT145" i="2"/>
  <c r="AT129" i="2"/>
  <c r="AT180" i="2"/>
  <c r="AT173" i="2"/>
  <c r="AT167" i="2"/>
  <c r="AT155" i="2"/>
  <c r="AT154" i="2"/>
  <c r="AT144" i="2"/>
  <c r="AT128" i="2"/>
  <c r="AT181" i="2"/>
  <c r="AT187" i="2"/>
  <c r="AT127" i="2"/>
  <c r="AT100" i="2"/>
  <c r="AT166" i="2"/>
  <c r="AT143" i="2"/>
  <c r="AT135" i="2"/>
  <c r="AT122" i="2"/>
  <c r="AT119" i="2"/>
  <c r="AT176" i="2"/>
  <c r="AT138" i="2"/>
  <c r="AT97" i="2"/>
  <c r="AT168" i="2"/>
  <c r="AT184" i="2"/>
  <c r="AT178" i="2"/>
  <c r="AT170" i="2"/>
  <c r="AT140" i="2"/>
  <c r="AT124" i="2"/>
  <c r="AT92" i="2"/>
  <c r="AT85" i="2"/>
  <c r="AT106" i="2"/>
  <c r="AT93" i="2"/>
  <c r="AT84" i="2"/>
  <c r="AT113" i="2"/>
  <c r="AT107" i="2"/>
  <c r="AT102" i="2"/>
  <c r="AT96" i="2"/>
  <c r="AT83" i="2"/>
  <c r="AT69" i="2"/>
  <c r="AT186" i="2"/>
  <c r="AT108" i="2"/>
  <c r="AT82" i="2"/>
  <c r="AT158" i="2"/>
  <c r="AT137" i="2"/>
  <c r="AT109" i="2"/>
  <c r="AT103" i="2"/>
  <c r="AT126" i="2"/>
  <c r="AT99" i="2"/>
  <c r="AT88" i="2"/>
  <c r="AT71" i="2"/>
  <c r="AT70" i="2"/>
  <c r="AT66" i="2"/>
  <c r="AT44" i="2"/>
  <c r="AT30" i="2"/>
  <c r="AT73" i="2"/>
  <c r="AT72" i="2"/>
  <c r="AT65" i="2"/>
  <c r="AT53" i="2"/>
  <c r="AT136" i="2"/>
  <c r="AT114" i="2"/>
  <c r="AT86" i="2"/>
  <c r="AT75" i="2"/>
  <c r="AT74" i="2"/>
  <c r="AT64" i="2"/>
  <c r="AT48" i="2"/>
  <c r="AT112" i="2"/>
  <c r="AT77" i="2"/>
  <c r="AT76" i="2"/>
  <c r="AT63" i="2"/>
  <c r="AT139" i="2"/>
  <c r="AT125" i="2"/>
  <c r="AT142" i="2"/>
  <c r="AT115" i="2"/>
  <c r="AT105" i="2"/>
  <c r="AT87" i="2"/>
  <c r="AT80" i="2"/>
  <c r="AT156" i="2"/>
  <c r="AT67" i="2"/>
  <c r="AT60" i="2"/>
  <c r="AT27" i="2"/>
  <c r="AT118" i="2"/>
  <c r="AT90" i="2"/>
  <c r="AT35" i="2"/>
  <c r="AT34" i="2"/>
  <c r="AT22" i="2"/>
  <c r="AT54" i="2"/>
  <c r="AT42" i="2"/>
  <c r="AT17" i="2"/>
  <c r="AT134" i="2"/>
  <c r="AT49" i="2"/>
  <c r="AT26" i="2"/>
  <c r="AT110" i="2"/>
  <c r="AT141" i="2"/>
  <c r="AT123" i="2"/>
  <c r="AT89" i="2"/>
  <c r="AT91" i="2"/>
  <c r="AT68" i="2"/>
  <c r="AT51" i="2"/>
  <c r="AT39" i="2"/>
  <c r="AT31" i="2"/>
  <c r="AT20" i="2"/>
  <c r="AT40" i="2"/>
  <c r="AT38" i="2"/>
  <c r="AL49" i="2"/>
  <c r="AT29" i="2"/>
  <c r="AT52" i="2"/>
  <c r="AM85" i="2"/>
  <c r="AN85" i="2" s="1"/>
  <c r="AO85" i="2" s="1"/>
  <c r="AM102" i="2"/>
  <c r="AN102" i="2" s="1"/>
  <c r="AO102" i="2" s="1"/>
  <c r="AT18" i="2"/>
  <c r="AL23" i="2"/>
  <c r="AT24" i="2"/>
  <c r="AI27" i="2"/>
  <c r="AT28" i="2"/>
  <c r="AL32" i="2"/>
  <c r="AM36" i="2"/>
  <c r="AN36" i="2" s="1"/>
  <c r="AO36" i="2" s="1"/>
  <c r="CA40" i="2"/>
  <c r="AL44" i="2"/>
  <c r="AM61" i="2"/>
  <c r="AN61" i="2" s="1"/>
  <c r="AM64" i="2"/>
  <c r="AN64" i="2" s="1"/>
  <c r="AO64" i="2" s="1"/>
  <c r="AJ71" i="2"/>
  <c r="AI71" i="2"/>
  <c r="AM79" i="2"/>
  <c r="AN79" i="2" s="1"/>
  <c r="AO79" i="2" s="1"/>
  <c r="AM96" i="2"/>
  <c r="AN96" i="2" s="1"/>
  <c r="AO96" i="2" s="1"/>
  <c r="AT104" i="2"/>
  <c r="CF105" i="2"/>
  <c r="BQ137" i="2"/>
  <c r="BG158" i="2"/>
  <c r="BV82" i="2"/>
  <c r="BQ88" i="2"/>
  <c r="AT98" i="2"/>
  <c r="AI18" i="2"/>
  <c r="AI190" i="2" s="1"/>
  <c r="AL18" i="2"/>
  <c r="AM33" i="2"/>
  <c r="AN33" i="2" s="1"/>
  <c r="AO33" i="2" s="1"/>
  <c r="AT45" i="2"/>
  <c r="AL74" i="2"/>
  <c r="AM23" i="2"/>
  <c r="AN23" i="2" s="1"/>
  <c r="AO23" i="2" s="1"/>
  <c r="AL31" i="2"/>
  <c r="AT36" i="2"/>
  <c r="AJ46" i="2"/>
  <c r="AI46" i="2"/>
  <c r="BG62" i="2"/>
  <c r="AI67" i="2"/>
  <c r="BG68" i="2"/>
  <c r="BG69" i="2"/>
  <c r="CA69" i="2"/>
  <c r="BL76" i="2"/>
  <c r="CA80" i="2"/>
  <c r="CA84" i="2"/>
  <c r="AI86" i="2"/>
  <c r="AJ86" i="2"/>
  <c r="BQ104" i="2"/>
  <c r="AM112" i="2"/>
  <c r="AN112" i="2" s="1"/>
  <c r="AO112" i="2" s="1"/>
  <c r="AJ139" i="2"/>
  <c r="AI139" i="2"/>
  <c r="Q191" i="2"/>
  <c r="M191" i="2"/>
  <c r="AM34" i="2"/>
  <c r="AN34" i="2" s="1"/>
  <c r="AO34" i="2" s="1"/>
  <c r="AL35" i="2"/>
  <c r="AL63" i="2"/>
  <c r="BV75" i="2"/>
  <c r="CA82" i="2"/>
  <c r="CF86" i="2"/>
  <c r="AL89" i="2"/>
  <c r="AL99" i="2"/>
  <c r="AM92" i="2"/>
  <c r="AN92" i="2" s="1"/>
  <c r="AO92" i="2" s="1"/>
  <c r="BG93" i="2"/>
  <c r="AM97" i="2"/>
  <c r="AN97" i="2" s="1"/>
  <c r="AO97" i="2" s="1"/>
  <c r="AL103" i="2"/>
  <c r="BQ117" i="2"/>
  <c r="BG77" i="2"/>
  <c r="AM80" i="2"/>
  <c r="AN80" i="2" s="1"/>
  <c r="AO80" i="2" s="1"/>
  <c r="BQ89" i="2"/>
  <c r="BG101" i="2"/>
  <c r="BL107" i="2"/>
  <c r="BQ124" i="2"/>
  <c r="BU191" i="2"/>
  <c r="AL124" i="2"/>
  <c r="AL123" i="2"/>
  <c r="AL109" i="2"/>
  <c r="AL122" i="2"/>
  <c r="AL121" i="2"/>
  <c r="AL129" i="2"/>
  <c r="AL116" i="2"/>
  <c r="AL107" i="2"/>
  <c r="AL91" i="2"/>
  <c r="AL117" i="2"/>
  <c r="AL105" i="2"/>
  <c r="AL125" i="2"/>
  <c r="AL118" i="2"/>
  <c r="AL104" i="2"/>
  <c r="AL88" i="2"/>
  <c r="AL127" i="2"/>
  <c r="AL100" i="2"/>
  <c r="AL78" i="2"/>
  <c r="AL115" i="2"/>
  <c r="AL126" i="2"/>
  <c r="AL110" i="2"/>
  <c r="AL76" i="2"/>
  <c r="AL101" i="2"/>
  <c r="AL130" i="2"/>
  <c r="AL128" i="2"/>
  <c r="AL119" i="2"/>
  <c r="AL112" i="2"/>
  <c r="AL102" i="2"/>
  <c r="AL98" i="2"/>
  <c r="AL96" i="2"/>
  <c r="AL92" i="2"/>
  <c r="AL85" i="2"/>
  <c r="AL80" i="2"/>
  <c r="AL51" i="2"/>
  <c r="AL37" i="2"/>
  <c r="AL113" i="2"/>
  <c r="AL90" i="2"/>
  <c r="AL46" i="2"/>
  <c r="AL81" i="2"/>
  <c r="AL55" i="2"/>
  <c r="AL106" i="2"/>
  <c r="AL50" i="2"/>
  <c r="AL97" i="2"/>
  <c r="AL93" i="2"/>
  <c r="AL83" i="2"/>
  <c r="AL73" i="2"/>
  <c r="AL72" i="2"/>
  <c r="AL66" i="2"/>
  <c r="AL19" i="2"/>
  <c r="AM44" i="2"/>
  <c r="AN44" i="2" s="1"/>
  <c r="AO44" i="2" s="1"/>
  <c r="AL45" i="2"/>
  <c r="AM47" i="2"/>
  <c r="AN47" i="2" s="1"/>
  <c r="AO47" i="2" s="1"/>
  <c r="AM48" i="2"/>
  <c r="AN48" i="2" s="1"/>
  <c r="AO48" i="2" s="1"/>
  <c r="AL59" i="2"/>
  <c r="CF60" i="2"/>
  <c r="AL62" i="2"/>
  <c r="AL67" i="2"/>
  <c r="AJ69" i="2"/>
  <c r="AL71" i="2"/>
  <c r="AI75" i="2"/>
  <c r="AI77" i="2"/>
  <c r="AI87" i="2"/>
  <c r="BQ99" i="2"/>
  <c r="AM100" i="2"/>
  <c r="AN100" i="2" s="1"/>
  <c r="AO100" i="2" s="1"/>
  <c r="BQ103" i="2"/>
  <c r="BB191" i="2"/>
  <c r="BV133" i="2"/>
  <c r="BQ134" i="2"/>
  <c r="AM123" i="2"/>
  <c r="AN123" i="2" s="1"/>
  <c r="AO123" i="2" s="1"/>
  <c r="AM122" i="2"/>
  <c r="AN122" i="2" s="1"/>
  <c r="AO122" i="2" s="1"/>
  <c r="AM121" i="2"/>
  <c r="AN121" i="2" s="1"/>
  <c r="AO121" i="2" s="1"/>
  <c r="AM120" i="2"/>
  <c r="AN120" i="2" s="1"/>
  <c r="AO120" i="2" s="1"/>
  <c r="AM124" i="2"/>
  <c r="AN124" i="2" s="1"/>
  <c r="AO124" i="2" s="1"/>
  <c r="AM117" i="2"/>
  <c r="AN117" i="2" s="1"/>
  <c r="AO117" i="2" s="1"/>
  <c r="AM106" i="2"/>
  <c r="AN106" i="2" s="1"/>
  <c r="AO106" i="2" s="1"/>
  <c r="AM125" i="2"/>
  <c r="AN125" i="2" s="1"/>
  <c r="AO125" i="2" s="1"/>
  <c r="AM118" i="2"/>
  <c r="AN118" i="2" s="1"/>
  <c r="AO118" i="2" s="1"/>
  <c r="AM104" i="2"/>
  <c r="AN104" i="2" s="1"/>
  <c r="AO104" i="2" s="1"/>
  <c r="AM130" i="2"/>
  <c r="AN130" i="2" s="1"/>
  <c r="AO130" i="2" s="1"/>
  <c r="AM126" i="2"/>
  <c r="AN126" i="2" s="1"/>
  <c r="AO126" i="2" s="1"/>
  <c r="AM103" i="2"/>
  <c r="AN103" i="2" s="1"/>
  <c r="AO103" i="2" s="1"/>
  <c r="AM115" i="2"/>
  <c r="AN115" i="2" s="1"/>
  <c r="AO115" i="2" s="1"/>
  <c r="AM110" i="2"/>
  <c r="AN110" i="2" s="1"/>
  <c r="AO110" i="2" s="1"/>
  <c r="AM101" i="2"/>
  <c r="AN101" i="2" s="1"/>
  <c r="AO101" i="2" s="1"/>
  <c r="AM75" i="2"/>
  <c r="AN75" i="2" s="1"/>
  <c r="AO75" i="2" s="1"/>
  <c r="AM116" i="2"/>
  <c r="AN116" i="2" s="1"/>
  <c r="AO116" i="2" s="1"/>
  <c r="AM113" i="2"/>
  <c r="AN113" i="2" s="1"/>
  <c r="AO113" i="2" s="1"/>
  <c r="AM90" i="2"/>
  <c r="AN90" i="2" s="1"/>
  <c r="AO90" i="2" s="1"/>
  <c r="AM46" i="2"/>
  <c r="AN46" i="2" s="1"/>
  <c r="AO46" i="2" s="1"/>
  <c r="AM32" i="2"/>
  <c r="AN32" i="2" s="1"/>
  <c r="AO32" i="2" s="1"/>
  <c r="AM81" i="2"/>
  <c r="AN81" i="2" s="1"/>
  <c r="AO81" i="2" s="1"/>
  <c r="AM55" i="2"/>
  <c r="AN55" i="2" s="1"/>
  <c r="AO55" i="2" s="1"/>
  <c r="AM119" i="2"/>
  <c r="AN119" i="2" s="1"/>
  <c r="AO119" i="2" s="1"/>
  <c r="AM88" i="2"/>
  <c r="AN88" i="2" s="1"/>
  <c r="AO88" i="2" s="1"/>
  <c r="AM50" i="2"/>
  <c r="AN50" i="2" s="1"/>
  <c r="AO50" i="2" s="1"/>
  <c r="AM82" i="2"/>
  <c r="AN82" i="2" s="1"/>
  <c r="AO82" i="2" s="1"/>
  <c r="AM129" i="2"/>
  <c r="AN129" i="2" s="1"/>
  <c r="AO129" i="2" s="1"/>
  <c r="AM114" i="2"/>
  <c r="AN114" i="2" s="1"/>
  <c r="AO114" i="2" s="1"/>
  <c r="AM74" i="2"/>
  <c r="AN74" i="2" s="1"/>
  <c r="AO74" i="2" s="1"/>
  <c r="AM65" i="2"/>
  <c r="AN65" i="2" s="1"/>
  <c r="AO65" i="2" s="1"/>
  <c r="AM53" i="2"/>
  <c r="AN53" i="2" s="1"/>
  <c r="AO53" i="2" s="1"/>
  <c r="AM19" i="2"/>
  <c r="BS20" i="2"/>
  <c r="AL24" i="2"/>
  <c r="AL29" i="2"/>
  <c r="AL38" i="2"/>
  <c r="AM45" i="2"/>
  <c r="AN45" i="2" s="1"/>
  <c r="AO45" i="2" s="1"/>
  <c r="AM59" i="2"/>
  <c r="AN59" i="2" s="1"/>
  <c r="AM62" i="2"/>
  <c r="AN62" i="2" s="1"/>
  <c r="AO62" i="2" s="1"/>
  <c r="AM67" i="2"/>
  <c r="AN67" i="2" s="1"/>
  <c r="AO67" i="2" s="1"/>
  <c r="AL69" i="2"/>
  <c r="AM71" i="2"/>
  <c r="AN71" i="2" s="1"/>
  <c r="AO71" i="2" s="1"/>
  <c r="AM73" i="2"/>
  <c r="AN73" i="2" s="1"/>
  <c r="AO73" i="2" s="1"/>
  <c r="AL77" i="2"/>
  <c r="AL82" i="2"/>
  <c r="AL111" i="2"/>
  <c r="BD191" i="2"/>
  <c r="BX191" i="2"/>
  <c r="AJ162" i="2"/>
  <c r="AI162" i="2"/>
  <c r="AM24" i="2"/>
  <c r="AN24" i="2" s="1"/>
  <c r="AO24" i="2" s="1"/>
  <c r="AI25" i="2"/>
  <c r="AM29" i="2"/>
  <c r="AN29" i="2" s="1"/>
  <c r="AO29" i="2" s="1"/>
  <c r="CF34" i="2"/>
  <c r="AM38" i="2"/>
  <c r="AN38" i="2" s="1"/>
  <c r="AO38" i="2" s="1"/>
  <c r="AI64" i="2"/>
  <c r="CF67" i="2"/>
  <c r="AM69" i="2"/>
  <c r="AN69" i="2" s="1"/>
  <c r="AO69" i="2" s="1"/>
  <c r="BV72" i="2"/>
  <c r="AL75" i="2"/>
  <c r="AM77" i="2"/>
  <c r="AN77" i="2" s="1"/>
  <c r="AO77" i="2" s="1"/>
  <c r="BL77" i="2"/>
  <c r="CF80" i="2"/>
  <c r="BV81" i="2"/>
  <c r="AL87" i="2"/>
  <c r="BG88" i="2"/>
  <c r="AJ93" i="2"/>
  <c r="AM111" i="2"/>
  <c r="AN111" i="2" s="1"/>
  <c r="AO111" i="2" s="1"/>
  <c r="AL20" i="2"/>
  <c r="AL30" i="2"/>
  <c r="AL39" i="2"/>
  <c r="BV50" i="2"/>
  <c r="AL53" i="2"/>
  <c r="AL56" i="2"/>
  <c r="BL75" i="2"/>
  <c r="AL79" i="2"/>
  <c r="AM87" i="2"/>
  <c r="AN87" i="2" s="1"/>
  <c r="AO87" i="2" s="1"/>
  <c r="BG91" i="2"/>
  <c r="CA91" i="2"/>
  <c r="AM93" i="2"/>
  <c r="AN93" i="2" s="1"/>
  <c r="AO93" i="2" s="1"/>
  <c r="AM98" i="2"/>
  <c r="AN98" i="2" s="1"/>
  <c r="AO98" i="2" s="1"/>
  <c r="BG86" i="2"/>
  <c r="BL93" i="2"/>
  <c r="BL103" i="2"/>
  <c r="CF109" i="2"/>
  <c r="CA130" i="2"/>
  <c r="BE191" i="2"/>
  <c r="BY191" i="2"/>
  <c r="AI119" i="2"/>
  <c r="AJ123" i="2"/>
  <c r="AI123" i="2"/>
  <c r="AI149" i="2"/>
  <c r="CA71" i="2"/>
  <c r="BQ79" i="2"/>
  <c r="BG90" i="2"/>
  <c r="BV100" i="2"/>
  <c r="BG151" i="2"/>
  <c r="BL154" i="2"/>
  <c r="CF181" i="2"/>
  <c r="BQ78" i="2"/>
  <c r="BG96" i="2"/>
  <c r="CF108" i="2"/>
  <c r="BQ136" i="2"/>
  <c r="CA146" i="2"/>
  <c r="AI154" i="2"/>
  <c r="AI56" i="2"/>
  <c r="BV87" i="2"/>
  <c r="CA142" i="2"/>
  <c r="BV143" i="2"/>
  <c r="BL69" i="2"/>
  <c r="CF102" i="2"/>
  <c r="BG111" i="2"/>
  <c r="AJ117" i="2"/>
  <c r="AI117" i="2"/>
  <c r="AD191" i="2"/>
  <c r="P191" i="2"/>
  <c r="AC191" i="2"/>
  <c r="O191" i="2"/>
  <c r="AB191" i="2"/>
  <c r="Z191" i="2"/>
  <c r="Y191" i="2"/>
  <c r="X191" i="2"/>
  <c r="W191" i="2"/>
  <c r="V191" i="2"/>
  <c r="T191" i="2"/>
  <c r="S191" i="2"/>
  <c r="R191" i="2"/>
  <c r="AE191" i="2"/>
  <c r="AA191" i="2"/>
  <c r="U191" i="2"/>
  <c r="AJ133" i="2"/>
  <c r="AI133" i="2"/>
  <c r="N191" i="2"/>
  <c r="AJ182" i="2"/>
  <c r="AI182" i="2"/>
  <c r="CF114" i="2"/>
  <c r="BG126" i="2"/>
  <c r="BF191" i="2"/>
  <c r="BQ141" i="2"/>
  <c r="CA147" i="2"/>
  <c r="BV151" i="2"/>
  <c r="CA159" i="2"/>
  <c r="BV174" i="2"/>
  <c r="CE191" i="2"/>
  <c r="AJ138" i="2"/>
  <c r="AI138" i="2"/>
  <c r="CA151" i="2"/>
  <c r="BG173" i="2"/>
  <c r="BV175" i="2"/>
  <c r="AI100" i="2"/>
  <c r="CF133" i="2"/>
  <c r="BG143" i="2"/>
  <c r="AJ145" i="2"/>
  <c r="AI145" i="2"/>
  <c r="BN191" i="2"/>
  <c r="CF124" i="2"/>
  <c r="BV130" i="2"/>
  <c r="BO191" i="2"/>
  <c r="BQ133" i="2"/>
  <c r="BL136" i="2"/>
  <c r="BV137" i="2"/>
  <c r="BL145" i="2"/>
  <c r="AJ148" i="2"/>
  <c r="AI148" i="2"/>
  <c r="CA185" i="2"/>
  <c r="BL128" i="2"/>
  <c r="BL152" i="2"/>
  <c r="CA173" i="2"/>
  <c r="CA176" i="2"/>
  <c r="BQ178" i="2"/>
  <c r="BQ181" i="2"/>
  <c r="AI165" i="2"/>
  <c r="BP191" i="2"/>
  <c r="CF143" i="2"/>
  <c r="BL169" i="2"/>
  <c r="AI166" i="2"/>
  <c r="AJ166" i="2"/>
  <c r="AJ169" i="2"/>
  <c r="AI169" i="2"/>
  <c r="AJ183" i="2"/>
  <c r="AI183" i="2"/>
  <c r="AZ191" i="2"/>
  <c r="BS191" i="2"/>
  <c r="CF158" i="2"/>
  <c r="AI180" i="2"/>
  <c r="AJ180" i="2"/>
  <c r="CF180" i="2"/>
  <c r="AI110" i="2"/>
  <c r="AJ111" i="2"/>
  <c r="BA191" i="2"/>
  <c r="BT191" i="2"/>
  <c r="BV136" i="2"/>
  <c r="CF142" i="2"/>
  <c r="BL171" i="2"/>
  <c r="BL174" i="2"/>
  <c r="BG175" i="2"/>
  <c r="BG178" i="2"/>
  <c r="AJ186" i="2"/>
  <c r="BT221" i="2"/>
  <c r="BT209" i="2"/>
  <c r="BT211" i="2"/>
  <c r="BU211" i="2" s="1"/>
  <c r="BV211" i="2" s="1"/>
  <c r="BI191" i="2"/>
  <c r="BZ191" i="2"/>
  <c r="CA191" i="2" s="1"/>
  <c r="CD211" i="2"/>
  <c r="CE211" i="2" s="1"/>
  <c r="CF211" i="2" s="1"/>
  <c r="AI124" i="2"/>
  <c r="BJ191" i="2"/>
  <c r="CA133" i="2"/>
  <c r="AI140" i="2"/>
  <c r="BV163" i="2"/>
  <c r="CF169" i="2"/>
  <c r="BQ170" i="2"/>
  <c r="AI177" i="2"/>
  <c r="BY221" i="2"/>
  <c r="AI125" i="2"/>
  <c r="BK191" i="2"/>
  <c r="CC191" i="2"/>
  <c r="AI141" i="2"/>
  <c r="BL149" i="2"/>
  <c r="BG161" i="2"/>
  <c r="BQ167" i="2"/>
  <c r="AI168" i="2"/>
  <c r="CF172" i="2"/>
  <c r="AJ174" i="2"/>
  <c r="BL133" i="2"/>
  <c r="CD191" i="2"/>
  <c r="AI179" i="2"/>
  <c r="BL185" i="2"/>
  <c r="BY211" i="2"/>
  <c r="CJ12" i="6" l="1"/>
  <c r="CI12" i="6"/>
  <c r="CM12" i="6"/>
  <c r="BV10" i="6"/>
  <c r="AV13" i="6"/>
  <c r="D192" i="5"/>
  <c r="AB73" i="4"/>
  <c r="AC73" i="4"/>
  <c r="AC87" i="4"/>
  <c r="AC81" i="4"/>
  <c r="Z37" i="4"/>
  <c r="AB81" i="4"/>
  <c r="AB94" i="4"/>
  <c r="Z33" i="4"/>
  <c r="AC103" i="4"/>
  <c r="AD103" i="4" s="1"/>
  <c r="AE103" i="4" s="1"/>
  <c r="Z34" i="4"/>
  <c r="AB110" i="4"/>
  <c r="Z44" i="4"/>
  <c r="Z24" i="4"/>
  <c r="AB98" i="4"/>
  <c r="K66" i="4"/>
  <c r="AC100" i="4"/>
  <c r="AD100" i="4" s="1"/>
  <c r="AE100" i="4" s="1"/>
  <c r="AB95" i="4"/>
  <c r="AB102" i="4"/>
  <c r="S66" i="4"/>
  <c r="Z49" i="4"/>
  <c r="Z52" i="4"/>
  <c r="AC107" i="4"/>
  <c r="AD107" i="4" s="1"/>
  <c r="AE107" i="4" s="1"/>
  <c r="AB66" i="4"/>
  <c r="AB71" i="4"/>
  <c r="AB79" i="4"/>
  <c r="AB72" i="4"/>
  <c r="AB101" i="4"/>
  <c r="AC82" i="4"/>
  <c r="AC108" i="4"/>
  <c r="AD108" i="4" s="1"/>
  <c r="AE108" i="4" s="1"/>
  <c r="AC74" i="4"/>
  <c r="AD74" i="4" s="1"/>
  <c r="AE74" i="4" s="1"/>
  <c r="AB80" i="4"/>
  <c r="AB105" i="4"/>
  <c r="AC77" i="4"/>
  <c r="AD77" i="4" s="1"/>
  <c r="AE77" i="4" s="1"/>
  <c r="Z53" i="4"/>
  <c r="AC93" i="4"/>
  <c r="AD93" i="4" s="1"/>
  <c r="AE93" i="4" s="1"/>
  <c r="AC109" i="4"/>
  <c r="AC86" i="4"/>
  <c r="AD86" i="4" s="1"/>
  <c r="AE86" i="4" s="1"/>
  <c r="AC94" i="4"/>
  <c r="Z23" i="4"/>
  <c r="Z51" i="4"/>
  <c r="Z48" i="4"/>
  <c r="AC90" i="4"/>
  <c r="AD90" i="4" s="1"/>
  <c r="AE90" i="4" s="1"/>
  <c r="AC66" i="4"/>
  <c r="AD78" i="4" s="1"/>
  <c r="AE78" i="4" s="1"/>
  <c r="AC91" i="4"/>
  <c r="AD91" i="4" s="1"/>
  <c r="AE91" i="4" s="1"/>
  <c r="AC88" i="4"/>
  <c r="AD88" i="4" s="1"/>
  <c r="AE88" i="4" s="1"/>
  <c r="AC96" i="4"/>
  <c r="AD96" i="4" s="1"/>
  <c r="AE96" i="4" s="1"/>
  <c r="Z31" i="4"/>
  <c r="AC83" i="4"/>
  <c r="L66" i="4"/>
  <c r="AC99" i="4"/>
  <c r="AD99" i="4" s="1"/>
  <c r="AE99" i="4" s="1"/>
  <c r="AB84" i="4"/>
  <c r="AB89" i="4"/>
  <c r="Z40" i="4"/>
  <c r="Z45" i="4"/>
  <c r="AB82" i="4"/>
  <c r="Z36" i="4"/>
  <c r="AB77" i="4"/>
  <c r="AB76" i="4"/>
  <c r="Z21" i="4"/>
  <c r="J77" i="4" s="1"/>
  <c r="AB83" i="4"/>
  <c r="AC84" i="4"/>
  <c r="AD84" i="4" s="1"/>
  <c r="AE84" i="4" s="1"/>
  <c r="Z43" i="4"/>
  <c r="AB88" i="4"/>
  <c r="H66" i="4"/>
  <c r="AB74" i="4"/>
  <c r="AC79" i="4"/>
  <c r="AD79" i="4" s="1"/>
  <c r="AE79" i="4" s="1"/>
  <c r="M66" i="4"/>
  <c r="AB85" i="4"/>
  <c r="Z27" i="4"/>
  <c r="AB109" i="4"/>
  <c r="AB93" i="4"/>
  <c r="AB96" i="4"/>
  <c r="Z41" i="4"/>
  <c r="Z54" i="4"/>
  <c r="AC76" i="4"/>
  <c r="AD76" i="4" s="1"/>
  <c r="AE76" i="4" s="1"/>
  <c r="Z28" i="4"/>
  <c r="AB97" i="4"/>
  <c r="Z57" i="4"/>
  <c r="Y66" i="4"/>
  <c r="N66" i="4"/>
  <c r="AB108" i="4"/>
  <c r="AB103" i="4"/>
  <c r="Z58" i="4"/>
  <c r="T66" i="4"/>
  <c r="AC72" i="4"/>
  <c r="AC97" i="4"/>
  <c r="AD97" i="4" s="1"/>
  <c r="AE97" i="4" s="1"/>
  <c r="AC110" i="4"/>
  <c r="AD110" i="4" s="1"/>
  <c r="AE110" i="4" s="1"/>
  <c r="AC106" i="4"/>
  <c r="AD106" i="4" s="1"/>
  <c r="AE106" i="4" s="1"/>
  <c r="AC92" i="4"/>
  <c r="AD92" i="4" s="1"/>
  <c r="AE92" i="4" s="1"/>
  <c r="AC101" i="4"/>
  <c r="AD101" i="4" s="1"/>
  <c r="AE101" i="4" s="1"/>
  <c r="AC71" i="4"/>
  <c r="AC105" i="4"/>
  <c r="AD105" i="4" s="1"/>
  <c r="AE105" i="4" s="1"/>
  <c r="Z26" i="4"/>
  <c r="W98" i="4" s="1"/>
  <c r="I66" i="4"/>
  <c r="AC89" i="4"/>
  <c r="AD89" i="4" s="1"/>
  <c r="AE89" i="4" s="1"/>
  <c r="Z30" i="4"/>
  <c r="AC104" i="4"/>
  <c r="AD104" i="4" s="1"/>
  <c r="AE104" i="4" s="1"/>
  <c r="W66" i="4"/>
  <c r="AB91" i="4"/>
  <c r="AC102" i="4"/>
  <c r="AD102" i="4" s="1"/>
  <c r="AE102" i="4" s="1"/>
  <c r="Z50" i="4"/>
  <c r="AB106" i="4"/>
  <c r="AB92" i="4"/>
  <c r="Z20" i="4"/>
  <c r="AC98" i="4"/>
  <c r="AD98" i="4" s="1"/>
  <c r="AE98" i="4" s="1"/>
  <c r="AB104" i="4"/>
  <c r="E66" i="4"/>
  <c r="Z19" i="4"/>
  <c r="F83" i="4" s="1"/>
  <c r="AB87" i="4"/>
  <c r="AB107" i="4"/>
  <c r="Z46" i="4"/>
  <c r="Z29" i="4"/>
  <c r="Z22" i="4"/>
  <c r="U66" i="4"/>
  <c r="Z32" i="4"/>
  <c r="AC85" i="4"/>
  <c r="AD85" i="4" s="1"/>
  <c r="AE85" i="4" s="1"/>
  <c r="Z39" i="4"/>
  <c r="J66" i="4"/>
  <c r="Z56" i="4"/>
  <c r="AC95" i="4"/>
  <c r="AD95" i="4" s="1"/>
  <c r="AE95" i="4" s="1"/>
  <c r="AB90" i="4"/>
  <c r="Z35" i="4"/>
  <c r="R66" i="4"/>
  <c r="Z47" i="4"/>
  <c r="P66" i="4"/>
  <c r="Q66" i="4"/>
  <c r="AB100" i="4"/>
  <c r="Z38" i="4"/>
  <c r="R81" i="4" s="1"/>
  <c r="F66" i="4"/>
  <c r="O66" i="4"/>
  <c r="X66" i="4"/>
  <c r="Z42" i="4"/>
  <c r="AC75" i="4"/>
  <c r="AD75" i="4" s="1"/>
  <c r="AE75" i="4" s="1"/>
  <c r="AB86" i="4"/>
  <c r="V22" i="3"/>
  <c r="A35" i="3"/>
  <c r="AX126" i="2"/>
  <c r="AR126" i="2"/>
  <c r="AR130" i="2"/>
  <c r="AX130" i="2"/>
  <c r="AR36" i="2"/>
  <c r="AX36" i="2"/>
  <c r="AQ84" i="2"/>
  <c r="AW84" i="2"/>
  <c r="AW21" i="2"/>
  <c r="AQ21" i="2"/>
  <c r="AR69" i="2"/>
  <c r="AX69" i="2"/>
  <c r="AW77" i="2"/>
  <c r="AQ77" i="2"/>
  <c r="AR65" i="2"/>
  <c r="AX65" i="2"/>
  <c r="AR116" i="2"/>
  <c r="AX116" i="2"/>
  <c r="AX120" i="2"/>
  <c r="AR120" i="2"/>
  <c r="AW93" i="2"/>
  <c r="AQ93" i="2"/>
  <c r="AW96" i="2"/>
  <c r="AQ96" i="2"/>
  <c r="AW127" i="2"/>
  <c r="AQ127" i="2"/>
  <c r="AW123" i="2"/>
  <c r="AQ123" i="2"/>
  <c r="AQ99" i="2"/>
  <c r="AW99" i="2"/>
  <c r="AX23" i="2"/>
  <c r="AR23" i="2"/>
  <c r="AX79" i="2"/>
  <c r="AR79" i="2"/>
  <c r="AR102" i="2"/>
  <c r="AX102" i="2"/>
  <c r="AW64" i="2"/>
  <c r="AQ64" i="2"/>
  <c r="AR42" i="2"/>
  <c r="AX42" i="2"/>
  <c r="AX63" i="2"/>
  <c r="AR63" i="2"/>
  <c r="AX60" i="2"/>
  <c r="AR60" i="2"/>
  <c r="AW34" i="2"/>
  <c r="AQ34" i="2"/>
  <c r="AX52" i="2"/>
  <c r="AR52" i="2"/>
  <c r="AQ86" i="2"/>
  <c r="AW86" i="2"/>
  <c r="AW161" i="2"/>
  <c r="AM161" i="2"/>
  <c r="AN161" i="2" s="1"/>
  <c r="AO161" i="2" s="1"/>
  <c r="AQ161" i="2"/>
  <c r="AQ173" i="2"/>
  <c r="AW173" i="2"/>
  <c r="AM173" i="2"/>
  <c r="AN173" i="2" s="1"/>
  <c r="AO173" i="2" s="1"/>
  <c r="AW175" i="2"/>
  <c r="AM175" i="2"/>
  <c r="AN175" i="2" s="1"/>
  <c r="AO175" i="2" s="1"/>
  <c r="AQ175" i="2"/>
  <c r="AW170" i="2"/>
  <c r="AQ170" i="2"/>
  <c r="AM170" i="2"/>
  <c r="AN170" i="2" s="1"/>
  <c r="AO170" i="2" s="1"/>
  <c r="AQ43" i="2"/>
  <c r="AW43" i="2"/>
  <c r="AR35" i="2"/>
  <c r="AX35" i="2"/>
  <c r="Q192" i="2"/>
  <c r="AX78" i="2"/>
  <c r="AR78" i="2"/>
  <c r="AR22" i="2"/>
  <c r="AX22" i="2"/>
  <c r="AQ39" i="2"/>
  <c r="AW39" i="2"/>
  <c r="AR75" i="2"/>
  <c r="AX75" i="2"/>
  <c r="AQ67" i="2"/>
  <c r="AW67" i="2"/>
  <c r="AW98" i="2"/>
  <c r="AQ98" i="2"/>
  <c r="AQ88" i="2"/>
  <c r="AW88" i="2"/>
  <c r="AQ124" i="2"/>
  <c r="AW124" i="2"/>
  <c r="AW74" i="2"/>
  <c r="AQ74" i="2"/>
  <c r="AR85" i="2"/>
  <c r="AX85" i="2"/>
  <c r="AW61" i="2"/>
  <c r="AQ61" i="2"/>
  <c r="AR54" i="2"/>
  <c r="AX54" i="2"/>
  <c r="AQ54" i="2"/>
  <c r="AW54" i="2"/>
  <c r="AX51" i="2"/>
  <c r="AR51" i="2"/>
  <c r="AX40" i="2"/>
  <c r="AR40" i="2"/>
  <c r="AQ135" i="2"/>
  <c r="AM135" i="2"/>
  <c r="AN135" i="2" s="1"/>
  <c r="AO135" i="2" s="1"/>
  <c r="AW135" i="2"/>
  <c r="AQ176" i="2"/>
  <c r="AW176" i="2"/>
  <c r="AM176" i="2"/>
  <c r="AN176" i="2" s="1"/>
  <c r="AO176" i="2" s="1"/>
  <c r="AM185" i="2"/>
  <c r="AN185" i="2" s="1"/>
  <c r="AO185" i="2" s="1"/>
  <c r="AQ185" i="2"/>
  <c r="AW185" i="2"/>
  <c r="AM184" i="2"/>
  <c r="AN184" i="2" s="1"/>
  <c r="AO184" i="2" s="1"/>
  <c r="AW184" i="2"/>
  <c r="AQ184" i="2"/>
  <c r="S192" i="2"/>
  <c r="AR68" i="2"/>
  <c r="AX68" i="2"/>
  <c r="AQ35" i="2"/>
  <c r="AW35" i="2"/>
  <c r="AR84" i="2"/>
  <c r="AX84" i="2"/>
  <c r="AQ150" i="2"/>
  <c r="AW150" i="2"/>
  <c r="AM150" i="2"/>
  <c r="AN150" i="2" s="1"/>
  <c r="AO150" i="2" s="1"/>
  <c r="AQ101" i="2"/>
  <c r="AW101" i="2"/>
  <c r="AR74" i="2"/>
  <c r="AX74" i="2"/>
  <c r="AX121" i="2"/>
  <c r="AR121" i="2"/>
  <c r="AW97" i="2"/>
  <c r="AQ97" i="2"/>
  <c r="AQ89" i="2"/>
  <c r="AW89" i="2"/>
  <c r="AW30" i="2"/>
  <c r="AQ30" i="2"/>
  <c r="AR71" i="2"/>
  <c r="AX71" i="2"/>
  <c r="AX114" i="2"/>
  <c r="AR114" i="2"/>
  <c r="AR101" i="2"/>
  <c r="AX101" i="2"/>
  <c r="AR122" i="2"/>
  <c r="AX122" i="2"/>
  <c r="AW62" i="2"/>
  <c r="AQ62" i="2"/>
  <c r="AW50" i="2"/>
  <c r="AQ50" i="2"/>
  <c r="AQ102" i="2"/>
  <c r="AW102" i="2"/>
  <c r="AQ104" i="2"/>
  <c r="AW104" i="2"/>
  <c r="BV191" i="2"/>
  <c r="AR49" i="2"/>
  <c r="AX49" i="2"/>
  <c r="AX37" i="2"/>
  <c r="AR37" i="2"/>
  <c r="AX21" i="2"/>
  <c r="AR21" i="2"/>
  <c r="AX39" i="2"/>
  <c r="AR39" i="2"/>
  <c r="AM157" i="2"/>
  <c r="AN157" i="2" s="1"/>
  <c r="AO157" i="2" s="1"/>
  <c r="AW157" i="2"/>
  <c r="AQ157" i="2"/>
  <c r="AQ179" i="2"/>
  <c r="AW179" i="2"/>
  <c r="AM179" i="2"/>
  <c r="AN179" i="2" s="1"/>
  <c r="AO179" i="2" s="1"/>
  <c r="AM138" i="2"/>
  <c r="AN138" i="2" s="1"/>
  <c r="AO138" i="2" s="1"/>
  <c r="AW138" i="2"/>
  <c r="AQ138" i="2"/>
  <c r="AW158" i="2"/>
  <c r="AM158" i="2"/>
  <c r="AN158" i="2" s="1"/>
  <c r="AO158" i="2" s="1"/>
  <c r="AQ158" i="2"/>
  <c r="U192" i="2"/>
  <c r="AJ190" i="2"/>
  <c r="AR89" i="2"/>
  <c r="AX89" i="2"/>
  <c r="AQ46" i="2"/>
  <c r="AW46" i="2"/>
  <c r="AA220" i="2"/>
  <c r="AA7" i="2"/>
  <c r="AX45" i="2"/>
  <c r="AR45" i="2"/>
  <c r="AR34" i="2"/>
  <c r="AX34" i="2"/>
  <c r="AR83" i="2"/>
  <c r="AX83" i="2"/>
  <c r="BB20" i="2"/>
  <c r="BA20" i="2"/>
  <c r="AZ20" i="2"/>
  <c r="AW20" i="2"/>
  <c r="AQ20" i="2"/>
  <c r="AQ69" i="2"/>
  <c r="AW69" i="2"/>
  <c r="AX123" i="2"/>
  <c r="AR123" i="2"/>
  <c r="AW112" i="2"/>
  <c r="AQ112" i="2"/>
  <c r="AX33" i="2"/>
  <c r="AR33" i="2"/>
  <c r="AR64" i="2"/>
  <c r="AX64" i="2"/>
  <c r="AM136" i="2"/>
  <c r="AN136" i="2" s="1"/>
  <c r="AO136" i="2" s="1"/>
  <c r="AW136" i="2"/>
  <c r="AQ136" i="2"/>
  <c r="AQ151" i="2"/>
  <c r="AM151" i="2"/>
  <c r="AN151" i="2" s="1"/>
  <c r="AO151" i="2" s="1"/>
  <c r="AW151" i="2"/>
  <c r="AM166" i="2"/>
  <c r="AN166" i="2" s="1"/>
  <c r="AO166" i="2" s="1"/>
  <c r="AQ166" i="2"/>
  <c r="AW166" i="2"/>
  <c r="AW172" i="2"/>
  <c r="AQ172" i="2"/>
  <c r="AM172" i="2"/>
  <c r="AN172" i="2" s="1"/>
  <c r="AO172" i="2" s="1"/>
  <c r="V192" i="2"/>
  <c r="AX25" i="2"/>
  <c r="AR25" i="2"/>
  <c r="AW117" i="2"/>
  <c r="AQ117" i="2"/>
  <c r="AW108" i="2"/>
  <c r="AQ108" i="2"/>
  <c r="AC220" i="2"/>
  <c r="AC7" i="2"/>
  <c r="AX38" i="2"/>
  <c r="AR38" i="2"/>
  <c r="AR129" i="2"/>
  <c r="AX129" i="2"/>
  <c r="AX110" i="2"/>
  <c r="AR110" i="2"/>
  <c r="AQ106" i="2"/>
  <c r="AW106" i="2"/>
  <c r="AQ118" i="2"/>
  <c r="AW118" i="2"/>
  <c r="BG191" i="2"/>
  <c r="AX111" i="2"/>
  <c r="AR111" i="2"/>
  <c r="AR67" i="2"/>
  <c r="AX67" i="2"/>
  <c r="AX82" i="2"/>
  <c r="AR82" i="2"/>
  <c r="AX115" i="2"/>
  <c r="AR115" i="2"/>
  <c r="AW59" i="2"/>
  <c r="AQ59" i="2"/>
  <c r="AW55" i="2"/>
  <c r="AQ55" i="2"/>
  <c r="AQ119" i="2"/>
  <c r="AW119" i="2"/>
  <c r="AW125" i="2"/>
  <c r="AQ125" i="2"/>
  <c r="AQ18" i="2"/>
  <c r="BB18" i="2"/>
  <c r="AW18" i="2"/>
  <c r="BA18" i="2"/>
  <c r="AZ18" i="2"/>
  <c r="AQ49" i="2"/>
  <c r="AW49" i="2"/>
  <c r="AX109" i="2"/>
  <c r="AR109" i="2"/>
  <c r="AX31" i="2"/>
  <c r="AR31" i="2"/>
  <c r="BD190" i="2"/>
  <c r="BD192" i="2" s="1"/>
  <c r="BD196" i="2" s="1"/>
  <c r="AW144" i="2"/>
  <c r="AQ144" i="2"/>
  <c r="AM144" i="2"/>
  <c r="AN144" i="2" s="1"/>
  <c r="AO144" i="2" s="1"/>
  <c r="AQ162" i="2"/>
  <c r="AW162" i="2"/>
  <c r="AM162" i="2"/>
  <c r="AN162" i="2" s="1"/>
  <c r="AO162" i="2" s="1"/>
  <c r="AM139" i="2"/>
  <c r="AN139" i="2" s="1"/>
  <c r="AO139" i="2" s="1"/>
  <c r="AW139" i="2"/>
  <c r="AQ139" i="2"/>
  <c r="AW186" i="2"/>
  <c r="AQ186" i="2"/>
  <c r="AM186" i="2"/>
  <c r="AN186" i="2" s="1"/>
  <c r="AO186" i="2" s="1"/>
  <c r="AQ22" i="2"/>
  <c r="AW22" i="2"/>
  <c r="Y192" i="2"/>
  <c r="AR72" i="2"/>
  <c r="AX72" i="2"/>
  <c r="AR93" i="2"/>
  <c r="AX93" i="2"/>
  <c r="AX41" i="2"/>
  <c r="AR41" i="2"/>
  <c r="AW178" i="2"/>
  <c r="AQ178" i="2"/>
  <c r="AM178" i="2"/>
  <c r="AN178" i="2" s="1"/>
  <c r="AO178" i="2" s="1"/>
  <c r="AQ45" i="2"/>
  <c r="AW45" i="2"/>
  <c r="AR73" i="2"/>
  <c r="AX73" i="2"/>
  <c r="AR98" i="2"/>
  <c r="AX98" i="2"/>
  <c r="AX29" i="2"/>
  <c r="AR29" i="2"/>
  <c r="AX62" i="2"/>
  <c r="AR62" i="2"/>
  <c r="AX50" i="2"/>
  <c r="AR50" i="2"/>
  <c r="AX103" i="2"/>
  <c r="AR103" i="2"/>
  <c r="AR48" i="2"/>
  <c r="AX48" i="2"/>
  <c r="AW81" i="2"/>
  <c r="AQ81" i="2"/>
  <c r="AW128" i="2"/>
  <c r="AQ128" i="2"/>
  <c r="AQ105" i="2"/>
  <c r="AW105" i="2"/>
  <c r="AW63" i="2"/>
  <c r="AQ63" i="2"/>
  <c r="CC18" i="2"/>
  <c r="CC190" i="2" s="1"/>
  <c r="CC192" i="2" s="1"/>
  <c r="BI18" i="2"/>
  <c r="BI190" i="2" s="1"/>
  <c r="BI192" i="2" s="1"/>
  <c r="BI196" i="2" s="1"/>
  <c r="BN18" i="2"/>
  <c r="BD18" i="2"/>
  <c r="BS18" i="2"/>
  <c r="BS190" i="2" s="1"/>
  <c r="BS192" i="2" s="1"/>
  <c r="BX18" i="2"/>
  <c r="BX190" i="2" s="1"/>
  <c r="BX192" i="2" s="1"/>
  <c r="AQ44" i="2"/>
  <c r="AW44" i="2"/>
  <c r="AT191" i="2"/>
  <c r="AW47" i="2"/>
  <c r="AQ47" i="2"/>
  <c r="AX108" i="2"/>
  <c r="AR108" i="2"/>
  <c r="AR27" i="2"/>
  <c r="AX27" i="2"/>
  <c r="AQ149" i="2"/>
  <c r="AW149" i="2"/>
  <c r="AM149" i="2"/>
  <c r="AN149" i="2" s="1"/>
  <c r="AO149" i="2" s="1"/>
  <c r="AQ165" i="2"/>
  <c r="AM165" i="2"/>
  <c r="AN165" i="2" s="1"/>
  <c r="AO165" i="2" s="1"/>
  <c r="AW165" i="2"/>
  <c r="AM140" i="2"/>
  <c r="AN140" i="2" s="1"/>
  <c r="AO140" i="2" s="1"/>
  <c r="AW140" i="2"/>
  <c r="AQ140" i="2"/>
  <c r="AQ164" i="2"/>
  <c r="AM164" i="2"/>
  <c r="AN164" i="2" s="1"/>
  <c r="AO164" i="2" s="1"/>
  <c r="AW164" i="2"/>
  <c r="R192" i="2"/>
  <c r="W192" i="2"/>
  <c r="AX127" i="2"/>
  <c r="AR127" i="2"/>
  <c r="AX43" i="2"/>
  <c r="AR43" i="2"/>
  <c r="L220" i="2"/>
  <c r="L7" i="2"/>
  <c r="AX26" i="2"/>
  <c r="AR26" i="2"/>
  <c r="AR28" i="2"/>
  <c r="AX28" i="2"/>
  <c r="AR91" i="2"/>
  <c r="AX91" i="2"/>
  <c r="AW33" i="2"/>
  <c r="AQ33" i="2"/>
  <c r="AM190" i="2"/>
  <c r="BO17" i="2"/>
  <c r="BJ17" i="2"/>
  <c r="AN17" i="2"/>
  <c r="BE17" i="2"/>
  <c r="AR86" i="2"/>
  <c r="AX86" i="2"/>
  <c r="AW152" i="2"/>
  <c r="AQ152" i="2"/>
  <c r="AM152" i="2"/>
  <c r="AN152" i="2" s="1"/>
  <c r="AO152" i="2" s="1"/>
  <c r="AW160" i="2"/>
  <c r="AQ160" i="2"/>
  <c r="AM160" i="2"/>
  <c r="AN160" i="2" s="1"/>
  <c r="AO160" i="2" s="1"/>
  <c r="AQ148" i="2"/>
  <c r="AM148" i="2"/>
  <c r="AN148" i="2" s="1"/>
  <c r="AO148" i="2" s="1"/>
  <c r="AW148" i="2"/>
  <c r="AQ187" i="2"/>
  <c r="AW187" i="2"/>
  <c r="AM187" i="2"/>
  <c r="AN187" i="2" s="1"/>
  <c r="AO187" i="2" s="1"/>
  <c r="AD192" i="2"/>
  <c r="Z192" i="2"/>
  <c r="AL190" i="2"/>
  <c r="AW17" i="2"/>
  <c r="BA17" i="2"/>
  <c r="AZ17" i="2"/>
  <c r="BB17" i="2"/>
  <c r="AT190" i="2"/>
  <c r="AM171" i="2"/>
  <c r="AN171" i="2" s="1"/>
  <c r="AO171" i="2" s="1"/>
  <c r="AQ171" i="2"/>
  <c r="AW171" i="2"/>
  <c r="AR119" i="2"/>
  <c r="AX119" i="2"/>
  <c r="AX80" i="2"/>
  <c r="AR80" i="2"/>
  <c r="AW145" i="2"/>
  <c r="AM145" i="2"/>
  <c r="AN145" i="2" s="1"/>
  <c r="AO145" i="2" s="1"/>
  <c r="AQ145" i="2"/>
  <c r="AW38" i="2"/>
  <c r="AQ38" i="2"/>
  <c r="AX44" i="2"/>
  <c r="AR44" i="2"/>
  <c r="AW32" i="2"/>
  <c r="AQ32" i="2"/>
  <c r="AX87" i="2"/>
  <c r="AR87" i="2"/>
  <c r="AW29" i="2"/>
  <c r="AQ29" i="2"/>
  <c r="AX81" i="2"/>
  <c r="AR81" i="2"/>
  <c r="AR118" i="2"/>
  <c r="AX118" i="2"/>
  <c r="AZ19" i="2"/>
  <c r="BB19" i="2"/>
  <c r="BA19" i="2"/>
  <c r="AW19" i="2"/>
  <c r="AQ37" i="2"/>
  <c r="AW37" i="2"/>
  <c r="AQ110" i="2"/>
  <c r="AW110" i="2"/>
  <c r="AW116" i="2"/>
  <c r="AQ116" i="2"/>
  <c r="BX19" i="2"/>
  <c r="BD19" i="2"/>
  <c r="BN19" i="2"/>
  <c r="BI19" i="2"/>
  <c r="CC19" i="2"/>
  <c r="BS19" i="2"/>
  <c r="AX76" i="2"/>
  <c r="AR76" i="2"/>
  <c r="AX30" i="2"/>
  <c r="AR30" i="2"/>
  <c r="AQ134" i="2"/>
  <c r="AW134" i="2"/>
  <c r="AM134" i="2"/>
  <c r="AN134" i="2" s="1"/>
  <c r="AO134" i="2" s="1"/>
  <c r="AM141" i="2"/>
  <c r="AN141" i="2" s="1"/>
  <c r="AO141" i="2" s="1"/>
  <c r="AW141" i="2"/>
  <c r="AQ141" i="2"/>
  <c r="AW169" i="2"/>
  <c r="AM169" i="2"/>
  <c r="AN169" i="2" s="1"/>
  <c r="AO169" i="2" s="1"/>
  <c r="AQ169" i="2"/>
  <c r="AQ167" i="2"/>
  <c r="AM167" i="2"/>
  <c r="AN167" i="2" s="1"/>
  <c r="AO167" i="2" s="1"/>
  <c r="AW167" i="2"/>
  <c r="AR105" i="2"/>
  <c r="AX105" i="2"/>
  <c r="AE192" i="2"/>
  <c r="N192" i="2"/>
  <c r="AW52" i="2"/>
  <c r="AQ52" i="2"/>
  <c r="BJ18" i="2"/>
  <c r="BK18" i="2" s="1"/>
  <c r="BL18" i="2" s="1"/>
  <c r="BO18" i="2"/>
  <c r="BP18" i="2" s="1"/>
  <c r="BQ18" i="2" s="1"/>
  <c r="AN18" i="2"/>
  <c r="AO18" i="2" s="1"/>
  <c r="BE18" i="2"/>
  <c r="BF18" i="2" s="1"/>
  <c r="BG18" i="2" s="1"/>
  <c r="AX128" i="2"/>
  <c r="AR128" i="2"/>
  <c r="AW25" i="2"/>
  <c r="AQ25" i="2"/>
  <c r="AW143" i="2"/>
  <c r="AQ143" i="2"/>
  <c r="AM143" i="2"/>
  <c r="AN143" i="2" s="1"/>
  <c r="AO143" i="2" s="1"/>
  <c r="AW142" i="2"/>
  <c r="AQ142" i="2"/>
  <c r="AM142" i="2"/>
  <c r="AN142" i="2" s="1"/>
  <c r="AO142" i="2" s="1"/>
  <c r="AW183" i="2"/>
  <c r="AM183" i="2"/>
  <c r="AN183" i="2" s="1"/>
  <c r="AO183" i="2" s="1"/>
  <c r="AQ183" i="2"/>
  <c r="AQ181" i="2"/>
  <c r="AM181" i="2"/>
  <c r="AN181" i="2" s="1"/>
  <c r="AO181" i="2" s="1"/>
  <c r="AW181" i="2"/>
  <c r="AQ65" i="2"/>
  <c r="AW65" i="2"/>
  <c r="K192" i="2"/>
  <c r="AB192" i="2"/>
  <c r="AR88" i="2"/>
  <c r="AX88" i="2"/>
  <c r="BJ20" i="2"/>
  <c r="BK20" i="2" s="1"/>
  <c r="BL20" i="2" s="1"/>
  <c r="BE20" i="2"/>
  <c r="BF20" i="2" s="1"/>
  <c r="BG20" i="2" s="1"/>
  <c r="AN20" i="2"/>
  <c r="AO20" i="2" s="1"/>
  <c r="BO20" i="2"/>
  <c r="BP20" i="2" s="1"/>
  <c r="BQ20" i="2" s="1"/>
  <c r="AW174" i="2"/>
  <c r="AM174" i="2"/>
  <c r="AN174" i="2" s="1"/>
  <c r="AO174" i="2" s="1"/>
  <c r="AQ174" i="2"/>
  <c r="AR24" i="2"/>
  <c r="AX24" i="2"/>
  <c r="AM177" i="2"/>
  <c r="AN177" i="2" s="1"/>
  <c r="AO177" i="2" s="1"/>
  <c r="AW177" i="2"/>
  <c r="AQ177" i="2"/>
  <c r="AX100" i="2"/>
  <c r="AR100" i="2"/>
  <c r="AW107" i="2"/>
  <c r="AQ107" i="2"/>
  <c r="BL191" i="2"/>
  <c r="AW79" i="2"/>
  <c r="AQ79" i="2"/>
  <c r="AW24" i="2"/>
  <c r="AQ24" i="2"/>
  <c r="AX125" i="2"/>
  <c r="AR125" i="2"/>
  <c r="AQ51" i="2"/>
  <c r="AW51" i="2"/>
  <c r="AW126" i="2"/>
  <c r="AQ126" i="2"/>
  <c r="AW129" i="2"/>
  <c r="AQ129" i="2"/>
  <c r="AW103" i="2"/>
  <c r="AQ103" i="2"/>
  <c r="BY209" i="2"/>
  <c r="BZ211" i="2"/>
  <c r="CA211" i="2" s="1"/>
  <c r="BQ191" i="2"/>
  <c r="AX77" i="2"/>
  <c r="AR77" i="2"/>
  <c r="AX46" i="2"/>
  <c r="AR46" i="2"/>
  <c r="AR106" i="2"/>
  <c r="AX106" i="2"/>
  <c r="AQ72" i="2"/>
  <c r="AW72" i="2"/>
  <c r="AW80" i="2"/>
  <c r="AQ80" i="2"/>
  <c r="AW115" i="2"/>
  <c r="AQ115" i="2"/>
  <c r="AW121" i="2"/>
  <c r="AQ121" i="2"/>
  <c r="AX97" i="2"/>
  <c r="AR97" i="2"/>
  <c r="AW120" i="2"/>
  <c r="AQ120" i="2"/>
  <c r="AR107" i="2"/>
  <c r="AX107" i="2"/>
  <c r="AW114" i="2"/>
  <c r="AQ114" i="2"/>
  <c r="AR70" i="2"/>
  <c r="AX70" i="2"/>
  <c r="AR99" i="2"/>
  <c r="AX99" i="2"/>
  <c r="AW60" i="2"/>
  <c r="AQ60" i="2"/>
  <c r="AQ146" i="2"/>
  <c r="AW146" i="2"/>
  <c r="AM146" i="2"/>
  <c r="AN146" i="2" s="1"/>
  <c r="AO146" i="2" s="1"/>
  <c r="AQ147" i="2"/>
  <c r="AM147" i="2"/>
  <c r="AN147" i="2" s="1"/>
  <c r="AO147" i="2" s="1"/>
  <c r="AW147" i="2"/>
  <c r="AW153" i="2"/>
  <c r="AM153" i="2"/>
  <c r="AN153" i="2" s="1"/>
  <c r="AO153" i="2" s="1"/>
  <c r="AQ153" i="2"/>
  <c r="AM168" i="2"/>
  <c r="AN168" i="2" s="1"/>
  <c r="AO168" i="2" s="1"/>
  <c r="AW168" i="2"/>
  <c r="AQ168" i="2"/>
  <c r="M192" i="2"/>
  <c r="T192" i="2"/>
  <c r="AQ130" i="2"/>
  <c r="AW130" i="2"/>
  <c r="AW41" i="2"/>
  <c r="AQ41" i="2"/>
  <c r="BN190" i="2"/>
  <c r="BN192" i="2" s="1"/>
  <c r="BN196" i="2" s="1"/>
  <c r="AQ91" i="2"/>
  <c r="AW91" i="2"/>
  <c r="AX55" i="2"/>
  <c r="AR55" i="2"/>
  <c r="AW113" i="2"/>
  <c r="AQ113" i="2"/>
  <c r="AI191" i="2"/>
  <c r="AI192" i="2" s="1"/>
  <c r="AX32" i="2"/>
  <c r="AR32" i="2"/>
  <c r="AQ66" i="2"/>
  <c r="AW66" i="2"/>
  <c r="CF191" i="2"/>
  <c r="AJ191" i="2"/>
  <c r="AW56" i="2"/>
  <c r="AQ56" i="2"/>
  <c r="AW75" i="2"/>
  <c r="AQ75" i="2"/>
  <c r="AQ111" i="2"/>
  <c r="AW111" i="2"/>
  <c r="AN19" i="2"/>
  <c r="AO19" i="2" s="1"/>
  <c r="AQ19" i="2" s="1"/>
  <c r="BE19" i="2"/>
  <c r="BF19" i="2" s="1"/>
  <c r="BG19" i="2" s="1"/>
  <c r="BJ19" i="2"/>
  <c r="BK19" i="2" s="1"/>
  <c r="BL19" i="2" s="1"/>
  <c r="BO19" i="2"/>
  <c r="BP19" i="2" s="1"/>
  <c r="BQ19" i="2" s="1"/>
  <c r="AR90" i="2"/>
  <c r="AX90" i="2"/>
  <c r="AR117" i="2"/>
  <c r="AX117" i="2"/>
  <c r="AQ73" i="2"/>
  <c r="AW73" i="2"/>
  <c r="AQ85" i="2"/>
  <c r="AW85" i="2"/>
  <c r="AW78" i="2"/>
  <c r="AQ78" i="2"/>
  <c r="AQ122" i="2"/>
  <c r="AW122" i="2"/>
  <c r="AX112" i="2"/>
  <c r="AR112" i="2"/>
  <c r="AQ23" i="2"/>
  <c r="AW23" i="2"/>
  <c r="AQ27" i="2"/>
  <c r="AW27" i="2"/>
  <c r="AQ70" i="2"/>
  <c r="AW70" i="2"/>
  <c r="AM155" i="2"/>
  <c r="AN155" i="2" s="1"/>
  <c r="AO155" i="2" s="1"/>
  <c r="AW155" i="2"/>
  <c r="AQ155" i="2"/>
  <c r="AQ159" i="2"/>
  <c r="AM159" i="2"/>
  <c r="AN159" i="2" s="1"/>
  <c r="AO159" i="2" s="1"/>
  <c r="AW159" i="2"/>
  <c r="AM180" i="2"/>
  <c r="AN180" i="2" s="1"/>
  <c r="AO180" i="2" s="1"/>
  <c r="AW180" i="2"/>
  <c r="AQ180" i="2"/>
  <c r="AQ182" i="2"/>
  <c r="AW182" i="2"/>
  <c r="AM182" i="2"/>
  <c r="AN182" i="2" s="1"/>
  <c r="AO182" i="2" s="1"/>
  <c r="P192" i="2"/>
  <c r="AX47" i="2"/>
  <c r="AR47" i="2"/>
  <c r="X192" i="2"/>
  <c r="AQ87" i="2"/>
  <c r="AW87" i="2"/>
  <c r="AQ90" i="2"/>
  <c r="AW90" i="2"/>
  <c r="AQ36" i="2"/>
  <c r="AW36" i="2"/>
  <c r="AW154" i="2"/>
  <c r="AQ154" i="2"/>
  <c r="AM154" i="2"/>
  <c r="AN154" i="2" s="1"/>
  <c r="AO154" i="2" s="1"/>
  <c r="CD209" i="2"/>
  <c r="AX104" i="2"/>
  <c r="AR104" i="2"/>
  <c r="AW76" i="2"/>
  <c r="AQ76" i="2"/>
  <c r="AQ53" i="2"/>
  <c r="AW53" i="2"/>
  <c r="AW82" i="2"/>
  <c r="AQ82" i="2"/>
  <c r="AR53" i="2"/>
  <c r="AX53" i="2"/>
  <c r="AX113" i="2"/>
  <c r="AR113" i="2"/>
  <c r="AR124" i="2"/>
  <c r="AX124" i="2"/>
  <c r="AQ71" i="2"/>
  <c r="AW71" i="2"/>
  <c r="AW83" i="2"/>
  <c r="AQ83" i="2"/>
  <c r="AQ92" i="2"/>
  <c r="AW92" i="2"/>
  <c r="AQ100" i="2"/>
  <c r="AW100" i="2"/>
  <c r="AQ109" i="2"/>
  <c r="AW109" i="2"/>
  <c r="AX92" i="2"/>
  <c r="AR92" i="2"/>
  <c r="AW31" i="2"/>
  <c r="AQ31" i="2"/>
  <c r="AR96" i="2"/>
  <c r="AX96" i="2"/>
  <c r="AQ28" i="2"/>
  <c r="AW28" i="2"/>
  <c r="AR66" i="2"/>
  <c r="AX66" i="2"/>
  <c r="AW42" i="2"/>
  <c r="AQ42" i="2"/>
  <c r="AX56" i="2"/>
  <c r="AR56" i="2"/>
  <c r="AM163" i="2"/>
  <c r="AN163" i="2" s="1"/>
  <c r="AO163" i="2" s="1"/>
  <c r="AW163" i="2"/>
  <c r="AQ163" i="2"/>
  <c r="AL191" i="2"/>
  <c r="AQ191" i="2" s="1"/>
  <c r="AQ133" i="2"/>
  <c r="AW133" i="2"/>
  <c r="AM133" i="2"/>
  <c r="AM137" i="2"/>
  <c r="AN137" i="2" s="1"/>
  <c r="AO137" i="2" s="1"/>
  <c r="AQ137" i="2"/>
  <c r="AW137" i="2"/>
  <c r="AW156" i="2"/>
  <c r="AQ156" i="2"/>
  <c r="AM156" i="2"/>
  <c r="AN156" i="2" s="1"/>
  <c r="AO156" i="2" s="1"/>
  <c r="AQ68" i="2"/>
  <c r="AW68" i="2"/>
  <c r="AW48" i="2"/>
  <c r="AQ48" i="2"/>
  <c r="O192" i="2"/>
  <c r="BW10" i="6" l="1"/>
  <c r="F88" i="4"/>
  <c r="E100" i="4"/>
  <c r="H104" i="4"/>
  <c r="E87" i="4"/>
  <c r="P85" i="4"/>
  <c r="K97" i="4"/>
  <c r="L79" i="4"/>
  <c r="K104" i="4"/>
  <c r="G102" i="4"/>
  <c r="S84" i="4"/>
  <c r="E99" i="4"/>
  <c r="R94" i="4"/>
  <c r="M103" i="4"/>
  <c r="L100" i="4"/>
  <c r="J104" i="4"/>
  <c r="I74" i="4"/>
  <c r="Q94" i="4"/>
  <c r="X85" i="4"/>
  <c r="Y110" i="4"/>
  <c r="U86" i="4"/>
  <c r="R74" i="4"/>
  <c r="F91" i="4"/>
  <c r="M100" i="4"/>
  <c r="R103" i="4"/>
  <c r="V83" i="4"/>
  <c r="E80" i="4"/>
  <c r="I84" i="4"/>
  <c r="S74" i="4"/>
  <c r="P75" i="4"/>
  <c r="X104" i="4"/>
  <c r="L77" i="4"/>
  <c r="F78" i="4"/>
  <c r="T86" i="4"/>
  <c r="U79" i="4"/>
  <c r="G85" i="4"/>
  <c r="T99" i="4"/>
  <c r="H86" i="4"/>
  <c r="I97" i="4"/>
  <c r="M87" i="4"/>
  <c r="Y80" i="4"/>
  <c r="W82" i="4"/>
  <c r="V73" i="4"/>
  <c r="O75" i="4"/>
  <c r="H73" i="4"/>
  <c r="G90" i="4"/>
  <c r="N103" i="4"/>
  <c r="F103" i="4"/>
  <c r="O97" i="4"/>
  <c r="H87" i="4"/>
  <c r="V105" i="4"/>
  <c r="P80" i="4"/>
  <c r="I101" i="4"/>
  <c r="T89" i="4"/>
  <c r="N100" i="4"/>
  <c r="L89" i="4"/>
  <c r="Q73" i="4"/>
  <c r="R98" i="4"/>
  <c r="V97" i="4"/>
  <c r="X77" i="4"/>
  <c r="P84" i="4"/>
  <c r="H103" i="4"/>
  <c r="U84" i="4"/>
  <c r="W78" i="4"/>
  <c r="E83" i="4"/>
  <c r="W109" i="4"/>
  <c r="W83" i="4"/>
  <c r="E102" i="4"/>
  <c r="M99" i="4"/>
  <c r="P98" i="4"/>
  <c r="P94" i="4"/>
  <c r="K86" i="4"/>
  <c r="U104" i="4"/>
  <c r="H90" i="4"/>
  <c r="J71" i="4"/>
  <c r="Y88" i="4"/>
  <c r="K94" i="4"/>
  <c r="O100" i="4"/>
  <c r="F102" i="4"/>
  <c r="E71" i="4"/>
  <c r="G107" i="4"/>
  <c r="G83" i="4"/>
  <c r="L106" i="4"/>
  <c r="AD71" i="4"/>
  <c r="AC112" i="4"/>
  <c r="W85" i="4"/>
  <c r="E106" i="4"/>
  <c r="U80" i="4"/>
  <c r="W76" i="4"/>
  <c r="L110" i="4"/>
  <c r="X99" i="4"/>
  <c r="W87" i="4"/>
  <c r="T94" i="4"/>
  <c r="U107" i="4"/>
  <c r="V80" i="4"/>
  <c r="G88" i="4"/>
  <c r="K87" i="4"/>
  <c r="X75" i="4"/>
  <c r="H98" i="4"/>
  <c r="S86" i="4"/>
  <c r="M101" i="4"/>
  <c r="E104" i="4"/>
  <c r="J90" i="4"/>
  <c r="I95" i="4"/>
  <c r="J99" i="4"/>
  <c r="E96" i="4"/>
  <c r="T75" i="4"/>
  <c r="P91" i="4"/>
  <c r="K109" i="4"/>
  <c r="S77" i="4"/>
  <c r="Y71" i="4"/>
  <c r="R110" i="4"/>
  <c r="M74" i="4"/>
  <c r="J88" i="4"/>
  <c r="I87" i="4"/>
  <c r="L82" i="4"/>
  <c r="O91" i="4"/>
  <c r="Q98" i="4"/>
  <c r="E94" i="4"/>
  <c r="F71" i="4"/>
  <c r="I73" i="4"/>
  <c r="L98" i="4"/>
  <c r="Y108" i="4"/>
  <c r="E74" i="4"/>
  <c r="S87" i="4"/>
  <c r="R83" i="4"/>
  <c r="S80" i="4"/>
  <c r="M90" i="4"/>
  <c r="S91" i="4"/>
  <c r="K95" i="4"/>
  <c r="K102" i="4"/>
  <c r="I99" i="4"/>
  <c r="L76" i="4"/>
  <c r="G92" i="4"/>
  <c r="J87" i="4"/>
  <c r="R108" i="4"/>
  <c r="T76" i="4"/>
  <c r="F76" i="4"/>
  <c r="G80" i="4"/>
  <c r="Y95" i="4"/>
  <c r="G86" i="4"/>
  <c r="S107" i="4"/>
  <c r="O95" i="4"/>
  <c r="U75" i="4"/>
  <c r="K96" i="4"/>
  <c r="H84" i="4"/>
  <c r="R78" i="4"/>
  <c r="E89" i="4"/>
  <c r="AD87" i="4"/>
  <c r="AE87" i="4" s="1"/>
  <c r="G77" i="4"/>
  <c r="V92" i="4"/>
  <c r="O71" i="4"/>
  <c r="S88" i="4"/>
  <c r="G79" i="4"/>
  <c r="R87" i="4"/>
  <c r="J79" i="4"/>
  <c r="R73" i="4"/>
  <c r="T88" i="4"/>
  <c r="L97" i="4"/>
  <c r="I86" i="4"/>
  <c r="O88" i="4"/>
  <c r="W101" i="4"/>
  <c r="I109" i="4"/>
  <c r="L99" i="4"/>
  <c r="I100" i="4"/>
  <c r="X79" i="4"/>
  <c r="R86" i="4"/>
  <c r="O83" i="4"/>
  <c r="I81" i="4"/>
  <c r="F75" i="4"/>
  <c r="Q90" i="4"/>
  <c r="W91" i="4"/>
  <c r="P95" i="4"/>
  <c r="Y104" i="4"/>
  <c r="X101" i="4"/>
  <c r="N102" i="4"/>
  <c r="M108" i="4"/>
  <c r="N82" i="4"/>
  <c r="P109" i="4"/>
  <c r="T95" i="4"/>
  <c r="Y98" i="4"/>
  <c r="H102" i="4"/>
  <c r="R82" i="4"/>
  <c r="S76" i="4"/>
  <c r="U100" i="4"/>
  <c r="S73" i="4"/>
  <c r="O80" i="4"/>
  <c r="G95" i="4"/>
  <c r="S72" i="4"/>
  <c r="L86" i="4"/>
  <c r="K73" i="4"/>
  <c r="E85" i="4"/>
  <c r="R96" i="4"/>
  <c r="J91" i="4"/>
  <c r="AD73" i="4"/>
  <c r="AE73" i="4" s="1"/>
  <c r="Q71" i="4"/>
  <c r="X87" i="4"/>
  <c r="U108" i="4"/>
  <c r="O77" i="4"/>
  <c r="E78" i="4"/>
  <c r="V85" i="4"/>
  <c r="V100" i="4"/>
  <c r="X90" i="4"/>
  <c r="H75" i="4"/>
  <c r="X97" i="4"/>
  <c r="E73" i="4"/>
  <c r="F72" i="4"/>
  <c r="Y87" i="4"/>
  <c r="S108" i="4"/>
  <c r="I75" i="4"/>
  <c r="U103" i="4"/>
  <c r="X86" i="4"/>
  <c r="O94" i="4"/>
  <c r="Q91" i="4"/>
  <c r="T87" i="4"/>
  <c r="E84" i="4"/>
  <c r="E81" i="4"/>
  <c r="W95" i="4"/>
  <c r="E72" i="4"/>
  <c r="M95" i="4"/>
  <c r="R77" i="4"/>
  <c r="V88" i="4"/>
  <c r="Q85" i="4"/>
  <c r="O90" i="4"/>
  <c r="M78" i="4"/>
  <c r="E93" i="4"/>
  <c r="O92" i="4"/>
  <c r="L93" i="4"/>
  <c r="J74" i="4"/>
  <c r="M102" i="4"/>
  <c r="S92" i="4"/>
  <c r="E92" i="4"/>
  <c r="Q82" i="4"/>
  <c r="G75" i="4"/>
  <c r="AC68" i="4"/>
  <c r="E75" i="4"/>
  <c r="AD109" i="4"/>
  <c r="AE109" i="4" s="1"/>
  <c r="W103" i="4"/>
  <c r="AD82" i="4"/>
  <c r="AE82" i="4" s="1"/>
  <c r="X100" i="4"/>
  <c r="J81" i="4"/>
  <c r="N101" i="4"/>
  <c r="K100" i="4"/>
  <c r="U102" i="4"/>
  <c r="Q108" i="4"/>
  <c r="T102" i="4"/>
  <c r="E108" i="4"/>
  <c r="E82" i="4"/>
  <c r="I104" i="4"/>
  <c r="R107" i="4"/>
  <c r="E90" i="4"/>
  <c r="L87" i="4"/>
  <c r="W108" i="4"/>
  <c r="S78" i="4"/>
  <c r="I102" i="4"/>
  <c r="L74" i="4"/>
  <c r="U109" i="4"/>
  <c r="S81" i="4"/>
  <c r="F94" i="4"/>
  <c r="W107" i="4"/>
  <c r="X102" i="4"/>
  <c r="N108" i="4"/>
  <c r="I94" i="4"/>
  <c r="O73" i="4"/>
  <c r="P71" i="4"/>
  <c r="S100" i="4"/>
  <c r="T104" i="4"/>
  <c r="O102" i="4"/>
  <c r="N95" i="4"/>
  <c r="F104" i="4"/>
  <c r="S82" i="4"/>
  <c r="R102" i="4"/>
  <c r="T84" i="4"/>
  <c r="K106" i="4"/>
  <c r="L94" i="4"/>
  <c r="L88" i="4"/>
  <c r="W105" i="4"/>
  <c r="L107" i="4"/>
  <c r="S110" i="4"/>
  <c r="J103" i="4"/>
  <c r="H107" i="4"/>
  <c r="N90" i="4"/>
  <c r="W84" i="4"/>
  <c r="M98" i="4"/>
  <c r="S93" i="4"/>
  <c r="F108" i="4"/>
  <c r="O87" i="4"/>
  <c r="AD94" i="4"/>
  <c r="AE94" i="4" s="1"/>
  <c r="M76" i="4"/>
  <c r="Q103" i="4"/>
  <c r="V104" i="4"/>
  <c r="G73" i="4"/>
  <c r="K110" i="4"/>
  <c r="W94" i="4"/>
  <c r="X73" i="4"/>
  <c r="P107" i="4"/>
  <c r="R90" i="4"/>
  <c r="I91" i="4"/>
  <c r="N75" i="4"/>
  <c r="X81" i="4"/>
  <c r="Y102" i="4"/>
  <c r="T100" i="4"/>
  <c r="J73" i="4"/>
  <c r="E88" i="4"/>
  <c r="L109" i="4"/>
  <c r="T103" i="4"/>
  <c r="S98" i="4"/>
  <c r="H95" i="4"/>
  <c r="Y73" i="4"/>
  <c r="F84" i="4"/>
  <c r="Y97" i="4"/>
  <c r="F95" i="4"/>
  <c r="T81" i="4"/>
  <c r="L102" i="4"/>
  <c r="E110" i="4"/>
  <c r="V86" i="4"/>
  <c r="L90" i="4"/>
  <c r="X71" i="4"/>
  <c r="F74" i="4"/>
  <c r="Y94" i="4"/>
  <c r="F100" i="4"/>
  <c r="U73" i="4"/>
  <c r="K90" i="4"/>
  <c r="W97" i="4"/>
  <c r="R100" i="4"/>
  <c r="P77" i="4"/>
  <c r="J78" i="4"/>
  <c r="Q102" i="4"/>
  <c r="X84" i="4"/>
  <c r="J86" i="4"/>
  <c r="G97" i="4"/>
  <c r="N110" i="4"/>
  <c r="L95" i="4"/>
  <c r="S94" i="4"/>
  <c r="N96" i="4"/>
  <c r="S75" i="4"/>
  <c r="Y106" i="4"/>
  <c r="S96" i="4"/>
  <c r="U87" i="4"/>
  <c r="K108" i="4"/>
  <c r="K82" i="4"/>
  <c r="Q75" i="4"/>
  <c r="J100" i="4"/>
  <c r="P87" i="4"/>
  <c r="L75" i="4"/>
  <c r="F80" i="4"/>
  <c r="U90" i="4"/>
  <c r="L103" i="4"/>
  <c r="P73" i="4"/>
  <c r="Q107" i="4"/>
  <c r="V90" i="4"/>
  <c r="J108" i="4"/>
  <c r="G91" i="4"/>
  <c r="L78" i="4"/>
  <c r="Y90" i="4"/>
  <c r="Q87" i="4"/>
  <c r="K98" i="4"/>
  <c r="I105" i="4"/>
  <c r="H83" i="4"/>
  <c r="G108" i="4"/>
  <c r="F73" i="4"/>
  <c r="L72" i="4"/>
  <c r="V87" i="4"/>
  <c r="S106" i="4"/>
  <c r="I90" i="4"/>
  <c r="M81" i="4"/>
  <c r="L108" i="4"/>
  <c r="U99" i="4"/>
  <c r="G103" i="4"/>
  <c r="W90" i="4"/>
  <c r="U71" i="4"/>
  <c r="E98" i="4"/>
  <c r="I103" i="4"/>
  <c r="P79" i="4"/>
  <c r="P90" i="4"/>
  <c r="P103" i="4"/>
  <c r="AD72" i="4"/>
  <c r="AE72" i="4" s="1"/>
  <c r="V84" i="4"/>
  <c r="K85" i="4"/>
  <c r="I98" i="4"/>
  <c r="N106" i="4"/>
  <c r="O84" i="4"/>
  <c r="V102" i="4"/>
  <c r="M83" i="4"/>
  <c r="T93" i="4"/>
  <c r="M105" i="4"/>
  <c r="G94" i="4"/>
  <c r="L71" i="4"/>
  <c r="P102" i="4"/>
  <c r="R84" i="4"/>
  <c r="L92" i="4"/>
  <c r="J94" i="4"/>
  <c r="G84" i="4"/>
  <c r="Y77" i="4"/>
  <c r="S102" i="4"/>
  <c r="T85" i="4"/>
  <c r="M72" i="4"/>
  <c r="U95" i="4"/>
  <c r="G104" i="4"/>
  <c r="O108" i="4"/>
  <c r="W72" i="4"/>
  <c r="T78" i="4"/>
  <c r="T74" i="4"/>
  <c r="S99" i="4"/>
  <c r="Q83" i="4"/>
  <c r="V101" i="4"/>
  <c r="W79" i="4"/>
  <c r="R104" i="4"/>
  <c r="X103" i="4"/>
  <c r="T90" i="4"/>
  <c r="Z66" i="4"/>
  <c r="V109" i="4"/>
  <c r="H101" i="4"/>
  <c r="X98" i="4"/>
  <c r="U72" i="4"/>
  <c r="V72" i="4"/>
  <c r="X74" i="4"/>
  <c r="Y72" i="4"/>
  <c r="G78" i="4"/>
  <c r="E97" i="4"/>
  <c r="G89" i="4"/>
  <c r="W92" i="4"/>
  <c r="N85" i="4"/>
  <c r="F109" i="4"/>
  <c r="S71" i="4"/>
  <c r="M94" i="4"/>
  <c r="J92" i="4"/>
  <c r="T82" i="4"/>
  <c r="N77" i="4"/>
  <c r="H100" i="4"/>
  <c r="U97" i="4"/>
  <c r="R75" i="4"/>
  <c r="S109" i="4"/>
  <c r="H89" i="4"/>
  <c r="Y93" i="4"/>
  <c r="M82" i="4"/>
  <c r="P92" i="4"/>
  <c r="F93" i="4"/>
  <c r="N83" i="4"/>
  <c r="N88" i="4"/>
  <c r="S97" i="4"/>
  <c r="U82" i="4"/>
  <c r="K77" i="4"/>
  <c r="J93" i="4"/>
  <c r="K93" i="4"/>
  <c r="Q88" i="4"/>
  <c r="H96" i="4"/>
  <c r="Q93" i="4"/>
  <c r="V79" i="4"/>
  <c r="T97" i="4"/>
  <c r="K71" i="4"/>
  <c r="E103" i="4"/>
  <c r="T77" i="4"/>
  <c r="P96" i="4"/>
  <c r="J101" i="4"/>
  <c r="T71" i="4"/>
  <c r="M92" i="4"/>
  <c r="N76" i="4"/>
  <c r="N99" i="4"/>
  <c r="O99" i="4"/>
  <c r="N89" i="4"/>
  <c r="J98" i="4"/>
  <c r="F99" i="4"/>
  <c r="Y84" i="4"/>
  <c r="M107" i="4"/>
  <c r="Q96" i="4"/>
  <c r="J97" i="4"/>
  <c r="N93" i="4"/>
  <c r="Y74" i="4"/>
  <c r="N72" i="4"/>
  <c r="N98" i="4"/>
  <c r="P93" i="4"/>
  <c r="J96" i="4"/>
  <c r="Q80" i="4"/>
  <c r="V98" i="4"/>
  <c r="H82" i="4"/>
  <c r="Y101" i="4"/>
  <c r="X76" i="4"/>
  <c r="U101" i="4"/>
  <c r="Y103" i="4"/>
  <c r="Q99" i="4"/>
  <c r="O96" i="4"/>
  <c r="H74" i="4"/>
  <c r="W110" i="4"/>
  <c r="G81" i="4"/>
  <c r="X92" i="4"/>
  <c r="R71" i="4"/>
  <c r="M71" i="4"/>
  <c r="H97" i="4"/>
  <c r="P100" i="4"/>
  <c r="U94" i="4"/>
  <c r="G76" i="4"/>
  <c r="H76" i="4"/>
  <c r="H106" i="4"/>
  <c r="N94" i="4"/>
  <c r="T98" i="4"/>
  <c r="H88" i="4"/>
  <c r="M106" i="4"/>
  <c r="R72" i="4"/>
  <c r="E107" i="4"/>
  <c r="F82" i="4"/>
  <c r="X93" i="4"/>
  <c r="O103" i="4"/>
  <c r="V96" i="4"/>
  <c r="K78" i="4"/>
  <c r="Q104" i="4"/>
  <c r="H105" i="4"/>
  <c r="T105" i="4"/>
  <c r="R97" i="4"/>
  <c r="T92" i="4"/>
  <c r="K105" i="4"/>
  <c r="Q78" i="4"/>
  <c r="J109" i="4"/>
  <c r="K92" i="4"/>
  <c r="G72" i="4"/>
  <c r="G74" i="4"/>
  <c r="P82" i="4"/>
  <c r="I76" i="4"/>
  <c r="K75" i="4"/>
  <c r="U98" i="4"/>
  <c r="T80" i="4"/>
  <c r="Y79" i="4"/>
  <c r="G110" i="4"/>
  <c r="G93" i="4"/>
  <c r="U77" i="4"/>
  <c r="I82" i="4"/>
  <c r="U96" i="4"/>
  <c r="V77" i="4"/>
  <c r="Y82" i="4"/>
  <c r="P104" i="4"/>
  <c r="L81" i="4"/>
  <c r="T106" i="4"/>
  <c r="M80" i="4"/>
  <c r="P83" i="4"/>
  <c r="Y76" i="4"/>
  <c r="X109" i="4"/>
  <c r="Y105" i="4"/>
  <c r="E105" i="4"/>
  <c r="M110" i="4"/>
  <c r="U76" i="4"/>
  <c r="P76" i="4"/>
  <c r="V103" i="4"/>
  <c r="R76" i="4"/>
  <c r="R88" i="4"/>
  <c r="K83" i="4"/>
  <c r="X78" i="4"/>
  <c r="W102" i="4"/>
  <c r="H78" i="4"/>
  <c r="F101" i="4"/>
  <c r="U78" i="4"/>
  <c r="R101" i="4"/>
  <c r="E109" i="4"/>
  <c r="V78" i="4"/>
  <c r="W88" i="4"/>
  <c r="Y81" i="4"/>
  <c r="N74" i="4"/>
  <c r="H71" i="4"/>
  <c r="V95" i="4"/>
  <c r="J82" i="4"/>
  <c r="K80" i="4"/>
  <c r="O76" i="4"/>
  <c r="N78" i="4"/>
  <c r="X105" i="4"/>
  <c r="X96" i="4"/>
  <c r="Q105" i="4"/>
  <c r="O101" i="4"/>
  <c r="K74" i="4"/>
  <c r="K89" i="4"/>
  <c r="K101" i="4"/>
  <c r="V107" i="4"/>
  <c r="J72" i="4"/>
  <c r="L105" i="4"/>
  <c r="F79" i="4"/>
  <c r="Q101" i="4"/>
  <c r="O86" i="4"/>
  <c r="I89" i="4"/>
  <c r="F106" i="4"/>
  <c r="K88" i="4"/>
  <c r="U89" i="4"/>
  <c r="T110" i="4"/>
  <c r="S79" i="4"/>
  <c r="X72" i="4"/>
  <c r="N79" i="4"/>
  <c r="N91" i="4"/>
  <c r="X88" i="4"/>
  <c r="K76" i="4"/>
  <c r="U74" i="4"/>
  <c r="S95" i="4"/>
  <c r="O105" i="4"/>
  <c r="X82" i="4"/>
  <c r="X80" i="4"/>
  <c r="W71" i="4"/>
  <c r="M77" i="4"/>
  <c r="J106" i="4"/>
  <c r="Y89" i="4"/>
  <c r="G82" i="4"/>
  <c r="J105" i="4"/>
  <c r="P106" i="4"/>
  <c r="G101" i="4"/>
  <c r="V89" i="4"/>
  <c r="Q74" i="4"/>
  <c r="W81" i="4"/>
  <c r="O78" i="4"/>
  <c r="S105" i="4"/>
  <c r="N107" i="4"/>
  <c r="G96" i="4"/>
  <c r="N104" i="4"/>
  <c r="R105" i="4"/>
  <c r="R91" i="4"/>
  <c r="P72" i="4"/>
  <c r="J80" i="4"/>
  <c r="W106" i="4"/>
  <c r="T96" i="4"/>
  <c r="M73" i="4"/>
  <c r="K72" i="4"/>
  <c r="U81" i="4"/>
  <c r="I96" i="4"/>
  <c r="J107" i="4"/>
  <c r="K103" i="4"/>
  <c r="Q106" i="4"/>
  <c r="O107" i="4"/>
  <c r="Y109" i="4"/>
  <c r="O109" i="4"/>
  <c r="N105" i="4"/>
  <c r="I80" i="4"/>
  <c r="I77" i="4"/>
  <c r="W80" i="4"/>
  <c r="N81" i="4"/>
  <c r="G106" i="4"/>
  <c r="X106" i="4"/>
  <c r="W93" i="4"/>
  <c r="F98" i="4"/>
  <c r="Q81" i="4"/>
  <c r="L91" i="4"/>
  <c r="Q110" i="4"/>
  <c r="F89" i="4"/>
  <c r="E77" i="4"/>
  <c r="S101" i="4"/>
  <c r="W77" i="4"/>
  <c r="Q92" i="4"/>
  <c r="F85" i="4"/>
  <c r="G98" i="4"/>
  <c r="I93" i="4"/>
  <c r="J76" i="4"/>
  <c r="I88" i="4"/>
  <c r="V106" i="4"/>
  <c r="V110" i="4"/>
  <c r="H109" i="4"/>
  <c r="U110" i="4"/>
  <c r="F81" i="4"/>
  <c r="Q72" i="4"/>
  <c r="K91" i="4"/>
  <c r="H77" i="4"/>
  <c r="J84" i="4"/>
  <c r="O98" i="4"/>
  <c r="V91" i="4"/>
  <c r="P108" i="4"/>
  <c r="V108" i="4"/>
  <c r="W104" i="4"/>
  <c r="H81" i="4"/>
  <c r="H99" i="4"/>
  <c r="O85" i="4"/>
  <c r="T101" i="4"/>
  <c r="U106" i="4"/>
  <c r="N80" i="4"/>
  <c r="M79" i="4"/>
  <c r="Q76" i="4"/>
  <c r="I110" i="4"/>
  <c r="J110" i="4"/>
  <c r="F105" i="4"/>
  <c r="M75" i="4"/>
  <c r="R85" i="4"/>
  <c r="E101" i="4"/>
  <c r="R93" i="4"/>
  <c r="Y75" i="4"/>
  <c r="R109" i="4"/>
  <c r="N84" i="4"/>
  <c r="F110" i="4"/>
  <c r="O81" i="4"/>
  <c r="P78" i="4"/>
  <c r="P89" i="4"/>
  <c r="G71" i="4"/>
  <c r="I71" i="4"/>
  <c r="Y83" i="4"/>
  <c r="L85" i="4"/>
  <c r="P81" i="4"/>
  <c r="V81" i="4"/>
  <c r="P86" i="4"/>
  <c r="V76" i="4"/>
  <c r="U105" i="4"/>
  <c r="L83" i="4"/>
  <c r="T83" i="4"/>
  <c r="I79" i="4"/>
  <c r="V71" i="4"/>
  <c r="K84" i="4"/>
  <c r="R99" i="4"/>
  <c r="J89" i="4"/>
  <c r="G105" i="4"/>
  <c r="X89" i="4"/>
  <c r="H93" i="4"/>
  <c r="O89" i="4"/>
  <c r="F77" i="4"/>
  <c r="W96" i="4"/>
  <c r="O104" i="4"/>
  <c r="F107" i="4"/>
  <c r="V93" i="4"/>
  <c r="M96" i="4"/>
  <c r="V82" i="4"/>
  <c r="H110" i="4"/>
  <c r="H72" i="4"/>
  <c r="G99" i="4"/>
  <c r="Q84" i="4"/>
  <c r="O82" i="4"/>
  <c r="Y92" i="4"/>
  <c r="O72" i="4"/>
  <c r="O74" i="4"/>
  <c r="V74" i="4"/>
  <c r="M109" i="4"/>
  <c r="K81" i="4"/>
  <c r="O93" i="4"/>
  <c r="W89" i="4"/>
  <c r="M97" i="4"/>
  <c r="P88" i="4"/>
  <c r="U93" i="4"/>
  <c r="N109" i="4"/>
  <c r="M104" i="4"/>
  <c r="H79" i="4"/>
  <c r="L101" i="4"/>
  <c r="Q100" i="4"/>
  <c r="T107" i="4"/>
  <c r="Y78" i="4"/>
  <c r="E79" i="4"/>
  <c r="I72" i="4"/>
  <c r="W75" i="4"/>
  <c r="O110" i="4"/>
  <c r="R92" i="4"/>
  <c r="G100" i="4"/>
  <c r="M88" i="4"/>
  <c r="I106" i="4"/>
  <c r="I92" i="4"/>
  <c r="P110" i="4"/>
  <c r="U83" i="4"/>
  <c r="U91" i="4"/>
  <c r="R80" i="4"/>
  <c r="P74" i="4"/>
  <c r="F96" i="4"/>
  <c r="R89" i="4"/>
  <c r="X110" i="4"/>
  <c r="Q89" i="4"/>
  <c r="K79" i="4"/>
  <c r="W73" i="4"/>
  <c r="H80" i="4"/>
  <c r="H92" i="4"/>
  <c r="H108" i="4"/>
  <c r="P101" i="4"/>
  <c r="Q79" i="4"/>
  <c r="G109" i="4"/>
  <c r="R95" i="4"/>
  <c r="I83" i="4"/>
  <c r="U88" i="4"/>
  <c r="X108" i="4"/>
  <c r="V75" i="4"/>
  <c r="L73" i="4"/>
  <c r="E91" i="4"/>
  <c r="Q95" i="4"/>
  <c r="S83" i="4"/>
  <c r="J75" i="4"/>
  <c r="J85" i="4"/>
  <c r="T109" i="4"/>
  <c r="F90" i="4"/>
  <c r="L80" i="4"/>
  <c r="H85" i="4"/>
  <c r="M84" i="4"/>
  <c r="Y107" i="4"/>
  <c r="Y100" i="4"/>
  <c r="L96" i="4"/>
  <c r="F86" i="4"/>
  <c r="J83" i="4"/>
  <c r="E95" i="4"/>
  <c r="Z95" i="4" s="1"/>
  <c r="Y91" i="4"/>
  <c r="P105" i="4"/>
  <c r="F87" i="4"/>
  <c r="U85" i="4"/>
  <c r="AD83" i="4"/>
  <c r="AE83" i="4" s="1"/>
  <c r="J102" i="4"/>
  <c r="I85" i="4"/>
  <c r="S89" i="4"/>
  <c r="T108" i="4"/>
  <c r="L104" i="4"/>
  <c r="I78" i="4"/>
  <c r="U92" i="4"/>
  <c r="I108" i="4"/>
  <c r="E76" i="4"/>
  <c r="Z76" i="4" s="1"/>
  <c r="J95" i="4"/>
  <c r="T79" i="4"/>
  <c r="S104" i="4"/>
  <c r="AD81" i="4"/>
  <c r="AE81" i="4" s="1"/>
  <c r="AD80" i="4"/>
  <c r="AE80" i="4" s="1"/>
  <c r="W100" i="4"/>
  <c r="X107" i="4"/>
  <c r="I107" i="4"/>
  <c r="V99" i="4"/>
  <c r="Q97" i="4"/>
  <c r="N97" i="4"/>
  <c r="F97" i="4"/>
  <c r="Y96" i="4"/>
  <c r="M93" i="4"/>
  <c r="N73" i="4"/>
  <c r="M86" i="4"/>
  <c r="L84" i="4"/>
  <c r="P99" i="4"/>
  <c r="Q109" i="4"/>
  <c r="X94" i="4"/>
  <c r="X95" i="4"/>
  <c r="T91" i="4"/>
  <c r="N87" i="4"/>
  <c r="V94" i="4"/>
  <c r="M85" i="4"/>
  <c r="W99" i="4"/>
  <c r="Q86" i="4"/>
  <c r="X91" i="4"/>
  <c r="S85" i="4"/>
  <c r="K99" i="4"/>
  <c r="K107" i="4"/>
  <c r="H94" i="4"/>
  <c r="T72" i="4"/>
  <c r="N71" i="4"/>
  <c r="T73" i="4"/>
  <c r="X83" i="4"/>
  <c r="O106" i="4"/>
  <c r="S103" i="4"/>
  <c r="H91" i="4"/>
  <c r="Y85" i="4"/>
  <c r="Y86" i="4"/>
  <c r="N86" i="4"/>
  <c r="M89" i="4"/>
  <c r="G87" i="4"/>
  <c r="Q77" i="4"/>
  <c r="W74" i="4"/>
  <c r="S90" i="4"/>
  <c r="M91" i="4"/>
  <c r="R106" i="4"/>
  <c r="AB112" i="4"/>
  <c r="AB68" i="4" s="1"/>
  <c r="R79" i="4"/>
  <c r="F92" i="4"/>
  <c r="P97" i="4"/>
  <c r="W86" i="4"/>
  <c r="E86" i="4"/>
  <c r="Y99" i="4"/>
  <c r="O79" i="4"/>
  <c r="N92" i="4"/>
  <c r="BI200" i="2"/>
  <c r="BI7" i="2"/>
  <c r="CC196" i="2"/>
  <c r="CC205" i="2"/>
  <c r="CC209" i="2" s="1"/>
  <c r="CC213" i="2" s="1"/>
  <c r="AI220" i="2"/>
  <c r="AI7" i="2"/>
  <c r="AC217" i="2"/>
  <c r="AA217" i="2"/>
  <c r="L217" i="2"/>
  <c r="BX205" i="2"/>
  <c r="BX209" i="2" s="1"/>
  <c r="BX213" i="2" s="1"/>
  <c r="BX221" i="2" s="1"/>
  <c r="BX222" i="2" s="1"/>
  <c r="BX196" i="2"/>
  <c r="BS205" i="2"/>
  <c r="BS209" i="2" s="1"/>
  <c r="BS213" i="2" s="1"/>
  <c r="BS221" i="2" s="1"/>
  <c r="BS222" i="2" s="1"/>
  <c r="BS196" i="2"/>
  <c r="Q217" i="2"/>
  <c r="Q220" i="2"/>
  <c r="Q7" i="2"/>
  <c r="S220" i="2"/>
  <c r="S217" i="2"/>
  <c r="S7" i="2"/>
  <c r="AW191" i="2"/>
  <c r="AR140" i="2"/>
  <c r="AX140" i="2"/>
  <c r="P217" i="2"/>
  <c r="P220" i="2"/>
  <c r="P7" i="2"/>
  <c r="AX143" i="2"/>
  <c r="AR143" i="2"/>
  <c r="AE217" i="2"/>
  <c r="AE220" i="2"/>
  <c r="AE7" i="2"/>
  <c r="AN190" i="2"/>
  <c r="AO17" i="2"/>
  <c r="BD200" i="2"/>
  <c r="BD7" i="2"/>
  <c r="AR138" i="2"/>
  <c r="AX138" i="2"/>
  <c r="AX184" i="2"/>
  <c r="AR184" i="2"/>
  <c r="AX154" i="2"/>
  <c r="AR154" i="2"/>
  <c r="BN200" i="2"/>
  <c r="BN7" i="2"/>
  <c r="AR147" i="2"/>
  <c r="AX147" i="2"/>
  <c r="K217" i="2"/>
  <c r="K220" i="2"/>
  <c r="K7" i="2"/>
  <c r="BO190" i="2"/>
  <c r="BO192" i="2" s="1"/>
  <c r="BP17" i="2"/>
  <c r="AR186" i="2"/>
  <c r="AX186" i="2"/>
  <c r="AR150" i="2"/>
  <c r="AX150" i="2"/>
  <c r="AX177" i="2"/>
  <c r="AR177" i="2"/>
  <c r="AX171" i="2"/>
  <c r="AR171" i="2"/>
  <c r="AR148" i="2"/>
  <c r="AX148" i="2"/>
  <c r="AR149" i="2"/>
  <c r="AX149" i="2"/>
  <c r="AR178" i="2"/>
  <c r="AX178" i="2"/>
  <c r="AX185" i="2"/>
  <c r="AR185" i="2"/>
  <c r="AX170" i="2"/>
  <c r="AR170" i="2"/>
  <c r="AX168" i="2"/>
  <c r="AR168" i="2"/>
  <c r="AR161" i="2"/>
  <c r="AX161" i="2"/>
  <c r="AR163" i="2"/>
  <c r="AX163" i="2"/>
  <c r="AR146" i="2"/>
  <c r="AX146" i="2"/>
  <c r="AX167" i="2"/>
  <c r="AR167" i="2"/>
  <c r="AT192" i="2"/>
  <c r="AT7" i="2" s="1"/>
  <c r="AP8" i="2" s="1"/>
  <c r="AX176" i="2"/>
  <c r="AR176" i="2"/>
  <c r="BB190" i="2"/>
  <c r="BB192" i="2" s="1"/>
  <c r="AX160" i="2"/>
  <c r="AR160" i="2"/>
  <c r="W217" i="2"/>
  <c r="W220" i="2"/>
  <c r="W7" i="2"/>
  <c r="AX136" i="2"/>
  <c r="AR136" i="2"/>
  <c r="AX181" i="2"/>
  <c r="AR181" i="2"/>
  <c r="R220" i="2"/>
  <c r="R217" i="2"/>
  <c r="R7" i="2"/>
  <c r="V217" i="2"/>
  <c r="V220" i="2"/>
  <c r="V7" i="2"/>
  <c r="AX157" i="2"/>
  <c r="AR157" i="2"/>
  <c r="X217" i="2"/>
  <c r="X220" i="2"/>
  <c r="X7" i="2"/>
  <c r="AX142" i="2"/>
  <c r="AR142" i="2"/>
  <c r="Z217" i="2"/>
  <c r="Z220" i="2"/>
  <c r="Z7" i="2"/>
  <c r="AB217" i="2"/>
  <c r="AB220" i="2"/>
  <c r="AB7" i="2"/>
  <c r="AR180" i="2"/>
  <c r="AX180" i="2"/>
  <c r="T220" i="2"/>
  <c r="T217" i="2"/>
  <c r="T7" i="2"/>
  <c r="AX174" i="2"/>
  <c r="AR174" i="2"/>
  <c r="AR169" i="2"/>
  <c r="AX169" i="2"/>
  <c r="AZ190" i="2"/>
  <c r="AZ192" i="2" s="1"/>
  <c r="AX139" i="2"/>
  <c r="AR139" i="2"/>
  <c r="AJ192" i="2"/>
  <c r="AJ7" i="2" s="1"/>
  <c r="U217" i="2"/>
  <c r="U220" i="2"/>
  <c r="U7" i="2"/>
  <c r="AR175" i="2"/>
  <c r="AX175" i="2"/>
  <c r="AX137" i="2"/>
  <c r="AR137" i="2"/>
  <c r="AX144" i="2"/>
  <c r="AR144" i="2"/>
  <c r="Y217" i="2"/>
  <c r="Y220" i="2"/>
  <c r="Y7" i="2"/>
  <c r="N217" i="2"/>
  <c r="N220" i="2"/>
  <c r="N7" i="2"/>
  <c r="AR187" i="2"/>
  <c r="AX187" i="2"/>
  <c r="AX165" i="2"/>
  <c r="AR165" i="2"/>
  <c r="AR151" i="2"/>
  <c r="AX151" i="2"/>
  <c r="AR159" i="2"/>
  <c r="AX159" i="2"/>
  <c r="BY19" i="2"/>
  <c r="BZ19" i="2" s="1"/>
  <c r="CA19" i="2" s="1"/>
  <c r="AX19" i="2"/>
  <c r="CD19" i="2"/>
  <c r="CE19" i="2" s="1"/>
  <c r="CF19" i="2" s="1"/>
  <c r="AR19" i="2"/>
  <c r="BT19" i="2"/>
  <c r="BU19" i="2" s="1"/>
  <c r="BV19" i="2" s="1"/>
  <c r="M217" i="2"/>
  <c r="M220" i="2"/>
  <c r="M7" i="2"/>
  <c r="AR18" i="2"/>
  <c r="BY18" i="2"/>
  <c r="BZ18" i="2" s="1"/>
  <c r="CA18" i="2" s="1"/>
  <c r="BT18" i="2"/>
  <c r="BU18" i="2" s="1"/>
  <c r="BV18" i="2" s="1"/>
  <c r="CD18" i="2"/>
  <c r="CE18" i="2" s="1"/>
  <c r="CF18" i="2" s="1"/>
  <c r="AX18" i="2"/>
  <c r="BA190" i="2"/>
  <c r="BA192" i="2" s="1"/>
  <c r="AR152" i="2"/>
  <c r="AX152" i="2"/>
  <c r="AX162" i="2"/>
  <c r="AR162" i="2"/>
  <c r="AR172" i="2"/>
  <c r="AX172" i="2"/>
  <c r="AR135" i="2"/>
  <c r="AX135" i="2"/>
  <c r="AM191" i="2"/>
  <c r="AM192" i="2" s="1"/>
  <c r="AN133" i="2"/>
  <c r="AX155" i="2"/>
  <c r="AR155" i="2"/>
  <c r="AR134" i="2"/>
  <c r="AX134" i="2"/>
  <c r="AD217" i="2"/>
  <c r="AD220" i="2"/>
  <c r="AD7" i="2"/>
  <c r="AR153" i="2"/>
  <c r="AX153" i="2"/>
  <c r="BE190" i="2"/>
  <c r="BE192" i="2" s="1"/>
  <c r="BF17" i="2"/>
  <c r="O217" i="2"/>
  <c r="O220" i="2"/>
  <c r="O7" i="2"/>
  <c r="AX183" i="2"/>
  <c r="AR183" i="2"/>
  <c r="AR145" i="2"/>
  <c r="AX145" i="2"/>
  <c r="AW190" i="2"/>
  <c r="AW192" i="2"/>
  <c r="AR164" i="2"/>
  <c r="AX164" i="2"/>
  <c r="AX173" i="2"/>
  <c r="AR173" i="2"/>
  <c r="AX141" i="2"/>
  <c r="AR141" i="2"/>
  <c r="AR166" i="2"/>
  <c r="AX166" i="2"/>
  <c r="AX182" i="2"/>
  <c r="AR182" i="2"/>
  <c r="BJ190" i="2"/>
  <c r="BJ192" i="2" s="1"/>
  <c r="BK17" i="2"/>
  <c r="AX179" i="2"/>
  <c r="AR179" i="2"/>
  <c r="AX156" i="2"/>
  <c r="AR156" i="2"/>
  <c r="BT20" i="2"/>
  <c r="BU20" i="2" s="1"/>
  <c r="BV20" i="2" s="1"/>
  <c r="CD20" i="2"/>
  <c r="CE20" i="2" s="1"/>
  <c r="CF20" i="2" s="1"/>
  <c r="AX20" i="2"/>
  <c r="BY20" i="2"/>
  <c r="BZ20" i="2" s="1"/>
  <c r="CA20" i="2" s="1"/>
  <c r="AR20" i="2"/>
  <c r="AL192" i="2"/>
  <c r="AR158" i="2"/>
  <c r="AX158" i="2"/>
  <c r="BX10" i="6" l="1"/>
  <c r="Z84" i="4"/>
  <c r="R112" i="4"/>
  <c r="R68" i="4" s="1"/>
  <c r="Z99" i="4"/>
  <c r="Z78" i="4"/>
  <c r="Z98" i="4"/>
  <c r="Z93" i="4"/>
  <c r="F112" i="4"/>
  <c r="F68" i="4" s="1"/>
  <c r="Z96" i="4"/>
  <c r="Z83" i="4"/>
  <c r="Z107" i="4"/>
  <c r="Z77" i="4"/>
  <c r="U112" i="4"/>
  <c r="U68" i="4" s="1"/>
  <c r="Z94" i="4"/>
  <c r="Z109" i="4"/>
  <c r="Z105" i="4"/>
  <c r="M112" i="4"/>
  <c r="M68" i="4" s="1"/>
  <c r="Z71" i="4"/>
  <c r="E112" i="4"/>
  <c r="E68" i="4" s="1"/>
  <c r="Z91" i="4"/>
  <c r="S112" i="4"/>
  <c r="S68" i="4" s="1"/>
  <c r="P112" i="4"/>
  <c r="P68" i="4" s="1"/>
  <c r="Z90" i="4"/>
  <c r="Q112" i="4"/>
  <c r="Q68" i="4" s="1"/>
  <c r="J112" i="4"/>
  <c r="J68" i="4" s="1"/>
  <c r="H112" i="4"/>
  <c r="H68" i="4" s="1"/>
  <c r="G112" i="4"/>
  <c r="G68" i="4" s="1"/>
  <c r="N112" i="4"/>
  <c r="N68" i="4" s="1"/>
  <c r="Z79" i="4"/>
  <c r="W112" i="4"/>
  <c r="W68" i="4" s="1"/>
  <c r="Z103" i="4"/>
  <c r="Z75" i="4"/>
  <c r="Z104" i="4"/>
  <c r="Z80" i="4"/>
  <c r="V112" i="4"/>
  <c r="V68" i="4" s="1"/>
  <c r="K112" i="4"/>
  <c r="K68" i="4" s="1"/>
  <c r="O112" i="4"/>
  <c r="O68" i="4" s="1"/>
  <c r="Z106" i="4"/>
  <c r="Z87" i="4"/>
  <c r="T112" i="4"/>
  <c r="T68" i="4" s="1"/>
  <c r="X112" i="4"/>
  <c r="X68" i="4" s="1"/>
  <c r="Z88" i="4"/>
  <c r="Z82" i="4"/>
  <c r="Z101" i="4"/>
  <c r="Z108" i="4"/>
  <c r="Z72" i="4"/>
  <c r="Z73" i="4"/>
  <c r="Z85" i="4"/>
  <c r="Z100" i="4"/>
  <c r="Z89" i="4"/>
  <c r="Z86" i="4"/>
  <c r="L112" i="4"/>
  <c r="L68" i="4" s="1"/>
  <c r="Z97" i="4"/>
  <c r="Z92" i="4"/>
  <c r="AD112" i="4"/>
  <c r="AD68" i="4" s="1"/>
  <c r="AE71" i="4"/>
  <c r="AE112" i="4" s="1"/>
  <c r="AE68" i="4" s="1"/>
  <c r="I112" i="4"/>
  <c r="I68" i="4" s="1"/>
  <c r="Z102" i="4"/>
  <c r="Z110" i="4"/>
  <c r="Z81" i="4"/>
  <c r="Z74" i="4"/>
  <c r="Y112" i="4"/>
  <c r="Y68" i="4" s="1"/>
  <c r="AM219" i="2"/>
  <c r="AM7" i="2"/>
  <c r="BF190" i="2"/>
  <c r="BG17" i="2"/>
  <c r="BE196" i="2"/>
  <c r="BE198" i="2"/>
  <c r="BF198" i="2" s="1"/>
  <c r="BG198" i="2" s="1"/>
  <c r="BS200" i="2"/>
  <c r="BS203" i="2"/>
  <c r="BS7" i="2"/>
  <c r="AZ198" i="2"/>
  <c r="AZ196" i="2"/>
  <c r="AZ200" i="2" s="1"/>
  <c r="AZ7" i="2"/>
  <c r="BB196" i="2"/>
  <c r="BB200" i="2" s="1"/>
  <c r="BB198" i="2"/>
  <c r="BB7" i="2"/>
  <c r="BJ196" i="2"/>
  <c r="BJ198" i="2"/>
  <c r="BK198" i="2" s="1"/>
  <c r="BL198" i="2" s="1"/>
  <c r="BP190" i="2"/>
  <c r="BQ17" i="2"/>
  <c r="BO196" i="2"/>
  <c r="BO198" i="2"/>
  <c r="BP198" i="2" s="1"/>
  <c r="BQ198" i="2" s="1"/>
  <c r="AE224" i="2"/>
  <c r="Q224" i="2"/>
  <c r="AD224" i="2"/>
  <c r="P224" i="2"/>
  <c r="AC224" i="2"/>
  <c r="O224" i="2"/>
  <c r="AB224" i="2"/>
  <c r="N224" i="2"/>
  <c r="AA224" i="2"/>
  <c r="M224" i="2"/>
  <c r="Z224" i="2"/>
  <c r="L224" i="2"/>
  <c r="Y224" i="2"/>
  <c r="K224" i="2"/>
  <c r="X224" i="2"/>
  <c r="W224" i="2"/>
  <c r="V224" i="2"/>
  <c r="U224" i="2"/>
  <c r="T224" i="2"/>
  <c r="S224" i="2"/>
  <c r="R224" i="2"/>
  <c r="BD221" i="2"/>
  <c r="BD222" i="2" s="1"/>
  <c r="AW196" i="2"/>
  <c r="AW205" i="2"/>
  <c r="AW209" i="2" s="1"/>
  <c r="AW219" i="2"/>
  <c r="AW7" i="2"/>
  <c r="AL219" i="2"/>
  <c r="AL7" i="2"/>
  <c r="AO190" i="2"/>
  <c r="CD17" i="2"/>
  <c r="AR17" i="2"/>
  <c r="AX17" i="2"/>
  <c r="BT17" i="2"/>
  <c r="BY17" i="2"/>
  <c r="AQ17" i="2"/>
  <c r="S218" i="2"/>
  <c r="BK190" i="2"/>
  <c r="BL17" i="2"/>
  <c r="AN191" i="2"/>
  <c r="AO133" i="2"/>
  <c r="AI217" i="2"/>
  <c r="T218" i="2" s="1"/>
  <c r="AN192" i="2"/>
  <c r="CC200" i="2"/>
  <c r="CC203" i="2"/>
  <c r="CC7" i="2"/>
  <c r="BX200" i="2"/>
  <c r="BX203" i="2"/>
  <c r="BX7" i="2"/>
  <c r="N218" i="2"/>
  <c r="BA196" i="2"/>
  <c r="BA198" i="2"/>
  <c r="BA7" i="2"/>
  <c r="BI221" i="2"/>
  <c r="BI222" i="2" s="1"/>
  <c r="BY10" i="6" l="1"/>
  <c r="BZ10" i="6" s="1"/>
  <c r="Z68" i="4"/>
  <c r="B15" i="4" s="1"/>
  <c r="Z112" i="4"/>
  <c r="C8" i="4" s="1"/>
  <c r="BJ200" i="2"/>
  <c r="BJ7" i="2"/>
  <c r="BY190" i="2"/>
  <c r="BY192" i="2" s="1"/>
  <c r="BZ17" i="2"/>
  <c r="BT190" i="2"/>
  <c r="BT192" i="2" s="1"/>
  <c r="BU17" i="2"/>
  <c r="AZ221" i="2"/>
  <c r="CD190" i="2"/>
  <c r="CD192" i="2" s="1"/>
  <c r="CE17" i="2"/>
  <c r="M218" i="2"/>
  <c r="AN219" i="2"/>
  <c r="AN7" i="2"/>
  <c r="AR190" i="2"/>
  <c r="AQ190" i="2"/>
  <c r="L218" i="2"/>
  <c r="AL8" i="2"/>
  <c r="AL9" i="2"/>
  <c r="P218" i="2"/>
  <c r="BE200" i="2"/>
  <c r="BE221" i="2" s="1"/>
  <c r="BE7" i="2"/>
  <c r="O218" i="2"/>
  <c r="K218" i="2"/>
  <c r="R218" i="2"/>
  <c r="Q218" i="2"/>
  <c r="AO191" i="2"/>
  <c r="AR191" i="2" s="1"/>
  <c r="AR133" i="2"/>
  <c r="AX133" i="2"/>
  <c r="AX191" i="2" s="1"/>
  <c r="BO200" i="2"/>
  <c r="BO7" i="2"/>
  <c r="BF192" i="2"/>
  <c r="BG190" i="2"/>
  <c r="BP192" i="2"/>
  <c r="BQ190" i="2"/>
  <c r="AM8" i="2"/>
  <c r="AM9" i="2" s="1"/>
  <c r="AX190" i="2"/>
  <c r="BA200" i="2"/>
  <c r="BA221" i="2" s="1"/>
  <c r="BA222" i="2" s="1"/>
  <c r="BK192" i="2"/>
  <c r="BL190" i="2"/>
  <c r="CA10" i="6" l="1"/>
  <c r="CB10" i="6" s="1"/>
  <c r="AO192" i="2"/>
  <c r="AX192" i="2"/>
  <c r="AI218" i="2"/>
  <c r="CE190" i="2"/>
  <c r="CF17" i="2"/>
  <c r="CD200" i="2"/>
  <c r="CD205" i="2"/>
  <c r="CD207" i="2" s="1"/>
  <c r="CE207" i="2" s="1"/>
  <c r="CF207" i="2" s="1"/>
  <c r="BY222" i="2"/>
  <c r="BT222" i="2"/>
  <c r="AZ222" i="2"/>
  <c r="BE222" i="2"/>
  <c r="BU190" i="2"/>
  <c r="BV17" i="2"/>
  <c r="BT200" i="2"/>
  <c r="BT205" i="2"/>
  <c r="BT207" i="2" s="1"/>
  <c r="BP196" i="2"/>
  <c r="BQ192" i="2"/>
  <c r="BZ190" i="2"/>
  <c r="CA17" i="2"/>
  <c r="BL192" i="2"/>
  <c r="BK196" i="2"/>
  <c r="BG192" i="2"/>
  <c r="BF196" i="2"/>
  <c r="BY200" i="2"/>
  <c r="BY205" i="2"/>
  <c r="BY207" i="2" s="1"/>
  <c r="BZ207" i="2" s="1"/>
  <c r="CA207" i="2" s="1"/>
  <c r="AP174" i="2"/>
  <c r="AP160" i="2"/>
  <c r="AP182" i="2"/>
  <c r="AP168" i="2"/>
  <c r="AP180" i="2"/>
  <c r="AP166" i="2"/>
  <c r="AP152" i="2"/>
  <c r="AP178" i="2"/>
  <c r="AP164" i="2"/>
  <c r="AP177" i="2"/>
  <c r="AP163" i="2"/>
  <c r="AP185" i="2"/>
  <c r="AP175" i="2"/>
  <c r="AP158" i="2"/>
  <c r="AP136" i="2"/>
  <c r="AP120" i="2"/>
  <c r="AP135" i="2"/>
  <c r="AP119" i="2"/>
  <c r="AP172" i="2"/>
  <c r="AP159" i="2"/>
  <c r="AP149" i="2"/>
  <c r="AP134" i="2"/>
  <c r="AP169" i="2"/>
  <c r="AP162" i="2"/>
  <c r="AP151" i="2"/>
  <c r="AP150" i="2"/>
  <c r="AP148" i="2"/>
  <c r="AP147" i="2"/>
  <c r="AP133" i="2"/>
  <c r="AP183" i="2"/>
  <c r="AP176" i="2"/>
  <c r="AP165" i="2"/>
  <c r="AP171" i="2"/>
  <c r="AP141" i="2"/>
  <c r="AP137" i="2"/>
  <c r="AP130" i="2"/>
  <c r="AP126" i="2"/>
  <c r="AP103" i="2"/>
  <c r="AP156" i="2"/>
  <c r="AP146" i="2"/>
  <c r="AP142" i="2"/>
  <c r="AP187" i="2"/>
  <c r="AP173" i="2"/>
  <c r="AP101" i="2"/>
  <c r="AP179" i="2"/>
  <c r="AP154" i="2"/>
  <c r="AP127" i="2"/>
  <c r="AP100" i="2"/>
  <c r="AP144" i="2"/>
  <c r="AP153" i="2"/>
  <c r="AP116" i="2"/>
  <c r="AP138" i="2"/>
  <c r="AP111" i="2"/>
  <c r="AP87" i="2"/>
  <c r="AP155" i="2"/>
  <c r="AP122" i="2"/>
  <c r="AP112" i="2"/>
  <c r="AP105" i="2"/>
  <c r="AP91" i="2"/>
  <c r="AP90" i="2"/>
  <c r="AP89" i="2"/>
  <c r="AP88" i="2"/>
  <c r="AP86" i="2"/>
  <c r="AP72" i="2"/>
  <c r="AP140" i="2"/>
  <c r="AP128" i="2"/>
  <c r="AP124" i="2"/>
  <c r="AP92" i="2"/>
  <c r="AP85" i="2"/>
  <c r="AP186" i="2"/>
  <c r="AP170" i="2"/>
  <c r="AP161" i="2"/>
  <c r="AP108" i="2"/>
  <c r="AP145" i="2"/>
  <c r="AP104" i="2"/>
  <c r="AP82" i="2"/>
  <c r="AP45" i="2"/>
  <c r="AP31" i="2"/>
  <c r="AP129" i="2"/>
  <c r="AP123" i="2"/>
  <c r="AP106" i="2"/>
  <c r="AP69" i="2"/>
  <c r="AP54" i="2"/>
  <c r="AP110" i="2"/>
  <c r="AP99" i="2"/>
  <c r="AP71" i="2"/>
  <c r="AP70" i="2"/>
  <c r="AP68" i="2"/>
  <c r="AP67" i="2"/>
  <c r="AP49" i="2"/>
  <c r="AP143" i="2"/>
  <c r="AP83" i="2"/>
  <c r="AP66" i="2"/>
  <c r="AP114" i="2"/>
  <c r="AP157" i="2"/>
  <c r="AP139" i="2"/>
  <c r="AP62" i="2"/>
  <c r="AP52" i="2"/>
  <c r="AP73" i="2"/>
  <c r="AP59" i="2"/>
  <c r="AP48" i="2"/>
  <c r="AP47" i="2"/>
  <c r="AP44" i="2"/>
  <c r="AP107" i="2"/>
  <c r="AP80" i="2"/>
  <c r="AP65" i="2"/>
  <c r="AP46" i="2"/>
  <c r="AP37" i="2"/>
  <c r="AP28" i="2"/>
  <c r="AP23" i="2"/>
  <c r="AP118" i="2"/>
  <c r="AP60" i="2"/>
  <c r="AP43" i="2"/>
  <c r="AP36" i="2"/>
  <c r="AP18" i="2"/>
  <c r="AP97" i="2"/>
  <c r="AP84" i="2"/>
  <c r="AP35" i="2"/>
  <c r="AP27" i="2"/>
  <c r="AP125" i="2"/>
  <c r="AP117" i="2"/>
  <c r="AP184" i="2"/>
  <c r="AP121" i="2"/>
  <c r="AP109" i="2"/>
  <c r="AP78" i="2"/>
  <c r="AP74" i="2"/>
  <c r="AP41" i="2"/>
  <c r="AP40" i="2"/>
  <c r="AP33" i="2"/>
  <c r="AP21" i="2"/>
  <c r="AP55" i="2"/>
  <c r="AP50" i="2"/>
  <c r="AP24" i="2"/>
  <c r="AP17" i="2"/>
  <c r="AP77" i="2"/>
  <c r="AP19" i="2"/>
  <c r="AP25" i="2"/>
  <c r="AP30" i="2"/>
  <c r="AP93" i="2"/>
  <c r="AP75" i="2"/>
  <c r="AP81" i="2"/>
  <c r="AP98" i="2"/>
  <c r="AP102" i="2"/>
  <c r="AP63" i="2"/>
  <c r="AP42" i="2"/>
  <c r="AP34" i="2"/>
  <c r="AP56" i="2"/>
  <c r="AP51" i="2"/>
  <c r="AP181" i="2"/>
  <c r="AP29" i="2"/>
  <c r="AP26" i="2"/>
  <c r="AP22" i="2"/>
  <c r="AN9" i="2"/>
  <c r="AP167" i="2"/>
  <c r="AP115" i="2"/>
  <c r="AP38" i="2"/>
  <c r="AP96" i="2"/>
  <c r="AP64" i="2"/>
  <c r="AP61" i="2"/>
  <c r="AP79" i="2"/>
  <c r="AN8" i="2"/>
  <c r="AP53" i="2"/>
  <c r="AP32" i="2"/>
  <c r="AP39" i="2"/>
  <c r="AP113" i="2"/>
  <c r="AP20" i="2"/>
  <c r="AP76" i="2"/>
  <c r="BJ221" i="2"/>
  <c r="BJ222" i="2" s="1"/>
  <c r="CC10" i="6" l="1"/>
  <c r="CD10" i="6" s="1"/>
  <c r="CE10" i="6" s="1"/>
  <c r="AP191" i="2"/>
  <c r="BV190" i="2"/>
  <c r="BU192" i="2"/>
  <c r="BF200" i="2"/>
  <c r="BG196" i="2"/>
  <c r="BG7" i="2" s="1"/>
  <c r="BF7" i="2"/>
  <c r="BL196" i="2"/>
  <c r="BL7" i="2" s="1"/>
  <c r="BK200" i="2"/>
  <c r="BK7" i="2"/>
  <c r="CD198" i="2"/>
  <c r="CE198" i="2" s="1"/>
  <c r="CF198" i="2" s="1"/>
  <c r="BT198" i="2"/>
  <c r="BU198" i="2" s="1"/>
  <c r="BV198" i="2" s="1"/>
  <c r="BT196" i="2"/>
  <c r="BY196" i="2"/>
  <c r="BY198" i="2"/>
  <c r="BZ198" i="2" s="1"/>
  <c r="CA198" i="2" s="1"/>
  <c r="BZ192" i="2"/>
  <c r="CA190" i="2"/>
  <c r="CF190" i="2"/>
  <c r="CE192" i="2"/>
  <c r="AP190" i="2"/>
  <c r="AP192" i="2" s="1"/>
  <c r="AP7" i="2" s="1"/>
  <c r="AP9" i="2" s="1"/>
  <c r="BP200" i="2"/>
  <c r="BQ200" i="2" s="1"/>
  <c r="BQ196" i="2"/>
  <c r="BQ7" i="2" s="1"/>
  <c r="BP7" i="2"/>
  <c r="AX205" i="2"/>
  <c r="AX209" i="2" s="1"/>
  <c r="AX219" i="2"/>
  <c r="AX7" i="2"/>
  <c r="BU207" i="2"/>
  <c r="BV207" i="2" s="1"/>
  <c r="AX207" i="2"/>
  <c r="AR192" i="2"/>
  <c r="AR7" i="2" s="1"/>
  <c r="AO219" i="2"/>
  <c r="AO7" i="2"/>
  <c r="AQ192" i="2"/>
  <c r="AQ7" i="2" s="1"/>
  <c r="CD196" i="2" l="1"/>
  <c r="AO8" i="2"/>
  <c r="AO9" i="2" s="1"/>
  <c r="BG200" i="2"/>
  <c r="BF221" i="2"/>
  <c r="BF222" i="2" s="1"/>
  <c r="BY194" i="2"/>
  <c r="BZ194" i="2" s="1"/>
  <c r="CA194" i="2" s="1"/>
  <c r="BY7" i="2"/>
  <c r="BU205" i="2"/>
  <c r="BV192" i="2"/>
  <c r="BT194" i="2"/>
  <c r="BT7" i="2"/>
  <c r="BK221" i="2"/>
  <c r="BK222" i="2" s="1"/>
  <c r="BL200" i="2"/>
  <c r="CE205" i="2"/>
  <c r="CF192" i="2"/>
  <c r="BZ205" i="2"/>
  <c r="CA192" i="2"/>
  <c r="W223" i="2"/>
  <c r="AA223" i="2"/>
  <c r="AC223" i="2"/>
  <c r="V223" i="2"/>
  <c r="M223" i="2"/>
  <c r="U223" i="2"/>
  <c r="Z223" i="2"/>
  <c r="T223" i="2"/>
  <c r="L223" i="2"/>
  <c r="P223" i="2"/>
  <c r="S223" i="2"/>
  <c r="R223" i="2"/>
  <c r="AE223" i="2"/>
  <c r="Q223" i="2"/>
  <c r="AD223" i="2"/>
  <c r="Y223" i="2"/>
  <c r="O223" i="2"/>
  <c r="K223" i="2"/>
  <c r="AB223" i="2"/>
  <c r="X223" i="2"/>
  <c r="N223" i="2"/>
  <c r="BU194" i="2" l="1"/>
  <c r="AX194" i="2"/>
  <c r="AX196" i="2" s="1"/>
  <c r="BZ196" i="2"/>
  <c r="BV205" i="2"/>
  <c r="BU209" i="2"/>
  <c r="CA205" i="2"/>
  <c r="BZ209" i="2"/>
  <c r="CE209" i="2"/>
  <c r="CF205" i="2"/>
  <c r="CD194" i="2"/>
  <c r="CE194" i="2" s="1"/>
  <c r="CD7" i="2"/>
  <c r="CF194" i="2" l="1"/>
  <c r="CE196" i="2"/>
  <c r="BZ200" i="2"/>
  <c r="CA200" i="2" s="1"/>
  <c r="BZ203" i="2"/>
  <c r="CA203" i="2" s="1"/>
  <c r="CA196" i="2"/>
  <c r="CA7" i="2" s="1"/>
  <c r="BZ7" i="2"/>
  <c r="CF209" i="2"/>
  <c r="CE213" i="2"/>
  <c r="CF213" i="2" s="1"/>
  <c r="CA209" i="2"/>
  <c r="BZ213" i="2"/>
  <c r="BU213" i="2"/>
  <c r="BV209" i="2"/>
  <c r="BV194" i="2"/>
  <c r="BU196" i="2"/>
  <c r="BZ221" i="2" l="1"/>
  <c r="BZ222" i="2" s="1"/>
  <c r="CA213" i="2"/>
  <c r="BU200" i="2"/>
  <c r="BV200" i="2" s="1"/>
  <c r="BU203" i="2"/>
  <c r="BV203" i="2" s="1"/>
  <c r="BV196" i="2"/>
  <c r="BV7" i="2" s="1"/>
  <c r="BU7" i="2"/>
  <c r="BV213" i="2"/>
  <c r="BU221" i="2"/>
  <c r="BU222" i="2" s="1"/>
  <c r="CF196" i="2"/>
  <c r="CF7" i="2" s="1"/>
  <c r="CE200" i="2"/>
  <c r="CF200" i="2" s="1"/>
  <c r="CE203" i="2"/>
  <c r="CF203" i="2" s="1"/>
  <c r="CE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Jerry Cohen</author>
  </authors>
  <commentList>
    <comment ref="B16" authorId="0" shapeId="0" xr:uid="{303C3E36-FEBD-5F4A-BCEA-05A2A20D6E69}">
      <text>
        <r>
          <rPr>
            <sz val="11"/>
            <color indexed="81"/>
            <rFont val="Aptos Narrow"/>
            <family val="2"/>
            <scheme val="minor"/>
          </rPr>
          <t>Enter additional entities on new rows or aggregate for multiple entities and/or multiple states 
as preferred</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<sst xmlns="http://schemas.openxmlformats.org/spreadsheetml/2006/main" count="1166" uniqueCount="466">
  <si>
    <t>Latest Update: 01/27/26</t>
  </si>
  <si>
    <t>QuickStart Guide</t>
  </si>
  <si>
    <t>INPUT FIELD</t>
  </si>
  <si>
    <t>Pricing and Scoping FAQs</t>
  </si>
  <si>
    <t>Enter Project/Client Information:</t>
  </si>
  <si>
    <t>Notes:</t>
  </si>
  <si>
    <r>
      <t xml:space="preserve">Enter </t>
    </r>
    <r>
      <rPr>
        <b/>
        <sz val="12"/>
        <color theme="1"/>
        <rFont val="Aptos"/>
        <family val="2"/>
      </rPr>
      <t>Project</t>
    </r>
    <r>
      <rPr>
        <sz val="12"/>
        <color theme="1"/>
        <rFont val="Aptos Narrow"/>
        <family val="2"/>
        <scheme val="minor"/>
      </rPr>
      <t xml:space="preserve"> or </t>
    </r>
    <r>
      <rPr>
        <b/>
        <sz val="12"/>
        <color theme="1"/>
        <rFont val="Aptos"/>
        <family val="2"/>
      </rPr>
      <t>Client</t>
    </r>
    <r>
      <rPr>
        <sz val="12"/>
        <color theme="1"/>
        <rFont val="Aptos Narrow"/>
        <family val="2"/>
        <scheme val="minor"/>
      </rPr>
      <t xml:space="preserve"> Name</t>
    </r>
  </si>
  <si>
    <t>Ted Black Tax Return</t>
  </si>
  <si>
    <r>
      <t xml:space="preserve">Pricing can be at the </t>
    </r>
    <r>
      <rPr>
        <b/>
        <sz val="11"/>
        <color theme="1"/>
        <rFont val="Aptos"/>
        <family val="2"/>
      </rPr>
      <t>Project</t>
    </r>
    <r>
      <rPr>
        <sz val="11"/>
        <color theme="1"/>
        <rFont val="Aptos"/>
        <family val="2"/>
      </rPr>
      <t xml:space="preserve"> level or in aggregate for a </t>
    </r>
    <r>
      <rPr>
        <b/>
        <sz val="11"/>
        <color theme="1"/>
        <rFont val="Aptos"/>
        <family val="2"/>
      </rPr>
      <t>Parent Customer</t>
    </r>
    <r>
      <rPr>
        <sz val="11"/>
        <color theme="1"/>
        <rFont val="Aptos"/>
        <family val="2"/>
      </rPr>
      <t>. Pricing for Projects requires Entity allocations.</t>
    </r>
  </si>
  <si>
    <r>
      <t xml:space="preserve">Enter </t>
    </r>
    <r>
      <rPr>
        <b/>
        <sz val="12"/>
        <color theme="1"/>
        <rFont val="Aptos"/>
        <family val="2"/>
      </rPr>
      <t>Service Line</t>
    </r>
  </si>
  <si>
    <t>PHB</t>
  </si>
  <si>
    <t xml:space="preserve"> </t>
  </si>
  <si>
    <r>
      <t xml:space="preserve">View Comparison Project </t>
    </r>
    <r>
      <rPr>
        <b/>
        <sz val="12"/>
        <color theme="1"/>
        <rFont val="Aptos"/>
        <family val="2"/>
      </rPr>
      <t>Yes</t>
    </r>
    <r>
      <rPr>
        <sz val="12"/>
        <color theme="1"/>
        <rFont val="Aptos Narrow"/>
        <family val="2"/>
        <scheme val="minor"/>
      </rPr>
      <t xml:space="preserve"> or </t>
    </r>
    <r>
      <rPr>
        <b/>
        <sz val="12"/>
        <color theme="1"/>
        <rFont val="Aptos"/>
        <family val="2"/>
      </rPr>
      <t>No</t>
    </r>
  </si>
  <si>
    <t>No</t>
  </si>
  <si>
    <r>
      <t>See</t>
    </r>
    <r>
      <rPr>
        <b/>
        <sz val="11"/>
        <color theme="1"/>
        <rFont val="Aptos"/>
        <family val="2"/>
      </rPr>
      <t xml:space="preserve"> Import Instructions</t>
    </r>
    <r>
      <rPr>
        <sz val="11"/>
        <color theme="1"/>
        <rFont val="Aptos"/>
        <family val="2"/>
      </rPr>
      <t xml:space="preserve"> for </t>
    </r>
    <r>
      <rPr>
        <u/>
        <sz val="11"/>
        <color theme="1"/>
        <rFont val="Aptos"/>
        <family val="2"/>
      </rPr>
      <t>optional</t>
    </r>
    <r>
      <rPr>
        <sz val="11"/>
        <color theme="1"/>
        <rFont val="Aptos"/>
        <family val="2"/>
      </rPr>
      <t xml:space="preserve"> import of Comparison Project History</t>
    </r>
  </si>
  <si>
    <r>
      <t xml:space="preserve">Apply </t>
    </r>
    <r>
      <rPr>
        <b/>
        <sz val="12"/>
        <color theme="1"/>
        <rFont val="Aptos"/>
        <family val="2"/>
      </rPr>
      <t>Rates</t>
    </r>
  </si>
  <si>
    <t>Select 2026 for projects that begin after January 1st, 2026</t>
  </si>
  <si>
    <r>
      <t xml:space="preserve">Enter Project </t>
    </r>
    <r>
      <rPr>
        <b/>
        <sz val="12"/>
        <color theme="1"/>
        <rFont val="Aptos"/>
        <family val="2"/>
      </rPr>
      <t>Start Date</t>
    </r>
  </si>
  <si>
    <r>
      <t xml:space="preserve">Start and End Dates impact Average Hours/Week calculation but are </t>
    </r>
    <r>
      <rPr>
        <u/>
        <sz val="11"/>
        <color theme="1"/>
        <rFont val="Aptos"/>
        <family val="2"/>
      </rPr>
      <t>non-essential</t>
    </r>
  </si>
  <si>
    <r>
      <t xml:space="preserve">Enter Project </t>
    </r>
    <r>
      <rPr>
        <b/>
        <sz val="12"/>
        <color theme="1"/>
        <rFont val="Aptos"/>
        <family val="2"/>
      </rPr>
      <t>End Date</t>
    </r>
  </si>
  <si>
    <r>
      <rPr>
        <b/>
        <sz val="12"/>
        <color theme="1"/>
        <rFont val="Aptos"/>
        <family val="2"/>
      </rPr>
      <t>Enter</t>
    </r>
    <r>
      <rPr>
        <sz val="12"/>
        <color theme="1"/>
        <rFont val="Aptos Narrow"/>
        <family val="2"/>
        <scheme val="minor"/>
      </rPr>
      <t xml:space="preserve"> Duration (Weeks)</t>
    </r>
  </si>
  <si>
    <r>
      <t xml:space="preserve">Duration impacts Average Hours/Week calculations but is </t>
    </r>
    <r>
      <rPr>
        <u/>
        <sz val="11"/>
        <color theme="1"/>
        <rFont val="Aptos"/>
        <family val="2"/>
      </rPr>
      <t>non-essential</t>
    </r>
  </si>
  <si>
    <r>
      <t xml:space="preserve">Offshoring is Acceptable - </t>
    </r>
    <r>
      <rPr>
        <b/>
        <sz val="12"/>
        <color theme="1"/>
        <rFont val="Aptos"/>
        <family val="2"/>
      </rPr>
      <t>7216</t>
    </r>
    <r>
      <rPr>
        <sz val="12"/>
        <color theme="1"/>
        <rFont val="Aptos Narrow"/>
        <family val="2"/>
        <scheme val="minor"/>
      </rPr>
      <t xml:space="preserve"> (Individual Returns only)</t>
    </r>
  </si>
  <si>
    <t>Yes</t>
  </si>
  <si>
    <r>
      <t xml:space="preserve">Individual Returns require a completed </t>
    </r>
    <r>
      <rPr>
        <b/>
        <sz val="11"/>
        <color theme="1"/>
        <rFont val="Aptos"/>
        <family val="2"/>
      </rPr>
      <t>Form 7216</t>
    </r>
    <r>
      <rPr>
        <sz val="11"/>
        <color theme="1"/>
        <rFont val="Aptos"/>
        <family val="2"/>
      </rPr>
      <t xml:space="preserve"> to allow Outsourcing</t>
    </r>
  </si>
  <si>
    <r>
      <t xml:space="preserve">Offshoring is Available/Client Acceptable - </t>
    </r>
    <r>
      <rPr>
        <b/>
        <sz val="12"/>
        <color theme="1"/>
        <rFont val="Aptos"/>
        <family val="2"/>
      </rPr>
      <t>Yes</t>
    </r>
    <r>
      <rPr>
        <sz val="12"/>
        <color theme="1"/>
        <rFont val="Aptos Narrow"/>
        <family val="2"/>
        <scheme val="minor"/>
      </rPr>
      <t xml:space="preserve"> or </t>
    </r>
    <r>
      <rPr>
        <b/>
        <sz val="12"/>
        <color theme="1"/>
        <rFont val="Aptos"/>
        <family val="2"/>
      </rPr>
      <t>No</t>
    </r>
  </si>
  <si>
    <r>
      <t xml:space="preserve">Check with </t>
    </r>
    <r>
      <rPr>
        <b/>
        <sz val="11"/>
        <color theme="1"/>
        <rFont val="Aptos"/>
        <family val="2"/>
      </rPr>
      <t>Resource Planning</t>
    </r>
    <r>
      <rPr>
        <sz val="11"/>
        <color theme="1"/>
        <rFont val="Aptos"/>
        <family val="2"/>
      </rPr>
      <t xml:space="preserve"> to confirm Outsourcing Resources are available. Individual Returns require a completed </t>
    </r>
    <r>
      <rPr>
        <b/>
        <sz val="11"/>
        <color theme="1"/>
        <rFont val="Aptos"/>
        <family val="2"/>
      </rPr>
      <t>Form 7216</t>
    </r>
    <r>
      <rPr>
        <sz val="11"/>
        <color theme="1"/>
        <rFont val="Aptos"/>
        <family val="2"/>
      </rPr>
      <t>.</t>
    </r>
  </si>
  <si>
    <t>T&amp;M Basis</t>
  </si>
  <si>
    <t>National</t>
  </si>
  <si>
    <r>
      <t xml:space="preserve">Choose </t>
    </r>
    <r>
      <rPr>
        <b/>
        <sz val="11"/>
        <color theme="1"/>
        <rFont val="Aptos"/>
        <family val="2"/>
      </rPr>
      <t>National</t>
    </r>
    <r>
      <rPr>
        <sz val="11"/>
        <color theme="1"/>
        <rFont val="Aptos"/>
        <family val="2"/>
      </rPr>
      <t xml:space="preserve"> for Standard Rate or the </t>
    </r>
    <r>
      <rPr>
        <b/>
        <sz val="11"/>
        <color theme="1"/>
        <rFont val="Aptos"/>
        <family val="2"/>
      </rPr>
      <t>GEO</t>
    </r>
  </si>
  <si>
    <r>
      <rPr>
        <sz val="12"/>
        <rFont val="Aptos"/>
        <family val="2"/>
      </rPr>
      <t xml:space="preserve">One-time </t>
    </r>
    <r>
      <rPr>
        <b/>
        <sz val="12"/>
        <color rgb="FF008080"/>
        <rFont val="Aptos"/>
        <family val="2"/>
      </rPr>
      <t>Pricing Adjustments</t>
    </r>
    <r>
      <rPr>
        <sz val="12"/>
        <rFont val="Aptos"/>
        <family val="2"/>
      </rPr>
      <t xml:space="preserve"> to T&amp;M Rates (exc.</t>
    </r>
    <r>
      <rPr>
        <sz val="12"/>
        <color theme="1"/>
        <rFont val="Aptos Narrow"/>
        <family val="2"/>
        <scheme val="minor"/>
      </rPr>
      <t xml:space="preserve"> NOW)</t>
    </r>
  </si>
  <si>
    <r>
      <t xml:space="preserve">Default is 0.0%. Applied to the T&amp;M Rate. See Notes below for </t>
    </r>
    <r>
      <rPr>
        <b/>
        <sz val="11"/>
        <color theme="1"/>
        <rFont val="Aptos"/>
        <family val="2"/>
      </rPr>
      <t>Scoping Adjustment</t>
    </r>
    <r>
      <rPr>
        <sz val="11"/>
        <color theme="1"/>
        <rFont val="Aptos"/>
        <family val="2"/>
      </rPr>
      <t xml:space="preserve"> or enter as a negative percentage to apply a </t>
    </r>
    <r>
      <rPr>
        <b/>
        <sz val="11"/>
        <color theme="1"/>
        <rFont val="Aptos"/>
        <family val="2"/>
      </rPr>
      <t>Discount Rate</t>
    </r>
  </si>
  <si>
    <t>Line Item Rounding</t>
  </si>
  <si>
    <t>Default is $100</t>
  </si>
  <si>
    <t>Fixed Fee Total Price Rounding</t>
  </si>
  <si>
    <t>Default is $1,000</t>
  </si>
  <si>
    <t>Technology &amp; Admin Fee</t>
  </si>
  <si>
    <r>
      <t>7% is standard and</t>
    </r>
    <r>
      <rPr>
        <b/>
        <sz val="11"/>
        <color theme="1"/>
        <rFont val="Aptos"/>
        <family val="2"/>
      </rPr>
      <t xml:space="preserve"> below 7% requires BUOL Written Approval</t>
    </r>
  </si>
  <si>
    <t>Gross Margin Benchmark</t>
  </si>
  <si>
    <t>Enter Entity Names</t>
  </si>
  <si>
    <t>Enter Service Type</t>
  </si>
  <si>
    <t>Comments - note if more than one Service Type per Entity</t>
  </si>
  <si>
    <t>Prorated on Returns</t>
  </si>
  <si>
    <t>A Business</t>
  </si>
  <si>
    <t>Corporation Return</t>
  </si>
  <si>
    <t>B Corp</t>
  </si>
  <si>
    <t>C LLC</t>
  </si>
  <si>
    <t>D Demo Corp</t>
  </si>
  <si>
    <t>View More Entities</t>
  </si>
  <si>
    <t>Notes For Completing This Workbook:</t>
  </si>
  <si>
    <r>
      <rPr>
        <b/>
        <sz val="12"/>
        <rFont val="Aptos"/>
        <family val="2"/>
      </rPr>
      <t>First consider</t>
    </r>
    <r>
      <rPr>
        <b/>
        <sz val="12"/>
        <color rgb="FF008080"/>
        <rFont val="Aptos"/>
        <family val="2"/>
      </rPr>
      <t xml:space="preserve"> </t>
    </r>
    <r>
      <rPr>
        <b/>
        <sz val="14"/>
        <color rgb="FF008080"/>
        <rFont val="Aptos"/>
        <family val="2"/>
      </rPr>
      <t>Value Pricing</t>
    </r>
    <r>
      <rPr>
        <b/>
        <sz val="12"/>
        <color rgb="FF008080"/>
        <rFont val="Aptos"/>
        <family val="2"/>
      </rPr>
      <t>:</t>
    </r>
    <r>
      <rPr>
        <sz val="12"/>
        <rFont val="Aptos"/>
        <family val="2"/>
      </rPr>
      <t xml:space="preserve"> A pricing strategy where the fee is determined based on the perceived value of the outcome to the client, rather than the time or effort it takes to deliver the service. It reflects what the client believes the service is worth, considering factors like potential ROI, the importance of the outcome, our unique expertise, market rates, and available alternatives.</t>
    </r>
    <r>
      <rPr>
        <b/>
        <sz val="12"/>
        <color rgb="FF008080"/>
        <rFont val="Aptos"/>
        <family val="2"/>
      </rPr>
      <t xml:space="preserve">  </t>
    </r>
    <r>
      <rPr>
        <b/>
        <sz val="14"/>
        <color rgb="FF008080"/>
        <rFont val="Aptos"/>
        <family val="2"/>
      </rPr>
      <t>Include the value for automation investment, e.g. K1X aumated Schedlue K1s.</t>
    </r>
  </si>
  <si>
    <r>
      <rPr>
        <b/>
        <sz val="12"/>
        <rFont val="Aptos"/>
        <family val="2"/>
      </rPr>
      <t xml:space="preserve">And enter the Value Pricing as a </t>
    </r>
    <r>
      <rPr>
        <b/>
        <sz val="14"/>
        <color rgb="FF008080"/>
        <rFont val="Aptos"/>
        <family val="2"/>
      </rPr>
      <t>Fixed Fee</t>
    </r>
    <r>
      <rPr>
        <b/>
        <sz val="12"/>
        <color rgb="FF008080"/>
        <rFont val="Aptos"/>
        <family val="2"/>
      </rPr>
      <t>:</t>
    </r>
    <r>
      <rPr>
        <sz val="12"/>
        <rFont val="Aptos"/>
        <family val="2"/>
      </rPr>
      <t xml:space="preserve">  A set price agreed upon in advance for a clearly defined scope of services. The fee does not vary based on time spent or actual costs incurred. While the firm may consider internal costs, resource use, and time estimates to help determine the fee, the client is charged a fixed amount regardless of effort required.</t>
    </r>
  </si>
  <si>
    <r>
      <rPr>
        <b/>
        <sz val="14"/>
        <color rgb="FF008080"/>
        <rFont val="Aptos"/>
        <family val="2"/>
      </rPr>
      <t>T&amp;M Pricing</t>
    </r>
    <r>
      <rPr>
        <b/>
        <sz val="12"/>
        <rFont val="Aptos"/>
        <family val="2"/>
      </rPr>
      <t xml:space="preserve"> </t>
    </r>
    <r>
      <rPr>
        <sz val="12"/>
        <rFont val="Aptos"/>
        <family val="2"/>
      </rPr>
      <t>is still possible, but there should be an overall transition towards Value Pricing and Fixed Fees</t>
    </r>
    <r>
      <rPr>
        <b/>
        <sz val="12"/>
        <rFont val="Aptos"/>
        <family val="2"/>
      </rPr>
      <t>.</t>
    </r>
  </si>
  <si>
    <t>View Notes</t>
  </si>
  <si>
    <t>Notes For Importing Client Renewal History from the DataMart:</t>
  </si>
  <si>
    <t>Open the Project Profitability Dashboard using the following link:</t>
  </si>
  <si>
    <r>
      <t xml:space="preserve">Select </t>
    </r>
    <r>
      <rPr>
        <b/>
        <sz val="12"/>
        <color theme="1"/>
        <rFont val="Aptos"/>
        <family val="2"/>
      </rPr>
      <t>Tax</t>
    </r>
    <r>
      <rPr>
        <sz val="12"/>
        <color theme="1"/>
        <rFont val="Aptos Narrow"/>
        <family val="2"/>
        <scheme val="minor"/>
      </rPr>
      <t xml:space="preserve"> for the </t>
    </r>
    <r>
      <rPr>
        <b/>
        <sz val="12"/>
        <color theme="1"/>
        <rFont val="Aptos"/>
        <family val="2"/>
      </rPr>
      <t>Cost Center</t>
    </r>
    <r>
      <rPr>
        <sz val="12"/>
        <color theme="1"/>
        <rFont val="Aptos Narrow"/>
        <family val="2"/>
        <scheme val="minor"/>
      </rPr>
      <t xml:space="preserve"> filter</t>
    </r>
  </si>
  <si>
    <r>
      <t xml:space="preserve">Select the </t>
    </r>
    <r>
      <rPr>
        <b/>
        <sz val="12"/>
        <color theme="1"/>
        <rFont val="Aptos"/>
        <family val="2"/>
      </rPr>
      <t>Project Delivery Lead</t>
    </r>
  </si>
  <si>
    <r>
      <t xml:space="preserve">Enter the full year </t>
    </r>
    <r>
      <rPr>
        <b/>
        <sz val="12"/>
        <color theme="1"/>
        <rFont val="Aptos"/>
        <family val="2"/>
      </rPr>
      <t>Date</t>
    </r>
    <r>
      <rPr>
        <sz val="12"/>
        <color theme="1"/>
        <rFont val="Aptos Narrow"/>
        <family val="2"/>
        <scheme val="minor"/>
      </rPr>
      <t xml:space="preserve"> range </t>
    </r>
  </si>
  <si>
    <r>
      <t xml:space="preserve">Select the </t>
    </r>
    <r>
      <rPr>
        <b/>
        <sz val="12"/>
        <color theme="1"/>
        <rFont val="Aptos"/>
        <family val="2"/>
      </rPr>
      <t>Parent Customer</t>
    </r>
  </si>
  <si>
    <r>
      <t xml:space="preserve">Choose to drill down further by entering the </t>
    </r>
    <r>
      <rPr>
        <b/>
        <sz val="12"/>
        <color theme="1"/>
        <rFont val="Aptos"/>
        <family val="2"/>
      </rPr>
      <t>Project</t>
    </r>
    <r>
      <rPr>
        <sz val="12"/>
        <color theme="1"/>
        <rFont val="Aptos Narrow"/>
        <family val="2"/>
        <scheme val="minor"/>
      </rPr>
      <t xml:space="preserve"> (optional)</t>
    </r>
  </si>
  <si>
    <r>
      <t>Click the 3 dots (</t>
    </r>
    <r>
      <rPr>
        <b/>
        <sz val="12"/>
        <color theme="1"/>
        <rFont val="Aptos"/>
        <family val="2"/>
      </rPr>
      <t>…</t>
    </r>
    <r>
      <rPr>
        <sz val="12"/>
        <color theme="1"/>
        <rFont val="Aptos Narrow"/>
        <family val="2"/>
        <scheme val="minor"/>
      </rPr>
      <t xml:space="preserve">) on the </t>
    </r>
    <r>
      <rPr>
        <b/>
        <sz val="12"/>
        <color theme="1"/>
        <rFont val="Aptos"/>
        <family val="2"/>
      </rPr>
      <t>Project Profitability - Data Export</t>
    </r>
    <r>
      <rPr>
        <sz val="12"/>
        <color theme="1"/>
        <rFont val="Aptos Narrow"/>
        <family val="2"/>
        <scheme val="minor"/>
      </rPr>
      <t xml:space="preserve"> bar below the filters and select Export data, select </t>
    </r>
    <r>
      <rPr>
        <b/>
        <sz val="12"/>
        <color theme="1"/>
        <rFont val="Aptos"/>
        <family val="2"/>
      </rPr>
      <t>Data with current layout</t>
    </r>
    <r>
      <rPr>
        <sz val="12"/>
        <color theme="1"/>
        <rFont val="Aptos Narrow"/>
        <family val="2"/>
        <scheme val="minor"/>
      </rPr>
      <t xml:space="preserve"> and then click the </t>
    </r>
    <r>
      <rPr>
        <b/>
        <sz val="12"/>
        <color theme="1"/>
        <rFont val="Aptos"/>
        <family val="2"/>
      </rPr>
      <t>Export Button</t>
    </r>
  </si>
  <si>
    <t>Go to the top right corner of the browser and Open the file (click the square with an arrow icon)</t>
  </si>
  <si>
    <r>
      <t xml:space="preserve">Click the empty square beside column A and row 1 to select all workbook cells and then choose </t>
    </r>
    <r>
      <rPr>
        <b/>
        <sz val="12"/>
        <color theme="1"/>
        <rFont val="Aptos"/>
        <family val="2"/>
      </rPr>
      <t>Copy</t>
    </r>
  </si>
  <si>
    <r>
      <t xml:space="preserve">Return to this file and select the </t>
    </r>
    <r>
      <rPr>
        <b/>
        <sz val="12"/>
        <color theme="1"/>
        <rFont val="Aptos"/>
        <family val="2"/>
      </rPr>
      <t>Project Profitability Import</t>
    </r>
    <r>
      <rPr>
        <sz val="12"/>
        <color theme="1"/>
        <rFont val="Aptos Narrow"/>
        <family val="2"/>
        <scheme val="minor"/>
      </rPr>
      <t xml:space="preserve"> tab. Select cell </t>
    </r>
    <r>
      <rPr>
        <b/>
        <sz val="12"/>
        <color theme="1"/>
        <rFont val="Aptos"/>
        <family val="2"/>
      </rPr>
      <t>A1</t>
    </r>
    <r>
      <rPr>
        <sz val="12"/>
        <color theme="1"/>
        <rFont val="Aptos Narrow"/>
        <family val="2"/>
        <scheme val="minor"/>
      </rPr>
      <t xml:space="preserve"> and </t>
    </r>
    <r>
      <rPr>
        <b/>
        <sz val="12"/>
        <color theme="1"/>
        <rFont val="Aptos"/>
        <family val="2"/>
      </rPr>
      <t xml:space="preserve">Paste Values. </t>
    </r>
    <r>
      <rPr>
        <sz val="12"/>
        <color theme="1"/>
        <rFont val="Aptos Narrow"/>
        <family val="2"/>
        <scheme val="minor"/>
      </rPr>
      <t xml:space="preserve">Paste Values can be found under </t>
    </r>
    <r>
      <rPr>
        <b/>
        <sz val="12"/>
        <color theme="1"/>
        <rFont val="Aptos"/>
        <family val="2"/>
      </rPr>
      <t>Home</t>
    </r>
    <r>
      <rPr>
        <sz val="12"/>
        <color theme="1"/>
        <rFont val="Aptos Narrow"/>
        <family val="2"/>
        <scheme val="minor"/>
      </rPr>
      <t xml:space="preserve"> and then the </t>
    </r>
    <r>
      <rPr>
        <b/>
        <sz val="12"/>
        <color theme="1"/>
        <rFont val="Aptos"/>
        <family val="2"/>
      </rPr>
      <t>Paste drop-down</t>
    </r>
  </si>
  <si>
    <t>Client Services</t>
  </si>
  <si>
    <t>Resource Planning (per State or Return)</t>
  </si>
  <si>
    <t>View Philippines (NOW)</t>
  </si>
  <si>
    <t>Review Pricing (per State or Return)</t>
  </si>
  <si>
    <t>Review and Compare Tier Pricing &amp; Margin Totals - T&amp;M</t>
  </si>
  <si>
    <t>Review and Compare Tier Pricing &amp; Margin Totals - Value Pricing</t>
  </si>
  <si>
    <t>View Pricing &amp; Margins</t>
  </si>
  <si>
    <t>If Pricing a Client 
Select Entity</t>
  </si>
  <si>
    <t>Ultimate</t>
  </si>
  <si>
    <t>Enhanced</t>
  </si>
  <si>
    <t>Essential</t>
  </si>
  <si>
    <t>Quantity e.g. States/Returns</t>
  </si>
  <si>
    <t>Administration</t>
  </si>
  <si>
    <t>Intern</t>
  </si>
  <si>
    <t>Staff - Level 1</t>
  </si>
  <si>
    <t>Staff - Level 2</t>
  </si>
  <si>
    <t>Senior - Level 1</t>
  </si>
  <si>
    <t>Senior - Level Supervising</t>
  </si>
  <si>
    <t>Manager</t>
  </si>
  <si>
    <t>Senior Manager</t>
  </si>
  <si>
    <t>Director</t>
  </si>
  <si>
    <t>Partner</t>
  </si>
  <si>
    <t>Outputs Recap 
Check Total</t>
  </si>
  <si>
    <t>Selection Check Total</t>
  </si>
  <si>
    <t>Total Hours</t>
  </si>
  <si>
    <t>Overseas Hours %</t>
  </si>
  <si>
    <t>Step 1. 
T&amp;M National Rate Revenue</t>
  </si>
  <si>
    <t>Step 2. 
T&amp;M 
GEO 
Rate Revenue</t>
  </si>
  <si>
    <r>
      <rPr>
        <b/>
        <sz val="14"/>
        <color rgb="FF008080"/>
        <rFont val="Aptos"/>
        <family val="2"/>
      </rPr>
      <t>*</t>
    </r>
    <r>
      <rPr>
        <b/>
        <sz val="11"/>
        <color rgb="FF008080"/>
        <rFont val="Aptos"/>
        <family val="2"/>
      </rPr>
      <t xml:space="preserve"> Step 4.</t>
    </r>
    <r>
      <rPr>
        <b/>
        <sz val="11"/>
        <rFont val="Aptos"/>
        <family val="2"/>
      </rPr>
      <t xml:space="preserve">       Consider Value 
Based 
Pricing</t>
    </r>
  </si>
  <si>
    <t>Realization % vs Standard Rate</t>
  </si>
  <si>
    <t>Effective Rate</t>
  </si>
  <si>
    <t>Standard Cost</t>
  </si>
  <si>
    <t>Step 1. 
T&amp;M Standard Rate Revenue</t>
  </si>
  <si>
    <r>
      <rPr>
        <b/>
        <sz val="14"/>
        <rFont val="Aptos"/>
        <family val="2"/>
      </rPr>
      <t>*</t>
    </r>
    <r>
      <rPr>
        <b/>
        <sz val="11"/>
        <rFont val="Aptos"/>
        <family val="2"/>
      </rPr>
      <t xml:space="preserve"> Step 4.       Consider Value 
Based 
Pricing</t>
    </r>
  </si>
  <si>
    <t>Ultimate - T&amp;M</t>
  </si>
  <si>
    <t>Enhanced - T&amp;M</t>
  </si>
  <si>
    <t>Essential - T&amp;M</t>
  </si>
  <si>
    <t>Ultimate - Value Pricing</t>
  </si>
  <si>
    <t>Enhanced - Value Pricing</t>
  </si>
  <si>
    <t>Essential - Value Pricing</t>
  </si>
  <si>
    <t>Standard Rate Revenues</t>
  </si>
  <si>
    <t>Hours</t>
  </si>
  <si>
    <t>Net Revenues</t>
  </si>
  <si>
    <t>Gross 
Margin</t>
  </si>
  <si>
    <t>GM
%</t>
  </si>
  <si>
    <t>Scope / Assumptions / Notes</t>
  </si>
  <si>
    <t>Total</t>
  </si>
  <si>
    <t>Gross Margin</t>
  </si>
  <si>
    <t>Gross Margin %</t>
  </si>
  <si>
    <t>NOW Standard Rates</t>
  </si>
  <si>
    <t>Tax Standard Cost</t>
  </si>
  <si>
    <t>View Rates Detail</t>
  </si>
  <si>
    <t>Enter IRS/State/City Tax Returns (change descriptions as req'd):</t>
  </si>
  <si>
    <t>Entity</t>
  </si>
  <si>
    <t>Select (Yes or No)</t>
  </si>
  <si>
    <t>Qty</t>
  </si>
  <si>
    <t>Enter Resource needs (in hours) PER State or Return (DO NOT ENTER IN AGGREGATE)</t>
  </si>
  <si>
    <t>Enter PER State or Return (DO NOT ENTER IN AGGREGATE) *</t>
  </si>
  <si>
    <t>Enter additional scope, assumptions and notes</t>
  </si>
  <si>
    <t>View Additional Rows for More Entities</t>
  </si>
  <si>
    <t>Enter Other Compliance Services:</t>
  </si>
  <si>
    <t>Income Tax Extensions</t>
  </si>
  <si>
    <t>Quarterly Estimated Tax Calculations</t>
  </si>
  <si>
    <t>Tax Provisions &amp; Memo</t>
  </si>
  <si>
    <t>Partner Withdrawals / Redemptions / Step Ups</t>
  </si>
  <si>
    <t>199A Deduction and Analysis</t>
  </si>
  <si>
    <t>K-1 delivery to investors using preferred delivery methodology</t>
  </si>
  <si>
    <t>Estimated K-1s for investors</t>
  </si>
  <si>
    <t>Special Allocations</t>
  </si>
  <si>
    <t>Partner Returns</t>
  </si>
  <si>
    <t>Depreciation Work (no details)</t>
  </si>
  <si>
    <t>1031 Exchange (Real Estate)</t>
  </si>
  <si>
    <t>1042 Filings (PE)</t>
  </si>
  <si>
    <t>International Activity K3s (PE)</t>
  </si>
  <si>
    <t>View Additional Rows for More Entries</t>
  </si>
  <si>
    <t>Enter Non-Compliance Services:</t>
  </si>
  <si>
    <t>Year End Planning and PTET Considerations</t>
  </si>
  <si>
    <t>General Consulting</t>
  </si>
  <si>
    <t>Update Meetings - Quarterly</t>
  </si>
  <si>
    <t>Additional Update Meetings - Monthly</t>
  </si>
  <si>
    <t>Income / State Notice Review and Response</t>
  </si>
  <si>
    <t>Routine AJEs</t>
  </si>
  <si>
    <t>Account Clean Up</t>
  </si>
  <si>
    <t>Prior IRS / State Income Tax Notice Reviews</t>
  </si>
  <si>
    <t>Invitation to NextGenApp's 2025 Events &amp; Webinars</t>
  </si>
  <si>
    <t>* Year Round Access for Calls and Emails</t>
  </si>
  <si>
    <t>Enter Freeform Tax Speciality Services (NOW):</t>
  </si>
  <si>
    <t>Section §174 Analysis for Capitalization of R&amp;D</t>
  </si>
  <si>
    <t>R&amp;D Credit Calculation</t>
  </si>
  <si>
    <t>PTET Considerations</t>
  </si>
  <si>
    <t>SALT Updates</t>
  </si>
  <si>
    <t>179D</t>
  </si>
  <si>
    <t>Nexus Studies</t>
  </si>
  <si>
    <t>Local Tax Returns</t>
  </si>
  <si>
    <t>San Francisco Studies</t>
  </si>
  <si>
    <t>Foreign Outbound: 5471 Standard</t>
  </si>
  <si>
    <t>Foreign Outbound: 5471 Simple</t>
  </si>
  <si>
    <t>Foreign Outbound: 5471 Limited Version</t>
  </si>
  <si>
    <t>Foreign Outbound: 5471 Real Estate</t>
  </si>
  <si>
    <t>Foreign Outbound: 5471 Dormant</t>
  </si>
  <si>
    <t>Foreign Outbound: 8858 Standard</t>
  </si>
  <si>
    <t>Foreign Outbound: 8858 Dormant</t>
  </si>
  <si>
    <t>Foreign Outbound: 8865 Standard</t>
  </si>
  <si>
    <t>Foreign Outbound: 8865 Dormant</t>
  </si>
  <si>
    <t xml:space="preserve">Foreign Outbound: Form 8865, Sch O </t>
  </si>
  <si>
    <t xml:space="preserve">Foreign Outbound: 8992 </t>
  </si>
  <si>
    <t xml:space="preserve">Foreign Outbound: 926 </t>
  </si>
  <si>
    <t>PHB Total</t>
  </si>
  <si>
    <t>NOW Total</t>
  </si>
  <si>
    <t>Total Before Admin Fee</t>
  </si>
  <si>
    <t>Fixed Fee Increase/(Discount)</t>
  </si>
  <si>
    <t>Total Before Admin Fee After Discount</t>
  </si>
  <si>
    <t>Admin Fee</t>
  </si>
  <si>
    <t>Total After Admin Fee</t>
  </si>
  <si>
    <t>Fixed Fee Calculations:</t>
  </si>
  <si>
    <t>=IF('Core Assumptions'!$D$24="Yes",MROUND(AV125*(1+'Core Assumptions'!$D$26),'Core Assumptions'!$E$19),MROUND(AV125,'Core Assumptions'!$E$19))</t>
  </si>
  <si>
    <t>View Fixed Fee Calculations</t>
  </si>
  <si>
    <t>Key Metrics:</t>
  </si>
  <si>
    <t>Leverage US and Overseas</t>
  </si>
  <si>
    <t>Leverage US and Overseas Combined</t>
  </si>
  <si>
    <t>Average Hours/Week</t>
  </si>
  <si>
    <t>Additional Tier Value vs Essential</t>
  </si>
  <si>
    <t>Additional Tier Value % vs Essential</t>
  </si>
  <si>
    <t>View Key Metrics</t>
  </si>
  <si>
    <t>* Note: For Completing Step 4.</t>
  </si>
  <si>
    <r>
      <rPr>
        <b/>
        <sz val="12"/>
        <rFont val="Aptos"/>
        <family val="2"/>
      </rPr>
      <t>First consider</t>
    </r>
    <r>
      <rPr>
        <b/>
        <sz val="12"/>
        <color rgb="FF008080"/>
        <rFont val="Aptos"/>
        <family val="2"/>
      </rPr>
      <t xml:space="preserve"> </t>
    </r>
    <r>
      <rPr>
        <b/>
        <sz val="14"/>
        <color rgb="FF008080"/>
        <rFont val="Aptos"/>
        <family val="2"/>
      </rPr>
      <t>Value Pricing</t>
    </r>
    <r>
      <rPr>
        <b/>
        <sz val="12"/>
        <color rgb="FF008080"/>
        <rFont val="Aptos"/>
        <family val="2"/>
      </rPr>
      <t>:</t>
    </r>
    <r>
      <rPr>
        <sz val="12"/>
        <rFont val="Aptos"/>
        <family val="2"/>
      </rPr>
      <t xml:space="preserve"> A pricing strategy where the fee is determined based on the perceived value of the outcome to the client, rather than the time or effort it takes to deliver the service. It reflects what the client believes the service is worth, considering factors like potential ROI, the importance of the outcome, our unique expertise, market rates, and available alternatives.</t>
    </r>
    <r>
      <rPr>
        <b/>
        <sz val="14"/>
        <color rgb="FF008080"/>
        <rFont val="Aptos"/>
        <family val="2"/>
      </rPr>
      <t xml:space="preserve"> Include the value for automation investment, e.g. K1X aumated Schedlue K1s.</t>
    </r>
  </si>
  <si>
    <t>View Value Pricing Calc</t>
  </si>
  <si>
    <t>Evaluate a Fixed Fee Alternative:</t>
  </si>
  <si>
    <t>Benchmarks:</t>
  </si>
  <si>
    <t>View Comparison Project</t>
  </si>
  <si>
    <t>Margin Benchmark</t>
  </si>
  <si>
    <t>Quoted Fee to Client Includes Technology &amp; Admin Fee?</t>
  </si>
  <si>
    <t>Net Revenues Before Admin Fee</t>
  </si>
  <si>
    <t>Net Revenues Including Admin Fee</t>
  </si>
  <si>
    <t>Gross Margin (Before Admin Fee)</t>
  </si>
  <si>
    <t>Gross Margin % (Before Admin Fee)</t>
  </si>
  <si>
    <t>View Realization and Effective Rates</t>
  </si>
  <si>
    <t>Select "T&amp;M" or "Fixed Fee" Decision:</t>
  </si>
  <si>
    <t>Fixed Fee</t>
  </si>
  <si>
    <t>Select Client's Service Level Decision:</t>
  </si>
  <si>
    <r>
      <rPr>
        <b/>
        <sz val="12"/>
        <color rgb="FFCF7F00"/>
        <rFont val="Aptos"/>
        <family val="2"/>
      </rPr>
      <t xml:space="preserve">(Step 2) </t>
    </r>
    <r>
      <rPr>
        <b/>
        <sz val="16"/>
        <color rgb="FF008080"/>
        <rFont val="Aptos"/>
        <family val="2"/>
      </rPr>
      <t>Review T&amp;M Calculation:</t>
    </r>
  </si>
  <si>
    <r>
      <rPr>
        <b/>
        <sz val="12"/>
        <color rgb="FFCF7F00"/>
        <rFont val="Aptos"/>
        <family val="2"/>
      </rPr>
      <t xml:space="preserve">(Step 4) </t>
    </r>
    <r>
      <rPr>
        <b/>
        <sz val="16"/>
        <color rgb="FF008080"/>
        <rFont val="Aptos"/>
        <family val="2"/>
      </rPr>
      <t>Review Value Pricing Calc:</t>
    </r>
  </si>
  <si>
    <t>Standard Rate Revenue</t>
  </si>
  <si>
    <t>Contract Rate Revenue</t>
  </si>
  <si>
    <t>Standard Rate Realization</t>
  </si>
  <si>
    <t>Contract Rate Realization</t>
  </si>
  <si>
    <t>Effective Rates</t>
  </si>
  <si>
    <t>TOTAL</t>
  </si>
  <si>
    <t>T&amp;M 
Pricing</t>
  </si>
  <si>
    <t>Value 
Based 
Pricing</t>
  </si>
  <si>
    <t>Fixed 
Fee 
Pricing</t>
  </si>
  <si>
    <t>Selected Pricing</t>
  </si>
  <si>
    <t>Outputs Recap</t>
  </si>
  <si>
    <t>Contract Type</t>
  </si>
  <si>
    <t>Total Estimated Hours for Client</t>
  </si>
  <si>
    <t>Total Contract Amount for Client</t>
  </si>
  <si>
    <t>Estimated Realization Based on Standard Rates</t>
  </si>
  <si>
    <t>Calculated Contract Rate Sheet</t>
  </si>
  <si>
    <t>Estimated Gross Margin</t>
  </si>
  <si>
    <t>Admin Fee %</t>
  </si>
  <si>
    <t>Assigned Entity Hours</t>
  </si>
  <si>
    <t>View Assigned Entity Hours</t>
  </si>
  <si>
    <t>Unassigned Entity Hours</t>
  </si>
  <si>
    <t>Resource needs (in hours)</t>
  </si>
  <si>
    <t>Prorated Hours</t>
  </si>
  <si>
    <t>No Entity Entered</t>
  </si>
  <si>
    <t>View Unassigned Entity Hours</t>
  </si>
  <si>
    <t>Total Client Assigned Plus Unassigned Hours</t>
  </si>
  <si>
    <t>Unallocated Hours to Assign</t>
  </si>
  <si>
    <t>Assigned Entity Hours + Unassigned Entity Hours (Initially Prorated)</t>
  </si>
  <si>
    <t>INSTRUCTIONS: Change the Hours in the Yellow cells below to Assign all Unallocated Hours in the Orange cells above</t>
  </si>
  <si>
    <t>View Essential &amp; Enhanced</t>
  </si>
  <si>
    <t>Services 
Offered</t>
  </si>
  <si>
    <t>Anticipated Start Date:</t>
  </si>
  <si>
    <t>Anticipated End Date:</t>
  </si>
  <si>
    <t>Services:</t>
  </si>
  <si>
    <t>View Additional Row Detail 26-50</t>
  </si>
  <si>
    <t>View Additional Row Detail 51-75</t>
  </si>
  <si>
    <t>View Additional Row Detail 76-165</t>
  </si>
  <si>
    <r>
      <t xml:space="preserve">Total Including Technology &amp; Admin Fee </t>
    </r>
    <r>
      <rPr>
        <sz val="11"/>
        <color theme="1"/>
        <rFont val="Aptos"/>
        <family val="2"/>
      </rPr>
      <t>**</t>
    </r>
  </si>
  <si>
    <t>Recommended Billing Terms:</t>
  </si>
  <si>
    <t>View Recommended Billing Terms</t>
  </si>
  <si>
    <t>Billing Terms:</t>
  </si>
  <si>
    <t>100% Upfront</t>
  </si>
  <si>
    <t>PLEASE READ AND ADHERE TO THESE INSTRUCTIONS CAREFULLY</t>
  </si>
  <si>
    <t>Ungroup if Tax GE Team is entering Opportunity into CRM</t>
  </si>
  <si>
    <r>
      <t xml:space="preserve"> - All fields are </t>
    </r>
    <r>
      <rPr>
        <u/>
        <sz val="12"/>
        <color rgb="FFFF0000"/>
        <rFont val="Aptos Narrow"/>
        <family val="2"/>
        <scheme val="minor"/>
      </rPr>
      <t>mandatory</t>
    </r>
    <r>
      <rPr>
        <sz val="12"/>
        <color rgb="FFFF0000"/>
        <rFont val="Aptos Narrow"/>
        <family val="2"/>
        <scheme val="minor"/>
      </rPr>
      <t xml:space="preserve"> unless "Optional" or "If Applicable" is noted. </t>
    </r>
  </si>
  <si>
    <r>
      <t xml:space="preserve"> - New customer setup for a single Individual or Entity:  In this tab, complete all mandatory fields in all columns.</t>
    </r>
    <r>
      <rPr>
        <u/>
        <sz val="12"/>
        <color rgb="FFFF0000"/>
        <rFont val="Aptos Narrow"/>
        <family val="2"/>
        <scheme val="minor"/>
      </rPr>
      <t xml:space="preserve"> </t>
    </r>
  </si>
  <si>
    <r>
      <t xml:space="preserve"> - New customer setup for a Multi-Entity Group:  In this tab, for the MAIN ENTITY ONLY, complete mandatory fields under Create Pipeline Opportunity &amp; Customer in Workday </t>
    </r>
    <r>
      <rPr>
        <u/>
        <sz val="12"/>
        <color rgb="FFFF0000"/>
        <rFont val="Aptos Narrow"/>
        <family val="2"/>
        <scheme val="minor"/>
      </rPr>
      <t>Account</t>
    </r>
    <r>
      <rPr>
        <sz val="12"/>
        <color rgb="FFFF0000"/>
        <rFont val="Aptos Narrow"/>
        <family val="2"/>
        <scheme val="minor"/>
      </rPr>
      <t xml:space="preserve">, </t>
    </r>
    <r>
      <rPr>
        <u/>
        <sz val="12"/>
        <color rgb="FFFF0000"/>
        <rFont val="Aptos Narrow"/>
        <family val="2"/>
        <scheme val="minor"/>
      </rPr>
      <t>Opportunity</t>
    </r>
    <r>
      <rPr>
        <sz val="12"/>
        <color rgb="FFFF0000"/>
        <rFont val="Aptos Narrow"/>
        <family val="2"/>
        <scheme val="minor"/>
      </rPr>
      <t xml:space="preserve"> and </t>
    </r>
    <r>
      <rPr>
        <u/>
        <sz val="12"/>
        <color rgb="FFFF0000"/>
        <rFont val="Aptos Narrow"/>
        <family val="2"/>
        <scheme val="minor"/>
      </rPr>
      <t>Project &amp; Contract</t>
    </r>
    <r>
      <rPr>
        <sz val="12"/>
        <color rgb="FFFF0000"/>
        <rFont val="Aptos Narrow"/>
        <family val="2"/>
        <scheme val="minor"/>
      </rPr>
      <t xml:space="preserve">. For the remaining entities, complete the mandatory fields under </t>
    </r>
    <r>
      <rPr>
        <u/>
        <sz val="12"/>
        <color rgb="FFFF0000"/>
        <rFont val="Aptos Narrow"/>
        <family val="2"/>
        <scheme val="minor"/>
      </rPr>
      <t>Account</t>
    </r>
    <r>
      <rPr>
        <sz val="12"/>
        <color rgb="FFFF0000"/>
        <rFont val="Aptos Narrow"/>
        <family val="2"/>
        <scheme val="minor"/>
      </rPr>
      <t xml:space="preserve"> and </t>
    </r>
    <r>
      <rPr>
        <u/>
        <sz val="12"/>
        <color rgb="FFFF0000"/>
        <rFont val="Aptos Narrow"/>
        <family val="2"/>
        <scheme val="minor"/>
      </rPr>
      <t>Project &amp; Contract</t>
    </r>
    <r>
      <rPr>
        <sz val="12"/>
        <color rgb="FFFF0000"/>
        <rFont val="Aptos Narrow"/>
        <family val="2"/>
        <scheme val="minor"/>
      </rPr>
      <t xml:space="preserve"> only. </t>
    </r>
  </si>
  <si>
    <r>
      <t xml:space="preserve"> - If you need a Customer Account and CUS#, but do </t>
    </r>
    <r>
      <rPr>
        <u/>
        <sz val="12"/>
        <color rgb="FFFF0000"/>
        <rFont val="Aptos Narrow"/>
        <family val="2"/>
        <scheme val="minor"/>
      </rPr>
      <t>not</t>
    </r>
    <r>
      <rPr>
        <sz val="12"/>
        <color rgb="FFFF0000"/>
        <rFont val="Aptos Narrow"/>
        <family val="2"/>
        <scheme val="minor"/>
      </rPr>
      <t xml:space="preserve"> need a Project:  In this tab, complete mandatory fields under </t>
    </r>
    <r>
      <rPr>
        <u/>
        <sz val="12"/>
        <color rgb="FFFF0000"/>
        <rFont val="Aptos Narrow"/>
        <family val="2"/>
        <scheme val="minor"/>
      </rPr>
      <t>Account</t>
    </r>
    <r>
      <rPr>
        <sz val="12"/>
        <color rgb="FFFF0000"/>
        <rFont val="Aptos Narrow"/>
        <family val="2"/>
        <scheme val="minor"/>
      </rPr>
      <t xml:space="preserve"> and </t>
    </r>
    <r>
      <rPr>
        <u/>
        <sz val="12"/>
        <color rgb="FFFF0000"/>
        <rFont val="Aptos Narrow"/>
        <family val="2"/>
        <scheme val="minor"/>
      </rPr>
      <t>Opportunity</t>
    </r>
    <r>
      <rPr>
        <sz val="12"/>
        <color rgb="FFFF0000"/>
        <rFont val="Aptos Narrow"/>
        <family val="2"/>
        <scheme val="minor"/>
      </rPr>
      <t xml:space="preserve">. </t>
    </r>
  </si>
  <si>
    <r>
      <t xml:space="preserve"> - If you have a Customer Account and CUS# and need a new Project setup:  Use the "</t>
    </r>
    <r>
      <rPr>
        <u/>
        <sz val="12"/>
        <color rgb="FFFF0000"/>
        <rFont val="Aptos Narrow"/>
        <family val="2"/>
        <scheme val="minor"/>
      </rPr>
      <t>New Project (Have a CUS#)</t>
    </r>
    <r>
      <rPr>
        <sz val="12"/>
        <color rgb="FFFF0000"/>
        <rFont val="Aptos Narrow"/>
        <family val="2"/>
        <scheme val="minor"/>
      </rPr>
      <t>" tab.</t>
    </r>
  </si>
  <si>
    <t>** The new Customer setup will not be completed without a signed engagement letter unless we are within 2 weeks of a tax deadline and the new entity/entities must be related to an existing customer **</t>
  </si>
  <si>
    <t>Create CRM Pipeline</t>
  </si>
  <si>
    <t>Tax GE Team Create CRM Opportunity (if NOT previously entered in CRM Pipeline)</t>
  </si>
  <si>
    <t>Workday Project &amp; Contract (Time Entry &amp; Pricing)</t>
  </si>
  <si>
    <t>Invoice Style &amp; Delivery</t>
  </si>
  <si>
    <t>FOR PETE KLINGER ONLY</t>
  </si>
  <si>
    <t>Revenue Forecast By Month</t>
  </si>
  <si>
    <t>FOR CPIF AUTOMATION (FUTURE STATE)</t>
  </si>
  <si>
    <t>FOR ONBOARDING ONLY</t>
  </si>
  <si>
    <t>FOR PE &amp; TMS ONLY</t>
  </si>
  <si>
    <t>Alt+Enter to add multiple rows in cell</t>
  </si>
  <si>
    <t>ENGAGEMENT LETTER</t>
  </si>
  <si>
    <t>FOR GE TEAM ONLY</t>
  </si>
  <si>
    <t>Using the Total Contract Amount, indicate the timing of WIP production over a 12-month period.</t>
  </si>
  <si>
    <t>(drop down list)</t>
  </si>
  <si>
    <r>
      <t xml:space="preserve">(drop down list)
</t>
    </r>
    <r>
      <rPr>
        <sz val="10"/>
        <rFont val="Aptos Narrow"/>
        <family val="2"/>
        <scheme val="minor"/>
      </rPr>
      <t>PDL's Practice Group</t>
    </r>
  </si>
  <si>
    <t>PDL in Workday</t>
  </si>
  <si>
    <r>
      <rPr>
        <sz val="11"/>
        <color rgb="FFFF0000"/>
        <rFont val="Aptos Narrow"/>
        <family val="2"/>
        <scheme val="minor"/>
      </rPr>
      <t>*</t>
    </r>
    <r>
      <rPr>
        <u/>
        <sz val="11"/>
        <color rgb="FFFF0000"/>
        <rFont val="Aptos Narrow"/>
        <family val="2"/>
        <scheme val="minor"/>
      </rPr>
      <t xml:space="preserve"> OPTIONAL</t>
    </r>
    <r>
      <rPr>
        <sz val="11"/>
        <color rgb="FFFF0000"/>
        <rFont val="Aptos Narrow"/>
        <family val="2"/>
        <scheme val="minor"/>
      </rPr>
      <t xml:space="preserve"> *</t>
    </r>
    <r>
      <rPr>
        <sz val="11"/>
        <rFont val="Aptos Narrow"/>
        <family val="2"/>
        <scheme val="minor"/>
      </rPr>
      <t xml:space="preserve">
</t>
    </r>
    <r>
      <rPr>
        <sz val="10"/>
        <rFont val="Aptos Narrow"/>
        <family val="2"/>
        <scheme val="minor"/>
      </rPr>
      <t>Ex: a technical partner who supported the sales cycle</t>
    </r>
  </si>
  <si>
    <r>
      <t xml:space="preserve">(drop down list)
</t>
    </r>
    <r>
      <rPr>
        <sz val="10"/>
        <rFont val="Aptos Narrow"/>
        <family val="2"/>
        <scheme val="minor"/>
      </rPr>
      <t>Options are dependent on Lead Source</t>
    </r>
  </si>
  <si>
    <r>
      <t xml:space="preserve">* </t>
    </r>
    <r>
      <rPr>
        <u/>
        <sz val="11"/>
        <color rgb="FFFF0000"/>
        <rFont val="Aptos Narrow"/>
        <family val="2"/>
        <scheme val="minor"/>
      </rPr>
      <t>OPTIONAL</t>
    </r>
    <r>
      <rPr>
        <sz val="11"/>
        <color rgb="FFFF0000"/>
        <rFont val="Aptos Narrow"/>
        <family val="2"/>
        <scheme val="minor"/>
      </rPr>
      <t xml:space="preserve"> *</t>
    </r>
  </si>
  <si>
    <r>
      <rPr>
        <sz val="11"/>
        <color rgb="FFFF0000"/>
        <rFont val="Aptos Narrow"/>
        <family val="2"/>
        <scheme val="minor"/>
      </rPr>
      <t xml:space="preserve">* </t>
    </r>
    <r>
      <rPr>
        <u/>
        <sz val="11"/>
        <color rgb="FFFF0000"/>
        <rFont val="Aptos Narrow"/>
        <family val="2"/>
        <scheme val="minor"/>
      </rPr>
      <t>OPTIONAL</t>
    </r>
    <r>
      <rPr>
        <sz val="11"/>
        <color rgb="FFFF0000"/>
        <rFont val="Aptos Narrow"/>
        <family val="2"/>
        <scheme val="minor"/>
      </rPr>
      <t xml:space="preserve"> *</t>
    </r>
    <r>
      <rPr>
        <sz val="11"/>
        <rFont val="Aptos Narrow"/>
        <family val="2"/>
        <scheme val="minor"/>
      </rPr>
      <t xml:space="preserve">
</t>
    </r>
    <r>
      <rPr>
        <sz val="10"/>
        <rFont val="Aptos Narrow"/>
        <family val="2"/>
        <scheme val="minor"/>
      </rPr>
      <t>Use if Oppty derived from a direct employee referral</t>
    </r>
  </si>
  <si>
    <r>
      <rPr>
        <sz val="9"/>
        <color rgb="FFFF0000"/>
        <rFont val="Aptos Narrow"/>
        <family val="2"/>
        <scheme val="minor"/>
      </rPr>
      <t xml:space="preserve">(drop down list)
</t>
    </r>
    <r>
      <rPr>
        <sz val="10"/>
        <rFont val="Aptos Narrow"/>
        <family val="2"/>
        <scheme val="minor"/>
      </rPr>
      <t>if No,</t>
    </r>
    <r>
      <rPr>
        <sz val="10"/>
        <color rgb="FFFF0000"/>
        <rFont val="Aptos Narrow"/>
        <family val="2"/>
        <scheme val="minor"/>
      </rPr>
      <t xml:space="preserve"> STOP HERE</t>
    </r>
    <r>
      <rPr>
        <sz val="10"/>
        <rFont val="Aptos Narrow"/>
        <family val="2"/>
        <scheme val="minor"/>
      </rPr>
      <t>; the remaining fields in this file are NOT needed.</t>
    </r>
  </si>
  <si>
    <t>Point Person for Finance to work  with to collect A/R</t>
  </si>
  <si>
    <t>Automatic, but can be overridden for CORP/NOW</t>
  </si>
  <si>
    <r>
      <rPr>
        <sz val="9"/>
        <color rgb="FFFF0000"/>
        <rFont val="Aptos Narrow"/>
        <family val="2"/>
        <scheme val="minor"/>
      </rPr>
      <t>(drop down list)</t>
    </r>
    <r>
      <rPr>
        <sz val="11"/>
        <color theme="1"/>
        <rFont val="Aptos Narrow"/>
        <family val="2"/>
        <scheme val="minor"/>
      </rPr>
      <t xml:space="preserve">
</t>
    </r>
    <r>
      <rPr>
        <sz val="10"/>
        <color theme="1"/>
        <rFont val="Aptos Narrow"/>
        <family val="2"/>
        <scheme val="minor"/>
      </rPr>
      <t>What type of work is being done?</t>
    </r>
  </si>
  <si>
    <r>
      <t xml:space="preserve">Client Year End
(yyyy/mm)
</t>
    </r>
    <r>
      <rPr>
        <sz val="10"/>
        <color rgb="FFFF0000"/>
        <rFont val="Aptos Narrow"/>
        <family val="2"/>
        <scheme val="minor"/>
      </rPr>
      <t>Ex: 12/31/2025
(2025/12)</t>
    </r>
  </si>
  <si>
    <r>
      <rPr>
        <sz val="9"/>
        <color rgb="FFFF0000"/>
        <rFont val="Aptos Narrow"/>
        <family val="2"/>
        <scheme val="minor"/>
      </rPr>
      <t>(drop down list)</t>
    </r>
    <r>
      <rPr>
        <sz val="12"/>
        <color theme="1"/>
        <rFont val="Aptos Narrow"/>
        <family val="2"/>
        <scheme val="minor"/>
      </rPr>
      <t xml:space="preserve">
</t>
    </r>
    <r>
      <rPr>
        <sz val="10"/>
        <color theme="1"/>
        <rFont val="Aptos Narrow"/>
        <family val="2"/>
        <scheme val="minor"/>
      </rPr>
      <t>Should the project renew/roll forward for next year?</t>
    </r>
  </si>
  <si>
    <t>Anticipated start date of the project. This will drive the start date for the Revenue Forecast.
(mm/dd/yyyy)</t>
  </si>
  <si>
    <t>If blank, end date will default to year end of the project +1 year (ex: YE 12/31/2023 = Project End 12/31/2024.) This is the last date to charge time to the project. If different date needed, enter correct end date.
(mm/dd/yyyy)</t>
  </si>
  <si>
    <r>
      <rPr>
        <sz val="9"/>
        <color rgb="FFFF0000"/>
        <rFont val="Aptos Narrow"/>
        <family val="2"/>
        <scheme val="minor"/>
      </rPr>
      <t>(drop down list)</t>
    </r>
    <r>
      <rPr>
        <sz val="11"/>
        <color theme="1"/>
        <rFont val="Aptos Narrow"/>
        <family val="2"/>
        <scheme val="minor"/>
      </rPr>
      <t xml:space="preserve">
</t>
    </r>
    <r>
      <rPr>
        <sz val="10"/>
        <color theme="1"/>
        <rFont val="Aptos Narrow"/>
        <family val="2"/>
        <scheme val="minor"/>
      </rPr>
      <t>Use N/A if not a tax return projects</t>
    </r>
  </si>
  <si>
    <t>(mm/dd/yyyy)</t>
  </si>
  <si>
    <t>Form 706 only
(mm/dd/yyyy)</t>
  </si>
  <si>
    <t>Optional
Contingent Fee Price  "Contingent"</t>
  </si>
  <si>
    <t>Total estimated hours to deliver on the project</t>
  </si>
  <si>
    <r>
      <t xml:space="preserve">(drop down list)
</t>
    </r>
    <r>
      <rPr>
        <sz val="10"/>
        <rFont val="Aptos Narrow"/>
        <family val="2"/>
        <scheme val="minor"/>
      </rPr>
      <t>Choose the closest expected realization value as a percentage</t>
    </r>
  </si>
  <si>
    <r>
      <rPr>
        <sz val="9"/>
        <color rgb="FFFF0000"/>
        <rFont val="Aptos Narrow"/>
        <family val="2"/>
        <scheme val="minor"/>
      </rPr>
      <t>(drop down list)</t>
    </r>
    <r>
      <rPr>
        <sz val="11"/>
        <color theme="1"/>
        <rFont val="Aptos Narrow"/>
        <family val="2"/>
        <scheme val="minor"/>
      </rPr>
      <t xml:space="preserve">
</t>
    </r>
    <r>
      <rPr>
        <sz val="10"/>
        <color theme="1"/>
        <rFont val="Aptos Narrow"/>
        <family val="2"/>
        <scheme val="minor"/>
      </rPr>
      <t>National rate is default unless alternate selected</t>
    </r>
  </si>
  <si>
    <r>
      <rPr>
        <sz val="11"/>
        <color rgb="FFFF0000"/>
        <rFont val="Aptos Narrow"/>
        <family val="2"/>
        <scheme val="minor"/>
      </rPr>
      <t>(drop down list)</t>
    </r>
    <r>
      <rPr>
        <sz val="11"/>
        <color theme="1"/>
        <rFont val="Aptos Narrow"/>
        <family val="2"/>
        <scheme val="minor"/>
      </rPr>
      <t xml:space="preserve">
National rate is default unless alternate selected</t>
    </r>
  </si>
  <si>
    <t>The professional fees anticipated over the course of the engagement/ project</t>
  </si>
  <si>
    <r>
      <rPr>
        <sz val="9"/>
        <color rgb="FFFF0000"/>
        <rFont val="Aptos Narrow"/>
        <family val="2"/>
        <scheme val="minor"/>
      </rPr>
      <t>(drop down list)</t>
    </r>
    <r>
      <rPr>
        <sz val="11"/>
        <color theme="1"/>
        <rFont val="Aptos Narrow"/>
        <family val="2"/>
        <scheme val="minor"/>
      </rPr>
      <t xml:space="preserve">
</t>
    </r>
    <r>
      <rPr>
        <sz val="10"/>
        <color theme="1"/>
        <rFont val="Aptos Narrow"/>
        <family val="2"/>
        <scheme val="minor"/>
      </rPr>
      <t>If less than 7%, must be approved in writing by David Miller</t>
    </r>
  </si>
  <si>
    <t>For EL and billing, is the admin fee included or excluded from the total contract amount?</t>
  </si>
  <si>
    <r>
      <t>Use</t>
    </r>
    <r>
      <rPr>
        <b/>
        <sz val="10"/>
        <color theme="1"/>
        <rFont val="Aptos Narrow"/>
        <family val="2"/>
        <scheme val="minor"/>
      </rPr>
      <t xml:space="preserve"> 5%</t>
    </r>
    <r>
      <rPr>
        <sz val="10"/>
        <color theme="1"/>
        <rFont val="Aptos Narrow"/>
        <family val="2"/>
        <scheme val="minor"/>
      </rPr>
      <t xml:space="preserve"> of Total Contract Amount if we are receiving locator from prior accountant, </t>
    </r>
    <r>
      <rPr>
        <b/>
        <sz val="10"/>
        <color theme="1"/>
        <rFont val="Aptos Narrow"/>
        <family val="2"/>
        <scheme val="minor"/>
      </rPr>
      <t>10%</t>
    </r>
    <r>
      <rPr>
        <sz val="10"/>
        <color theme="1"/>
        <rFont val="Aptos Narrow"/>
        <family val="2"/>
        <scheme val="minor"/>
      </rPr>
      <t xml:space="preserve"> if we are not receiving locator.
The onboarding fee is mandatory.
PGL approval required if PDL wants to exclude.</t>
    </r>
  </si>
  <si>
    <t>"Parent" group name should not be legal entity name</t>
  </si>
  <si>
    <t xml:space="preserve">Used for adding customers to existing parent group </t>
  </si>
  <si>
    <r>
      <rPr>
        <sz val="11"/>
        <color rgb="FFFF0000"/>
        <rFont val="Aptos Narrow"/>
        <family val="2"/>
        <scheme val="minor"/>
      </rPr>
      <t xml:space="preserve">* </t>
    </r>
    <r>
      <rPr>
        <u/>
        <sz val="11"/>
        <color rgb="FFFF0000"/>
        <rFont val="Aptos Narrow"/>
        <family val="2"/>
        <scheme val="minor"/>
      </rPr>
      <t>OPTIONAL</t>
    </r>
    <r>
      <rPr>
        <sz val="11"/>
        <color rgb="FFFF0000"/>
        <rFont val="Aptos Narrow"/>
        <family val="2"/>
        <scheme val="minor"/>
      </rPr>
      <t xml:space="preserve"> *</t>
    </r>
    <r>
      <rPr>
        <sz val="11"/>
        <rFont val="Aptos Narrow"/>
        <family val="2"/>
        <scheme val="minor"/>
      </rPr>
      <t xml:space="preserve"> 
</t>
    </r>
    <r>
      <rPr>
        <sz val="10"/>
        <rFont val="Aptos Narrow"/>
        <family val="2"/>
        <scheme val="minor"/>
      </rPr>
      <t>First &amp; Last Name</t>
    </r>
  </si>
  <si>
    <r>
      <rPr>
        <sz val="11"/>
        <color rgb="FFFF0000"/>
        <rFont val="Aptos Narrow"/>
        <family val="2"/>
        <scheme val="minor"/>
      </rPr>
      <t xml:space="preserve">* </t>
    </r>
    <r>
      <rPr>
        <u/>
        <sz val="11"/>
        <color rgb="FFFF0000"/>
        <rFont val="Aptos Narrow"/>
        <family val="2"/>
        <scheme val="minor"/>
      </rPr>
      <t>OPTIONAL</t>
    </r>
    <r>
      <rPr>
        <sz val="11"/>
        <color rgb="FFFF0000"/>
        <rFont val="Aptos Narrow"/>
        <family val="2"/>
        <scheme val="minor"/>
      </rPr>
      <t xml:space="preserve"> *</t>
    </r>
    <r>
      <rPr>
        <sz val="11"/>
        <rFont val="Aptos Narrow"/>
        <family val="2"/>
        <scheme val="minor"/>
      </rPr>
      <t xml:space="preserve">
</t>
    </r>
    <r>
      <rPr>
        <sz val="10"/>
        <rFont val="Aptos Narrow"/>
        <family val="2"/>
        <scheme val="minor"/>
      </rPr>
      <t>If different from Primary Contact</t>
    </r>
  </si>
  <si>
    <t>A/P, Owner, Spouse, CFO/Controller (list all)</t>
  </si>
  <si>
    <r>
      <t xml:space="preserve">* </t>
    </r>
    <r>
      <rPr>
        <u/>
        <sz val="11"/>
        <color rgb="FFFF0000"/>
        <rFont val="Aptos Narrow"/>
        <family val="2"/>
        <scheme val="minor"/>
      </rPr>
      <t>OPTIONAL</t>
    </r>
    <r>
      <rPr>
        <sz val="11"/>
        <color rgb="FFFF0000"/>
        <rFont val="Aptos Narrow"/>
        <family val="2"/>
        <scheme val="minor"/>
      </rPr>
      <t xml:space="preserve"> *</t>
    </r>
    <r>
      <rPr>
        <sz val="9"/>
        <color rgb="FFFF0000"/>
        <rFont val="Aptos Narrow"/>
        <family val="2"/>
        <scheme val="minor"/>
      </rPr>
      <t xml:space="preserve">
(drop down list)</t>
    </r>
  </si>
  <si>
    <r>
      <rPr>
        <sz val="9"/>
        <color rgb="FFFF0000"/>
        <rFont val="Aptos Narrow"/>
        <family val="2"/>
        <scheme val="minor"/>
      </rPr>
      <t>(drop down list)</t>
    </r>
    <r>
      <rPr>
        <sz val="12"/>
        <color theme="1"/>
        <rFont val="Aptos Narrow"/>
        <family val="2"/>
        <scheme val="minor"/>
      </rPr>
      <t xml:space="preserve">
</t>
    </r>
  </si>
  <si>
    <r>
      <rPr>
        <sz val="10"/>
        <color rgb="FFFF0000"/>
        <rFont val="Aptos Narrow"/>
        <family val="2"/>
        <scheme val="minor"/>
      </rPr>
      <t>(drop down list)</t>
    </r>
    <r>
      <rPr>
        <sz val="10"/>
        <color theme="1"/>
        <rFont val="Aptos Narrow"/>
        <family val="2"/>
        <scheme val="minor"/>
      </rPr>
      <t xml:space="preserve">
</t>
    </r>
  </si>
  <si>
    <t>Account Name (Entity/Indiv)</t>
  </si>
  <si>
    <t>Opportunity Name (From CRM)</t>
  </si>
  <si>
    <t>Primary Contact Name</t>
  </si>
  <si>
    <t>Primary Contact Title</t>
  </si>
  <si>
    <t>Primary Contact Email Address</t>
  </si>
  <si>
    <t>Industry</t>
  </si>
  <si>
    <t>Entity Type</t>
  </si>
  <si>
    <t>Address</t>
  </si>
  <si>
    <t>City</t>
  </si>
  <si>
    <t>State</t>
  </si>
  <si>
    <t>Zip Code</t>
  </si>
  <si>
    <t>Service Type</t>
  </si>
  <si>
    <t>PDL Cost Center</t>
  </si>
  <si>
    <t>Est. Oppty Value</t>
  </si>
  <si>
    <t>Opportunity Partner</t>
  </si>
  <si>
    <t>Tax Delivery Partner</t>
  </si>
  <si>
    <t>BD/Sales Support</t>
  </si>
  <si>
    <t>Lead Source</t>
  </si>
  <si>
    <t>Lead Source Details</t>
  </si>
  <si>
    <t>LS Free Text</t>
  </si>
  <si>
    <t>Referring Employee</t>
  </si>
  <si>
    <t>Need a Project in Workday to charge time?</t>
  </si>
  <si>
    <t>Customer Collections Lead (CCL)</t>
  </si>
  <si>
    <t>Project Delivery Lead</t>
  </si>
  <si>
    <t>Project Manager</t>
  </si>
  <si>
    <t>Asst. Project Manager</t>
  </si>
  <si>
    <t>Project Billing Specialist</t>
  </si>
  <si>
    <t>Project Hierarchy
(PDL Cost Center)</t>
  </si>
  <si>
    <t>Service Type2</t>
  </si>
  <si>
    <t>Project Year/Month</t>
  </si>
  <si>
    <t>Renewable Project?</t>
  </si>
  <si>
    <t>Project Start Date</t>
  </si>
  <si>
    <t>Project End Date</t>
  </si>
  <si>
    <t>Tax Form</t>
  </si>
  <si>
    <t>Next Due Date</t>
  </si>
  <si>
    <t>Date of Death</t>
  </si>
  <si>
    <t>Project Name Extension</t>
  </si>
  <si>
    <t>Total Estimated Hours</t>
  </si>
  <si>
    <t>Expected Gross Margin
(Client Group)</t>
  </si>
  <si>
    <t>Estimated Realization at Standard Bill Rates
Year 1</t>
  </si>
  <si>
    <t>Contract Rate Sheet % of Standard</t>
  </si>
  <si>
    <t>OOS Task
 % of Standard Bill Rates</t>
  </si>
  <si>
    <t>Total Contract Amount</t>
  </si>
  <si>
    <t>Admin fee included or excluded in Total Contract Amount?</t>
  </si>
  <si>
    <t>First-year, one-time Onboarding/Setup Fee %</t>
  </si>
  <si>
    <t>First-year, one-time Onboarding/Setup Fee Amount</t>
  </si>
  <si>
    <t xml:space="preserve">Suggested or Existing Workday (Parent) Name </t>
  </si>
  <si>
    <t>Connected to Private Equity?</t>
  </si>
  <si>
    <t>Name of related PE Fund/Customer</t>
  </si>
  <si>
    <t>Invoice Type</t>
  </si>
  <si>
    <t>Bill-To Customer Name
(Consolidated Billing Only)</t>
  </si>
  <si>
    <t xml:space="preserve">For New Enity to Group
Name of Existing Bill Schedule
(Consolidated Billing Only)
</t>
  </si>
  <si>
    <t>Prepaid (Y/N)</t>
  </si>
  <si>
    <t>If Prepaid = Yes
Shared or Project Level</t>
  </si>
  <si>
    <t>Billing Terms (50/50, etc)</t>
  </si>
  <si>
    <t>Installment Amounts</t>
  </si>
  <si>
    <t>Specific Installment Dates
 (cannot be upon completion)</t>
  </si>
  <si>
    <t>Additional
EL Instructions</t>
  </si>
  <si>
    <t xml:space="preserve">Add'l Customer Contact(s)
</t>
  </si>
  <si>
    <t>Add'l Customer Contact Email Address(es)</t>
  </si>
  <si>
    <t>Invoice Recipient Name(s)
First &amp; Last</t>
  </si>
  <si>
    <t>Invoice Recipient Email Address(es)</t>
  </si>
  <si>
    <t>Partner signing EL</t>
  </si>
  <si>
    <t>If Consulting, description of Consulting Services</t>
  </si>
  <si>
    <t>EL Signed?</t>
  </si>
  <si>
    <t>7216 Authorized?</t>
  </si>
  <si>
    <t>Document Delivery</t>
  </si>
  <si>
    <t>Invoice Memo</t>
  </si>
  <si>
    <t>Bill-To Contact</t>
  </si>
  <si>
    <t>Month 1</t>
  </si>
  <si>
    <t>Month 2</t>
  </si>
  <si>
    <t>Month 3</t>
  </si>
  <si>
    <t>Month 4</t>
  </si>
  <si>
    <t>Month 5</t>
  </si>
  <si>
    <t>Month 6</t>
  </si>
  <si>
    <t>Month 7</t>
  </si>
  <si>
    <t>Month 8</t>
  </si>
  <si>
    <t>Month 9</t>
  </si>
  <si>
    <t>Month 10</t>
  </si>
  <si>
    <t>Month 11</t>
  </si>
  <si>
    <t>Month 12</t>
  </si>
  <si>
    <t>Balance</t>
  </si>
  <si>
    <t>Workday Company</t>
  </si>
  <si>
    <t>Project Hierarchy</t>
  </si>
  <si>
    <t>Project Template</t>
  </si>
  <si>
    <t>XCM Sync</t>
  </si>
  <si>
    <t>Work Month</t>
  </si>
  <si>
    <t>Work Year</t>
  </si>
  <si>
    <t>Request Project Name</t>
  </si>
  <si>
    <t>Account GUID</t>
  </si>
  <si>
    <t>Opportunity GUID</t>
  </si>
  <si>
    <t>Opportunity Name</t>
  </si>
  <si>
    <t>Project ID</t>
  </si>
  <si>
    <t>Project Name</t>
  </si>
  <si>
    <t>Contract Amount</t>
  </si>
  <si>
    <t>Worker ID</t>
  </si>
  <si>
    <t>Worker</t>
  </si>
  <si>
    <t>Employee Type</t>
  </si>
  <si>
    <t>Company Type</t>
  </si>
  <si>
    <t>Skill Group</t>
  </si>
  <si>
    <t>Job Category</t>
  </si>
  <si>
    <t>Company / Location (Alternate)</t>
  </si>
  <si>
    <t>Billable Hours</t>
  </si>
  <si>
    <t>Billable Fees</t>
  </si>
  <si>
    <t>Billable Rate (Std.)</t>
  </si>
  <si>
    <t>Std. to Contract Rate Adjustment</t>
  </si>
  <si>
    <t>Billable Fees at Contract Rate</t>
  </si>
  <si>
    <t>Billable Rate (Blended Contract)</t>
  </si>
  <si>
    <t>Contract Rate to Invoice Write Up / Down</t>
  </si>
  <si>
    <t>Amount to Bill</t>
  </si>
  <si>
    <t>Amount to Bill (Billed)</t>
  </si>
  <si>
    <t>Std. Cost</t>
  </si>
  <si>
    <t>Blended Std. Cost per Hour</t>
  </si>
  <si>
    <t>Realization (to Std. Rate)</t>
  </si>
  <si>
    <t>Realization (to Contract Rate)</t>
  </si>
  <si>
    <t># Projects</t>
  </si>
  <si>
    <t>Parent Customer ID</t>
  </si>
  <si>
    <t>Parent Customer Name</t>
  </si>
  <si>
    <t>Customer ID</t>
  </si>
  <si>
    <t>Customer</t>
  </si>
  <si>
    <t>Industry Hierarchy</t>
  </si>
  <si>
    <t>Industry Level 0</t>
  </si>
  <si>
    <t>Industry Level 1</t>
  </si>
  <si>
    <t>Industry Level 2</t>
  </si>
  <si>
    <t>Region Country</t>
  </si>
  <si>
    <t>Region ID</t>
  </si>
  <si>
    <t>Region Name</t>
  </si>
  <si>
    <t>Business Unit (Worker)</t>
  </si>
  <si>
    <t>Practice Area (Worker)</t>
  </si>
  <si>
    <t>Service Line (Worker)</t>
  </si>
  <si>
    <t>Cost Center ID (Worker)</t>
  </si>
  <si>
    <t>PRJ000162919</t>
  </si>
  <si>
    <t>Alacon Investors, LLC Partnership LLC Return 2024/12</t>
  </si>
  <si>
    <t>Partnership/LLC Return</t>
  </si>
  <si>
    <t>Time and Material</t>
  </si>
  <si>
    <t>000037</t>
  </si>
  <si>
    <t>Brad Cless</t>
  </si>
  <si>
    <t>Contractor</t>
  </si>
  <si>
    <t>Onshore</t>
  </si>
  <si>
    <t>Contractor - Director</t>
  </si>
  <si>
    <t>CUS000075351</t>
  </si>
  <si>
    <t>Charter Enterprises (Parent)</t>
  </si>
  <si>
    <t>CUS000100168</t>
  </si>
  <si>
    <t>Alacon Investors, LLC</t>
  </si>
  <si>
    <t>All Industries</t>
  </si>
  <si>
    <t>Strategic Industries</t>
  </si>
  <si>
    <t>Real Estate</t>
  </si>
  <si>
    <t>USA</t>
  </si>
  <si>
    <t>REG011</t>
  </si>
  <si>
    <t>NorCal</t>
  </si>
  <si>
    <t>Tax</t>
  </si>
  <si>
    <t>Privately Held Business</t>
  </si>
  <si>
    <t>Tax - Privately Held Business</t>
  </si>
  <si>
    <t>CC512</t>
  </si>
  <si>
    <t>000445</t>
  </si>
  <si>
    <t>Wiliadewi Huandra</t>
  </si>
  <si>
    <t>Employee</t>
  </si>
  <si>
    <t>Applied filters:
Project Name &amp; ID is Alacon Investors, LLC Partnership LLC Return 2024/12 (PRJ000162919)
Date is on or after Wednesday, January 01, 2025 and is before Thursday, January 01, 2026
Project Delivery Lead is Min Riblett
Business Unit is Tax
Year Selector is Current Year or Prior Year
Transaction Source is Time
Year Index is not blank</t>
  </si>
  <si>
    <t>NextGenApp Advisory LLC</t>
  </si>
  <si>
    <t>Renewals: Pricing may require a slightly different approach for Client Renewals vs Net New Clients. Consider the prior year as a benchmark from which NextGenApp can aim to gain efficiencies in terms of hours worked to complete tasks, automation, and additional outsourcing to India. However, we should try to keep hold on to these efficiencies rather than concede all to the client. This is another benefit of Value Pricing/Fixed Pricing over T&amp;M.</t>
  </si>
  <si>
    <t>Pricing Adjustments are for more complex or difficult client situations and examples include special allocations for partnerships, consolidated corporate tax returns, M&amp;A activity, tax law changes, numbers of entities, messy books and financial statements, limited client financial and tax knowledge, stability, responsiveness and more limited familiarity for NextGenApp with the client's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</si>
</sst>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0.0%"/>
    <numFmt numFmtId="165" formatCode="_(* #,##0.0_);_(* \(#,##0.0\);_(* &quot;-&quot;??_);_(@_)"/>
    <numFmt numFmtId="166" formatCode="0.0"/>
    <numFmt numFmtId="167" formatCode="_(&quot;$&quot;* #,##0_);_(&quot;$&quot;* \(#,##0\);_(&quot;$&quot;* &quot;-&quot;??_);_(@_)"/>
    <numFmt numFmtId="172" formatCode="mm/dd/yy;@"/>
    <numFmt numFmtId="174" formatCode="\$#,##0.00;\(\$#,##0.00\);\$#,##0.00"/>
    <numFmt numFmtId="175" formatCode="\$#,##0;\(\$#,##0\);\$#,##0"/>
    <numFmt numFmtId="176" formatCode="#,##0.0%;\-#,##0.0%;#,##0.0%"/>
  </numFmts>
  <fonts count="81" x14ac:knownFonts="1">
    <font>
      <sz val="12"/>
      <color theme="1"/>
      <name val="Aptos Narrow"/>
      <family val="2"/>
      <scheme val="minor"/>
    </font>
    <font>
      <sz val="12"/>
      <color theme="1"/>
      <name val="Aptos Narrow"/>
      <family val="2"/>
      <scheme val="minor"/>
    </font>
    <font>
      <sz val="12"/>
      <color rgb="FFFF0000"/>
      <name val="Aptos Narrow"/>
      <family val="2"/>
      <scheme val="minor"/>
    </font>
    <font>
      <b/>
      <sz val="12"/>
      <color theme="1"/>
      <name val="Aptos Narrow"/>
      <family val="2"/>
      <scheme val="minor"/>
    </font>
    <font>
      <u/>
      <sz val="12"/>
      <color theme="10"/>
      <name val="Aptos Narrow"/>
      <family val="2"/>
      <scheme val="minor"/>
    </font>
    <font>
      <sz val="11"/>
      <color theme="1"/>
      <name val="Aptos Narrow"/>
      <family val="2"/>
      <scheme val="minor"/>
    </font>
    <font>
      <b/>
      <sz val="16"/>
      <color theme="1"/>
      <name val="Aptos"/>
      <family val="2"/>
    </font>
    <font>
      <sz val="11"/>
      <color theme="1"/>
      <name val="Aptos"/>
      <family val="2"/>
    </font>
    <font>
      <b/>
      <sz val="16"/>
      <color rgb="FFFF0000"/>
      <name val="Aptos"/>
      <family val="2"/>
    </font>
    <font>
      <b/>
      <u/>
      <sz val="16"/>
      <color rgb="FFFF0000"/>
      <name val="Aptos"/>
      <family val="2"/>
    </font>
    <font>
      <b/>
      <sz val="13"/>
      <color theme="1"/>
      <name val="Aptos"/>
      <family val="2"/>
    </font>
    <font>
      <sz val="12"/>
      <color theme="1"/>
      <name val="Aptos"/>
      <family val="2"/>
    </font>
    <font>
      <sz val="14"/>
      <color theme="1"/>
      <name val="Aptos"/>
      <family val="2"/>
    </font>
    <font>
      <b/>
      <sz val="16"/>
      <color rgb="FF008080"/>
      <name val="Aptos"/>
      <family val="2"/>
    </font>
    <font>
      <b/>
      <sz val="11"/>
      <color theme="1"/>
      <name val="Aptos"/>
      <family val="2"/>
    </font>
    <font>
      <b/>
      <sz val="12"/>
      <color theme="1"/>
      <name val="Aptos"/>
      <family val="2"/>
    </font>
    <font>
      <u/>
      <sz val="11"/>
      <color theme="1"/>
      <name val="Aptos"/>
      <family val="2"/>
    </font>
    <font>
      <sz val="12"/>
      <name val="Aptos"/>
      <family val="2"/>
    </font>
    <font>
      <b/>
      <sz val="12"/>
      <color rgb="FF008080"/>
      <name val="Aptos"/>
      <family val="2"/>
    </font>
    <font>
      <i/>
      <sz val="11"/>
      <name val="Aptos"/>
      <family val="2"/>
    </font>
    <font>
      <i/>
      <sz val="11"/>
      <color theme="0"/>
      <name val="Aptos"/>
      <family val="2"/>
    </font>
    <font>
      <i/>
      <sz val="11"/>
      <color theme="1"/>
      <name val="Aptos"/>
      <family val="2"/>
    </font>
    <font>
      <b/>
      <sz val="12"/>
      <name val="Aptos"/>
      <family val="2"/>
    </font>
    <font>
      <b/>
      <sz val="14"/>
      <color rgb="FF008080"/>
      <name val="Aptos"/>
      <family val="2"/>
    </font>
    <font>
      <sz val="16"/>
      <color theme="1"/>
      <name val="Aptos"/>
      <family val="2"/>
    </font>
    <font>
      <b/>
      <sz val="20"/>
      <color rgb="FF949300"/>
      <name val="Aptos"/>
      <family val="2"/>
    </font>
    <font>
      <sz val="16"/>
      <color rgb="FF949300"/>
      <name val="Aptos"/>
      <family val="2"/>
    </font>
    <font>
      <b/>
      <sz val="14"/>
      <color rgb="FFFF0000"/>
      <name val="Aptos"/>
      <family val="2"/>
    </font>
    <font>
      <b/>
      <sz val="16"/>
      <color rgb="FF949300"/>
      <name val="Aptos"/>
      <family val="2"/>
    </font>
    <font>
      <b/>
      <sz val="12"/>
      <color rgb="FF949300"/>
      <name val="Aptos"/>
      <family val="2"/>
    </font>
    <font>
      <b/>
      <i/>
      <sz val="12"/>
      <color rgb="FF949300"/>
      <name val="Aptos"/>
      <family val="2"/>
    </font>
    <font>
      <i/>
      <sz val="16"/>
      <color rgb="FF949300"/>
      <name val="Aptos"/>
      <family val="2"/>
    </font>
    <font>
      <sz val="16"/>
      <name val="Aptos"/>
      <family val="2"/>
    </font>
    <font>
      <b/>
      <sz val="16"/>
      <name val="Aptos"/>
      <family val="2"/>
    </font>
    <font>
      <b/>
      <sz val="20"/>
      <name val="Aptos"/>
      <family val="2"/>
    </font>
    <font>
      <b/>
      <sz val="11"/>
      <name val="Aptos"/>
      <family val="2"/>
    </font>
    <font>
      <b/>
      <sz val="14"/>
      <color theme="0"/>
      <name val="Aptos"/>
      <family val="2"/>
    </font>
    <font>
      <b/>
      <sz val="11"/>
      <color rgb="FF008080"/>
      <name val="Aptos"/>
      <family val="2"/>
    </font>
    <font>
      <b/>
      <sz val="11"/>
      <color theme="0"/>
      <name val="Aptos"/>
      <family val="2"/>
    </font>
    <font>
      <b/>
      <i/>
      <sz val="11"/>
      <name val="Aptos"/>
      <family val="2"/>
    </font>
    <font>
      <b/>
      <i/>
      <sz val="11"/>
      <color theme="1"/>
      <name val="Aptos"/>
      <family val="2"/>
    </font>
    <font>
      <b/>
      <sz val="14"/>
      <name val="Aptos"/>
      <family val="2"/>
    </font>
    <font>
      <b/>
      <sz val="16"/>
      <color theme="0"/>
      <name val="Aptos"/>
      <family val="2"/>
    </font>
    <font>
      <b/>
      <sz val="14"/>
      <color theme="1"/>
      <name val="Aptos"/>
      <family val="2"/>
    </font>
    <font>
      <sz val="11"/>
      <name val="Aptos"/>
      <family val="2"/>
    </font>
    <font>
      <b/>
      <sz val="12"/>
      <color theme="0"/>
      <name val="Aptos"/>
      <family val="2"/>
    </font>
    <font>
      <b/>
      <i/>
      <sz val="11"/>
      <color theme="0"/>
      <name val="Aptos"/>
      <family val="2"/>
    </font>
    <font>
      <b/>
      <i/>
      <sz val="14"/>
      <color rgb="FF008080"/>
      <name val="Aptos"/>
      <family val="2"/>
    </font>
    <font>
      <sz val="11"/>
      <color theme="0"/>
      <name val="Aptos"/>
      <family val="2"/>
    </font>
    <font>
      <sz val="12"/>
      <color theme="0"/>
      <name val="Aptos"/>
      <family val="2"/>
    </font>
    <font>
      <b/>
      <i/>
      <sz val="12"/>
      <color theme="1"/>
      <name val="Aptos"/>
      <family val="2"/>
    </font>
    <font>
      <i/>
      <sz val="12"/>
      <color theme="1"/>
      <name val="Aptos"/>
      <family val="2"/>
    </font>
    <font>
      <sz val="11"/>
      <color rgb="FFFF0000"/>
      <name val="Aptos"/>
      <family val="2"/>
    </font>
    <font>
      <sz val="11"/>
      <color indexed="81"/>
      <name val="Aptos Narrow"/>
      <family val="2"/>
      <scheme val="minor"/>
    </font>
    <font>
      <sz val="9"/>
      <color indexed="81"/>
      <name val="Tahoma"/>
      <family val="2"/>
    </font>
    <font>
      <b/>
      <sz val="12"/>
      <color rgb="FFCF7F00"/>
      <name val="Aptos"/>
      <family val="2"/>
    </font>
    <font>
      <sz val="14"/>
      <color theme="0"/>
      <name val="Aptos"/>
      <family val="2"/>
    </font>
    <font>
      <b/>
      <sz val="28"/>
      <color rgb="FFFF0000"/>
      <name val="Aptos"/>
      <family val="2"/>
    </font>
    <font>
      <b/>
      <sz val="12"/>
      <color theme="0"/>
      <name val="Wingdings 2"/>
      <family val="1"/>
      <charset val="2"/>
    </font>
    <font>
      <u/>
      <sz val="22"/>
      <color rgb="FFFF0000"/>
      <name val="Aptos Narrow"/>
      <family val="2"/>
      <scheme val="minor"/>
    </font>
    <font>
      <b/>
      <u/>
      <sz val="22"/>
      <color rgb="FFFF0000"/>
      <name val="Aptos Narrow"/>
      <family val="2"/>
      <scheme val="minor"/>
    </font>
    <font>
      <i/>
      <sz val="12"/>
      <color rgb="FFFF0000"/>
      <name val="Aptos Narrow"/>
      <family val="2"/>
      <scheme val="minor"/>
    </font>
    <font>
      <u/>
      <sz val="12"/>
      <color rgb="FFFF0000"/>
      <name val="Aptos Narrow"/>
      <family val="2"/>
      <scheme val="minor"/>
    </font>
    <font>
      <b/>
      <sz val="14"/>
      <color rgb="FFFF0000"/>
      <name val="Aptos Narrow"/>
      <family val="2"/>
      <scheme val="minor"/>
    </font>
    <font>
      <sz val="18"/>
      <color theme="1"/>
      <name val="Aptos Narrow"/>
      <family val="2"/>
      <scheme val="minor"/>
    </font>
    <font>
      <sz val="10"/>
      <color theme="1"/>
      <name val="Aptos Narrow"/>
      <family val="2"/>
      <scheme val="minor"/>
    </font>
    <font>
      <b/>
      <i/>
      <sz val="14"/>
      <color rgb="FFFF0000"/>
      <name val="Aptos Narrow"/>
      <family val="2"/>
      <scheme val="minor"/>
    </font>
    <font>
      <b/>
      <sz val="28"/>
      <color rgb="FFFF0000"/>
      <name val="Aptos Narrow"/>
      <family val="2"/>
      <scheme val="minor"/>
    </font>
    <font>
      <b/>
      <sz val="20"/>
      <color theme="1"/>
      <name val="Aptos Narrow"/>
      <family val="2"/>
      <scheme val="minor"/>
    </font>
    <font>
      <b/>
      <sz val="12"/>
      <color rgb="FFFF0000"/>
      <name val="Aptos Narrow"/>
      <family val="2"/>
      <scheme val="minor"/>
    </font>
    <font>
      <b/>
      <sz val="16"/>
      <color rgb="FFFF0000"/>
      <name val="Aptos Narrow"/>
      <family val="2"/>
      <scheme val="minor"/>
    </font>
    <font>
      <sz val="20"/>
      <color rgb="FFFF0000"/>
      <name val="Aptos Narrow"/>
      <family val="2"/>
      <scheme val="minor"/>
    </font>
    <font>
      <sz val="9"/>
      <color rgb="FFFF0000"/>
      <name val="Aptos Narrow"/>
      <family val="2"/>
      <scheme val="minor"/>
    </font>
    <font>
      <sz val="10"/>
      <name val="Aptos Narrow"/>
      <family val="2"/>
      <scheme val="minor"/>
    </font>
    <font>
      <sz val="11"/>
      <name val="Aptos Narrow"/>
      <family val="2"/>
      <scheme val="minor"/>
    </font>
    <font>
      <sz val="11"/>
      <color rgb="FFFF0000"/>
      <name val="Aptos Narrow"/>
      <family val="2"/>
      <scheme val="minor"/>
    </font>
    <font>
      <u/>
      <sz val="11"/>
      <color rgb="FFFF0000"/>
      <name val="Aptos Narrow"/>
      <family val="2"/>
      <scheme val="minor"/>
    </font>
    <font>
      <sz val="10"/>
      <color rgb="FFFF0000"/>
      <name val="Aptos Narrow"/>
      <family val="2"/>
      <scheme val="minor"/>
    </font>
    <font>
      <b/>
      <sz val="10"/>
      <color theme="1"/>
      <name val="Aptos Narrow"/>
      <family val="2"/>
      <scheme val="minor"/>
    </font>
    <font>
      <b/>
      <sz val="11.5"/>
      <name val="Aptos Narrow"/>
      <family val="2"/>
      <scheme val="minor"/>
    </font>
    <font>
      <sz val="11.5"/>
      <color theme="1"/>
      <name val="Aptos Narrow"/>
      <family val="2"/>
      <scheme val="minor"/>
    </font>
  </fonts>
  <fills count="22">
    <fill>
      <patternFill patternType="none"/>
    </fill>
    <fill>
      <patternFill patternType="gray125"/>
    </fill>
    <fill>
      <patternFill patternType="solid">
        <fgColor theme="0"/>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008080"/>
        <bgColor indexed="64"/>
      </patternFill>
    </fill>
    <fill>
      <patternFill patternType="solid">
        <fgColor rgb="FF949300"/>
        <bgColor indexed="64"/>
      </patternFill>
    </fill>
    <fill>
      <patternFill patternType="solid">
        <fgColor rgb="FFCF7F00"/>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CCCCFF"/>
        <bgColor indexed="64"/>
      </patternFill>
    </fill>
    <fill>
      <patternFill patternType="solid">
        <fgColor rgb="FFF4A83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FFCCFF"/>
        <bgColor indexed="64"/>
      </patternFill>
    </fill>
    <fill>
      <patternFill patternType="solid">
        <fgColor rgb="FFFFC000"/>
        <bgColor indexed="64"/>
      </patternFill>
    </fill>
    <fill>
      <patternFill patternType="solid">
        <fgColor rgb="FF00B0F0"/>
        <bgColor indexed="64"/>
      </patternFill>
    </fill>
    <fill>
      <patternFill patternType="solid">
        <fgColor theme="3" tint="0.89999084444715716"/>
        <bgColor indexed="64"/>
      </patternFill>
    </fill>
    <fill>
      <patternFill patternType="solid">
        <fgColor rgb="FFBBBBBB"/>
        <bgColor indexed="64"/>
      </patternFill>
    </fill>
  </fills>
  <borders count="61">
    <border>
      <left/>
      <right/>
      <top/>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right/>
      <top style="medium">
        <color auto="1"/>
      </top>
      <bottom style="medium">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top style="medium">
        <color auto="1"/>
      </top>
      <bottom style="medium">
        <color auto="1"/>
      </bottom>
      <diagonal/>
    </border>
    <border>
      <left/>
      <right style="medium">
        <color auto="1"/>
      </right>
      <top style="medium">
        <color theme="0"/>
      </top>
      <bottom style="medium">
        <color theme="0"/>
      </bottom>
      <diagonal/>
    </border>
    <border>
      <left style="medium">
        <color auto="1"/>
      </left>
      <right style="medium">
        <color auto="1"/>
      </right>
      <top style="medium">
        <color theme="0"/>
      </top>
      <bottom style="medium">
        <color auto="1"/>
      </bottom>
      <diagonal/>
    </border>
    <border>
      <left style="medium">
        <color theme="0"/>
      </left>
      <right/>
      <top style="medium">
        <color indexed="64"/>
      </top>
      <bottom/>
      <diagonal/>
    </border>
    <border>
      <left/>
      <right style="medium">
        <color theme="0"/>
      </right>
      <top style="medium">
        <color indexed="64"/>
      </top>
      <bottom/>
      <diagonal/>
    </border>
    <border>
      <left style="medium">
        <color theme="0"/>
      </left>
      <right/>
      <top/>
      <bottom style="medium">
        <color indexed="64"/>
      </bottom>
      <diagonal/>
    </border>
    <border>
      <left/>
      <right style="medium">
        <color theme="0"/>
      </right>
      <top/>
      <bottom style="medium">
        <color indexed="64"/>
      </bottom>
      <diagonal/>
    </border>
    <border>
      <left style="medium">
        <color theme="0"/>
      </left>
      <right/>
      <top style="medium">
        <color indexed="64"/>
      </top>
      <bottom style="medium">
        <color indexed="64"/>
      </bottom>
      <diagonal/>
    </border>
    <border>
      <left style="medium">
        <color theme="0"/>
      </left>
      <right style="medium">
        <color indexed="64"/>
      </right>
      <top style="medium">
        <color indexed="64"/>
      </top>
      <bottom style="medium">
        <color indexed="64"/>
      </bottom>
      <diagonal/>
    </border>
    <border>
      <left style="medium">
        <color theme="0"/>
      </left>
      <right style="medium">
        <color theme="0"/>
      </right>
      <top style="medium">
        <color indexed="64"/>
      </top>
      <bottom style="medium">
        <color indexed="64"/>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top/>
      <bottom style="thin">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auto="1"/>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indexed="64"/>
      </right>
      <top style="thin">
        <color indexed="64"/>
      </top>
      <bottom style="medium">
        <color rgb="FF000000"/>
      </bottom>
      <diagonal/>
    </border>
    <border>
      <left style="thin">
        <color indexed="64"/>
      </left>
      <right/>
      <top style="thin">
        <color indexed="64"/>
      </top>
      <bottom style="medium">
        <color rgb="FF000000"/>
      </bottom>
      <diagonal/>
    </border>
    <border>
      <left style="thin">
        <color indexed="64"/>
      </left>
      <right style="thin">
        <color indexed="64"/>
      </right>
      <top style="medium">
        <color indexed="64"/>
      </top>
      <bottom style="thin">
        <color auto="1"/>
      </bottom>
      <diagonal/>
    </border>
    <border>
      <left style="thin">
        <color indexed="64"/>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left style="medium">
        <color indexed="64"/>
      </left>
      <right style="medium">
        <color indexed="64"/>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7" fillId="0" borderId="0"/>
  </cellStyleXfs>
  <cellXfs count="922">
    <xf numFmtId="0" fontId="0" fillId="0" borderId="0" xfId="0"/>
    <xf numFmtId="0" fontId="6" fillId="2" borderId="0" xfId="5" applyFont="1" applyFill="1"/>
    <xf numFmtId="0" fontId="7" fillId="2" borderId="0" xfId="5" applyFont="1" applyFill="1"/>
    <xf numFmtId="0" fontId="8" fillId="2" borderId="0" xfId="5" applyFont="1" applyFill="1"/>
    <xf numFmtId="0" fontId="9" fillId="2" borderId="0" xfId="4" applyFont="1" applyFill="1"/>
    <xf numFmtId="0" fontId="10" fillId="2" borderId="1" xfId="5" applyFont="1" applyFill="1" applyBorder="1" applyAlignment="1">
      <alignment horizontal="left"/>
    </xf>
    <xf numFmtId="0" fontId="11" fillId="2" borderId="2" xfId="5" applyFont="1" applyFill="1" applyBorder="1"/>
    <xf numFmtId="0" fontId="11" fillId="2" borderId="0" xfId="5" applyFont="1" applyFill="1"/>
    <xf numFmtId="0" fontId="12" fillId="3" borderId="0" xfId="5" applyFont="1" applyFill="1"/>
    <xf numFmtId="0" fontId="9" fillId="2" borderId="0" xfId="4" applyFont="1" applyFill="1" applyAlignment="1">
      <alignment horizontal="left" vertical="top"/>
    </xf>
    <xf numFmtId="0" fontId="13" fillId="2" borderId="0" xfId="5" applyFont="1" applyFill="1"/>
    <xf numFmtId="0" fontId="14" fillId="2" borderId="0" xfId="5" applyFont="1" applyFill="1"/>
    <xf numFmtId="0" fontId="11" fillId="2" borderId="3" xfId="5" applyFont="1" applyFill="1" applyBorder="1" applyAlignment="1">
      <alignment horizontal="left"/>
    </xf>
    <xf numFmtId="0" fontId="11" fillId="2" borderId="0" xfId="5" applyFont="1" applyFill="1" applyAlignment="1">
      <alignment horizontal="left"/>
    </xf>
    <xf numFmtId="49" fontId="11" fillId="3" borderId="3" xfId="5" applyNumberFormat="1" applyFont="1" applyFill="1" applyBorder="1" applyAlignment="1" applyProtection="1">
      <alignment horizontal="left"/>
      <protection locked="0"/>
    </xf>
    <xf numFmtId="0" fontId="11" fillId="2" borderId="4" xfId="5" applyFont="1" applyFill="1" applyBorder="1" applyAlignment="1">
      <alignment horizontal="left"/>
    </xf>
    <xf numFmtId="49" fontId="11" fillId="2" borderId="4" xfId="5" applyNumberFormat="1" applyFont="1" applyFill="1" applyBorder="1" applyAlignment="1">
      <alignment horizontal="left"/>
    </xf>
    <xf numFmtId="0" fontId="7" fillId="2" borderId="0" xfId="5" quotePrefix="1" applyFont="1" applyFill="1"/>
    <xf numFmtId="1" fontId="11" fillId="3" borderId="3" xfId="5" applyNumberFormat="1" applyFont="1" applyFill="1" applyBorder="1" applyAlignment="1" applyProtection="1">
      <alignment horizontal="left"/>
      <protection locked="0"/>
    </xf>
    <xf numFmtId="0" fontId="11" fillId="2" borderId="5" xfId="5" applyFont="1" applyFill="1" applyBorder="1" applyAlignment="1">
      <alignment horizontal="left"/>
    </xf>
    <xf numFmtId="14" fontId="11" fillId="3" borderId="5" xfId="5" applyNumberFormat="1" applyFont="1" applyFill="1" applyBorder="1" applyAlignment="1" applyProtection="1">
      <alignment horizontal="left"/>
      <protection locked="0"/>
    </xf>
    <xf numFmtId="0" fontId="0" fillId="2" borderId="5" xfId="5" applyFont="1" applyFill="1" applyBorder="1"/>
    <xf numFmtId="0" fontId="11" fillId="3" borderId="1" xfId="6" applyNumberFormat="1" applyFont="1" applyFill="1" applyBorder="1" applyAlignment="1" applyProtection="1">
      <alignment horizontal="left" vertical="top"/>
      <protection locked="0"/>
    </xf>
    <xf numFmtId="14" fontId="11" fillId="3" borderId="5" xfId="5" applyNumberFormat="1" applyFont="1" applyFill="1" applyBorder="1" applyProtection="1">
      <protection locked="0"/>
    </xf>
    <xf numFmtId="0" fontId="0" fillId="2" borderId="5" xfId="5" applyFont="1" applyFill="1" applyBorder="1" applyAlignment="1">
      <alignment horizontal="left"/>
    </xf>
    <xf numFmtId="0" fontId="15" fillId="2" borderId="5" xfId="5" applyFont="1" applyFill="1" applyBorder="1" applyAlignment="1">
      <alignment horizontal="left"/>
    </xf>
    <xf numFmtId="0" fontId="11" fillId="3" borderId="5" xfId="5" applyFont="1" applyFill="1" applyBorder="1" applyAlignment="1" applyProtection="1">
      <alignment horizontal="left"/>
      <protection locked="0"/>
    </xf>
    <xf numFmtId="164" fontId="11" fillId="3" borderId="5" xfId="5" applyNumberFormat="1" applyFont="1" applyFill="1" applyBorder="1" applyAlignment="1" applyProtection="1">
      <alignment horizontal="left"/>
      <protection locked="0"/>
    </xf>
    <xf numFmtId="0" fontId="19" fillId="2" borderId="0" xfId="5" applyFont="1" applyFill="1" applyAlignment="1">
      <alignment horizontal="right"/>
    </xf>
    <xf numFmtId="5" fontId="11" fillId="3" borderId="5" xfId="1" applyNumberFormat="1" applyFont="1" applyFill="1" applyBorder="1" applyAlignment="1" applyProtection="1">
      <alignment horizontal="left"/>
      <protection locked="0"/>
    </xf>
    <xf numFmtId="9" fontId="20" fillId="2" borderId="0" xfId="7" applyFont="1" applyFill="1" applyBorder="1" applyProtection="1"/>
    <xf numFmtId="164" fontId="11" fillId="3" borderId="3" xfId="3" applyNumberFormat="1" applyFont="1" applyFill="1" applyBorder="1" applyAlignment="1" applyProtection="1">
      <alignment horizontal="left"/>
      <protection locked="0"/>
    </xf>
    <xf numFmtId="0" fontId="11" fillId="2" borderId="1" xfId="5" applyFont="1" applyFill="1" applyBorder="1" applyAlignment="1">
      <alignment horizontal="left"/>
    </xf>
    <xf numFmtId="164" fontId="11" fillId="2" borderId="1" xfId="5" applyNumberFormat="1" applyFont="1" applyFill="1" applyBorder="1" applyAlignment="1">
      <alignment horizontal="left"/>
    </xf>
    <xf numFmtId="0" fontId="11" fillId="3" borderId="3" xfId="5" applyFont="1" applyFill="1" applyBorder="1" applyProtection="1">
      <protection locked="0"/>
    </xf>
    <xf numFmtId="0" fontId="7" fillId="3" borderId="3" xfId="5" applyFont="1" applyFill="1" applyBorder="1" applyProtection="1">
      <protection locked="0"/>
    </xf>
    <xf numFmtId="0" fontId="11" fillId="3" borderId="5" xfId="5" applyFont="1" applyFill="1" applyBorder="1" applyProtection="1">
      <protection locked="0"/>
    </xf>
    <xf numFmtId="0" fontId="7" fillId="3" borderId="5" xfId="5" applyFont="1" applyFill="1" applyBorder="1" applyProtection="1">
      <protection locked="0"/>
    </xf>
    <xf numFmtId="0" fontId="7" fillId="3" borderId="6" xfId="5" applyFont="1" applyFill="1" applyBorder="1" applyProtection="1">
      <protection locked="0"/>
    </xf>
    <xf numFmtId="0" fontId="21" fillId="2" borderId="0" xfId="5" applyFont="1" applyFill="1"/>
    <xf numFmtId="0" fontId="7" fillId="2" borderId="7" xfId="5" applyFont="1" applyFill="1" applyBorder="1"/>
    <xf numFmtId="0" fontId="18" fillId="2" borderId="8" xfId="0" applyFont="1" applyFill="1" applyBorder="1" applyAlignment="1">
      <alignment horizontal="left" vertical="center" wrapText="1"/>
    </xf>
    <xf numFmtId="0" fontId="18" fillId="2" borderId="7" xfId="0" applyFont="1" applyFill="1" applyBorder="1" applyAlignment="1">
      <alignment horizontal="left" vertical="center" wrapText="1"/>
    </xf>
    <xf numFmtId="0" fontId="18" fillId="2" borderId="9" xfId="0" applyFont="1" applyFill="1" applyBorder="1" applyAlignment="1">
      <alignment horizontal="left" vertical="center" wrapText="1"/>
    </xf>
    <xf numFmtId="0" fontId="18" fillId="2" borderId="10" xfId="0" applyFont="1" applyFill="1" applyBorder="1" applyAlignment="1">
      <alignment horizontal="left" vertical="center" wrapText="1"/>
    </xf>
    <xf numFmtId="0" fontId="18" fillId="2" borderId="0" xfId="0" applyFont="1" applyFill="1" applyAlignment="1">
      <alignment horizontal="left" vertical="center" wrapText="1"/>
    </xf>
    <xf numFmtId="0" fontId="18" fillId="2" borderId="11" xfId="0" applyFont="1" applyFill="1" applyBorder="1" applyAlignment="1">
      <alignment horizontal="left" vertical="center" wrapText="1"/>
    </xf>
    <xf numFmtId="0" fontId="22" fillId="2" borderId="10" xfId="0" applyFont="1" applyFill="1" applyBorder="1" applyAlignment="1">
      <alignment horizontal="left" vertical="center" wrapText="1"/>
    </xf>
    <xf numFmtId="0" fontId="22" fillId="2" borderId="0" xfId="0" applyFont="1" applyFill="1" applyAlignment="1">
      <alignment horizontal="left" vertical="center" wrapText="1"/>
    </xf>
    <xf numFmtId="0" fontId="22" fillId="2" borderId="11"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7" fillId="2" borderId="0" xfId="0" applyFont="1" applyFill="1" applyAlignment="1">
      <alignment horizontal="left" vertical="center" wrapText="1"/>
    </xf>
    <xf numFmtId="0" fontId="17" fillId="2" borderId="11" xfId="0" applyFont="1" applyFill="1" applyBorder="1" applyAlignment="1">
      <alignment horizontal="left" vertical="center" wrapText="1"/>
    </xf>
    <xf numFmtId="0" fontId="22" fillId="2" borderId="12" xfId="0" applyFont="1" applyFill="1" applyBorder="1" applyAlignment="1">
      <alignment horizontal="left" vertical="center" wrapText="1"/>
    </xf>
    <xf numFmtId="0" fontId="22" fillId="2" borderId="13" xfId="0" applyFont="1" applyFill="1" applyBorder="1" applyAlignment="1">
      <alignment horizontal="left" vertical="center" wrapText="1"/>
    </xf>
    <xf numFmtId="0" fontId="22" fillId="2" borderId="14" xfId="0" applyFont="1" applyFill="1" applyBorder="1" applyAlignment="1">
      <alignment horizontal="left" vertical="center" wrapText="1"/>
    </xf>
    <xf numFmtId="0" fontId="11" fillId="2" borderId="8" xfId="5" applyFont="1" applyFill="1" applyBorder="1"/>
    <xf numFmtId="0" fontId="7" fillId="2" borderId="9" xfId="5" applyFont="1" applyFill="1" applyBorder="1"/>
    <xf numFmtId="0" fontId="4" fillId="2" borderId="10" xfId="4" applyFill="1" applyBorder="1"/>
    <xf numFmtId="0" fontId="7" fillId="2" borderId="11" xfId="5" applyFont="1" applyFill="1" applyBorder="1"/>
    <xf numFmtId="0" fontId="0" fillId="2" borderId="10" xfId="5" applyFont="1" applyFill="1" applyBorder="1"/>
    <xf numFmtId="0" fontId="11" fillId="2" borderId="10" xfId="5" applyFont="1" applyFill="1" applyBorder="1"/>
    <xf numFmtId="0" fontId="11" fillId="2" borderId="12" xfId="5" applyFont="1" applyFill="1" applyBorder="1"/>
    <xf numFmtId="0" fontId="7" fillId="2" borderId="13" xfId="5" applyFont="1" applyFill="1" applyBorder="1"/>
    <xf numFmtId="0" fontId="7" fillId="2" borderId="14" xfId="5" applyFont="1" applyFill="1" applyBorder="1"/>
    <xf numFmtId="0" fontId="24" fillId="2" borderId="0" xfId="5" applyFont="1" applyFill="1"/>
    <xf numFmtId="0" fontId="21" fillId="2" borderId="0" xfId="5" applyFont="1" applyFill="1" applyAlignment="1">
      <alignment horizontal="left" vertical="top" textRotation="180"/>
    </xf>
    <xf numFmtId="0" fontId="25" fillId="2" borderId="0" xfId="5" applyFont="1" applyFill="1"/>
    <xf numFmtId="0" fontId="26" fillId="2" borderId="0" xfId="5" applyFont="1" applyFill="1"/>
    <xf numFmtId="165" fontId="27" fillId="2" borderId="0" xfId="6" applyNumberFormat="1" applyFont="1" applyFill="1" applyBorder="1" applyAlignment="1" applyProtection="1">
      <alignment horizontal="left"/>
    </xf>
    <xf numFmtId="0" fontId="26" fillId="4" borderId="0" xfId="5" applyFont="1" applyFill="1"/>
    <xf numFmtId="0" fontId="28" fillId="2" borderId="0" xfId="5" applyFont="1" applyFill="1"/>
    <xf numFmtId="0" fontId="29" fillId="2" borderId="0" xfId="5" applyFont="1" applyFill="1"/>
    <xf numFmtId="0" fontId="30" fillId="2" borderId="0" xfId="5" applyFont="1" applyFill="1"/>
    <xf numFmtId="0" fontId="31" fillId="2" borderId="0" xfId="5" applyFont="1" applyFill="1"/>
    <xf numFmtId="0" fontId="25" fillId="4" borderId="0" xfId="5" applyFont="1" applyFill="1"/>
    <xf numFmtId="0" fontId="29" fillId="4" borderId="0" xfId="5" applyFont="1" applyFill="1"/>
    <xf numFmtId="0" fontId="32" fillId="4" borderId="0" xfId="5" applyFont="1" applyFill="1"/>
    <xf numFmtId="0" fontId="33" fillId="4" borderId="0" xfId="5" applyFont="1" applyFill="1"/>
    <xf numFmtId="0" fontId="34" fillId="2" borderId="0" xfId="5" applyFont="1" applyFill="1"/>
    <xf numFmtId="0" fontId="6" fillId="2" borderId="8" xfId="5" applyFont="1" applyFill="1" applyBorder="1"/>
    <xf numFmtId="0" fontId="24" fillId="2" borderId="9" xfId="5" applyFont="1" applyFill="1" applyBorder="1"/>
    <xf numFmtId="0" fontId="35" fillId="2" borderId="3" xfId="5" applyFont="1" applyFill="1" applyBorder="1" applyAlignment="1">
      <alignment horizontal="center" wrapText="1"/>
    </xf>
    <xf numFmtId="0" fontId="36" fillId="5" borderId="3" xfId="5" applyFont="1" applyFill="1" applyBorder="1" applyAlignment="1">
      <alignment horizontal="center" textRotation="180" wrapText="1"/>
    </xf>
    <xf numFmtId="0" fontId="36" fillId="6" borderId="3" xfId="5" applyFont="1" applyFill="1" applyBorder="1" applyAlignment="1">
      <alignment horizontal="center" textRotation="180" wrapText="1"/>
    </xf>
    <xf numFmtId="0" fontId="36" fillId="7" borderId="3" xfId="5" applyFont="1" applyFill="1" applyBorder="1" applyAlignment="1">
      <alignment horizontal="center" textRotation="180" wrapText="1"/>
    </xf>
    <xf numFmtId="0" fontId="35" fillId="2" borderId="3" xfId="5" applyFont="1" applyFill="1" applyBorder="1" applyAlignment="1">
      <alignment horizontal="center" textRotation="180" wrapText="1"/>
    </xf>
    <xf numFmtId="0" fontId="35" fillId="2" borderId="8" xfId="5" applyFont="1" applyFill="1" applyBorder="1" applyAlignment="1">
      <alignment horizontal="center" textRotation="180" wrapText="1"/>
    </xf>
    <xf numFmtId="0" fontId="35" fillId="2" borderId="7" xfId="5" applyFont="1" applyFill="1" applyBorder="1" applyAlignment="1">
      <alignment horizontal="center" textRotation="180" wrapText="1"/>
    </xf>
    <xf numFmtId="0" fontId="35" fillId="2" borderId="9" xfId="5" applyFont="1" applyFill="1" applyBorder="1" applyAlignment="1">
      <alignment horizontal="center" textRotation="180" wrapText="1"/>
    </xf>
    <xf numFmtId="0" fontId="14" fillId="4" borderId="8" xfId="5" applyFont="1" applyFill="1" applyBorder="1" applyAlignment="1">
      <alignment horizontal="center" textRotation="180" wrapText="1"/>
    </xf>
    <xf numFmtId="0" fontId="35" fillId="2" borderId="8" xfId="5" applyFont="1" applyFill="1" applyBorder="1" applyAlignment="1">
      <alignment horizontal="right" wrapText="1"/>
    </xf>
    <xf numFmtId="0" fontId="35" fillId="2" borderId="7" xfId="5" applyFont="1" applyFill="1" applyBorder="1" applyAlignment="1">
      <alignment horizontal="right" wrapText="1"/>
    </xf>
    <xf numFmtId="0" fontId="14" fillId="2" borderId="7" xfId="5" applyFont="1" applyFill="1" applyBorder="1" applyAlignment="1">
      <alignment horizontal="right" wrapText="1"/>
    </xf>
    <xf numFmtId="0" fontId="35" fillId="2" borderId="9" xfId="5" applyFont="1" applyFill="1" applyBorder="1" applyAlignment="1">
      <alignment horizontal="right" wrapText="1"/>
    </xf>
    <xf numFmtId="0" fontId="38" fillId="8" borderId="3" xfId="5" applyFont="1" applyFill="1" applyBorder="1" applyAlignment="1">
      <alignment horizontal="center" wrapText="1"/>
    </xf>
    <xf numFmtId="0" fontId="39" fillId="2" borderId="8" xfId="5" applyFont="1" applyFill="1" applyBorder="1" applyAlignment="1">
      <alignment horizontal="right" wrapText="1"/>
    </xf>
    <xf numFmtId="0" fontId="40" fillId="2" borderId="9" xfId="5" applyFont="1" applyFill="1" applyBorder="1" applyAlignment="1">
      <alignment horizontal="right" wrapText="1"/>
    </xf>
    <xf numFmtId="0" fontId="14" fillId="2" borderId="3" xfId="5" applyFont="1" applyFill="1" applyBorder="1" applyAlignment="1">
      <alignment horizontal="right" wrapText="1"/>
    </xf>
    <xf numFmtId="0" fontId="28" fillId="4" borderId="0" xfId="5" applyFont="1" applyFill="1"/>
    <xf numFmtId="0" fontId="35" fillId="4" borderId="8" xfId="5" applyFont="1" applyFill="1" applyBorder="1" applyAlignment="1">
      <alignment horizontal="right" wrapText="1"/>
    </xf>
    <xf numFmtId="0" fontId="35" fillId="4" borderId="9" xfId="5" applyFont="1" applyFill="1" applyBorder="1" applyAlignment="1">
      <alignment horizontal="right" wrapText="1"/>
    </xf>
    <xf numFmtId="0" fontId="22" fillId="4" borderId="8" xfId="5" applyFont="1" applyFill="1" applyBorder="1" applyAlignment="1">
      <alignment horizontal="right"/>
    </xf>
    <xf numFmtId="0" fontId="22" fillId="4" borderId="7" xfId="5" applyFont="1" applyFill="1" applyBorder="1" applyAlignment="1">
      <alignment horizontal="right"/>
    </xf>
    <xf numFmtId="0" fontId="22" fillId="4" borderId="9" xfId="5" applyFont="1" applyFill="1" applyBorder="1" applyAlignment="1">
      <alignment horizontal="right"/>
    </xf>
    <xf numFmtId="0" fontId="33" fillId="2" borderId="0" xfId="5" applyFont="1" applyFill="1"/>
    <xf numFmtId="0" fontId="42" fillId="5" borderId="8" xfId="5" applyFont="1" applyFill="1" applyBorder="1" applyAlignment="1">
      <alignment horizontal="center"/>
    </xf>
    <xf numFmtId="0" fontId="42" fillId="5" borderId="7" xfId="5" applyFont="1" applyFill="1" applyBorder="1" applyAlignment="1">
      <alignment horizontal="center"/>
    </xf>
    <xf numFmtId="0" fontId="42" fillId="5" borderId="9" xfId="5" applyFont="1" applyFill="1" applyBorder="1" applyAlignment="1">
      <alignment horizontal="center"/>
    </xf>
    <xf numFmtId="0" fontId="42" fillId="6" borderId="8" xfId="5" applyFont="1" applyFill="1" applyBorder="1" applyAlignment="1">
      <alignment horizontal="center"/>
    </xf>
    <xf numFmtId="0" fontId="42" fillId="6" borderId="7" xfId="5" applyFont="1" applyFill="1" applyBorder="1" applyAlignment="1">
      <alignment horizontal="center"/>
    </xf>
    <xf numFmtId="0" fontId="42" fillId="6" borderId="9" xfId="5" applyFont="1" applyFill="1" applyBorder="1" applyAlignment="1">
      <alignment horizontal="center"/>
    </xf>
    <xf numFmtId="0" fontId="42" fillId="7" borderId="8" xfId="5" applyFont="1" applyFill="1" applyBorder="1" applyAlignment="1">
      <alignment horizontal="center"/>
    </xf>
    <xf numFmtId="0" fontId="42" fillId="7" borderId="7" xfId="5" applyFont="1" applyFill="1" applyBorder="1" applyAlignment="1">
      <alignment horizontal="center"/>
    </xf>
    <xf numFmtId="0" fontId="42" fillId="7" borderId="9" xfId="5" applyFont="1" applyFill="1" applyBorder="1" applyAlignment="1">
      <alignment horizontal="center"/>
    </xf>
    <xf numFmtId="0" fontId="28" fillId="2" borderId="3" xfId="5" applyFont="1" applyFill="1" applyBorder="1"/>
    <xf numFmtId="0" fontId="43" fillId="2" borderId="12" xfId="5" applyFont="1" applyFill="1" applyBorder="1" applyAlignment="1">
      <alignment horizontal="left"/>
    </xf>
    <xf numFmtId="0" fontId="35" fillId="2" borderId="6" xfId="5" applyFont="1" applyFill="1" applyBorder="1" applyAlignment="1">
      <alignment horizontal="center" wrapText="1"/>
    </xf>
    <xf numFmtId="0" fontId="36" fillId="5" borderId="6" xfId="5" applyFont="1" applyFill="1" applyBorder="1" applyAlignment="1">
      <alignment horizontal="center" textRotation="180" wrapText="1"/>
    </xf>
    <xf numFmtId="0" fontId="36" fillId="6" borderId="6" xfId="5" applyFont="1" applyFill="1" applyBorder="1" applyAlignment="1">
      <alignment horizontal="center" textRotation="180" wrapText="1"/>
    </xf>
    <xf numFmtId="0" fontId="36" fillId="7" borderId="6" xfId="5" applyFont="1" applyFill="1" applyBorder="1" applyAlignment="1">
      <alignment horizontal="center" textRotation="180" wrapText="1"/>
    </xf>
    <xf numFmtId="0" fontId="14" fillId="2" borderId="0" xfId="5" applyFont="1" applyFill="1" applyAlignment="1">
      <alignment horizontal="center" textRotation="180" wrapText="1"/>
    </xf>
    <xf numFmtId="0" fontId="35" fillId="2" borderId="6" xfId="5" applyFont="1" applyFill="1" applyBorder="1" applyAlignment="1">
      <alignment horizontal="center" textRotation="180" wrapText="1"/>
    </xf>
    <xf numFmtId="0" fontId="35" fillId="2" borderId="12" xfId="5" applyFont="1" applyFill="1" applyBorder="1" applyAlignment="1">
      <alignment horizontal="center" textRotation="180" wrapText="1"/>
    </xf>
    <xf numFmtId="0" fontId="35" fillId="2" borderId="13" xfId="5" applyFont="1" applyFill="1" applyBorder="1" applyAlignment="1">
      <alignment horizontal="center" textRotation="180" wrapText="1"/>
    </xf>
    <xf numFmtId="0" fontId="35" fillId="2" borderId="14" xfId="5" applyFont="1" applyFill="1" applyBorder="1" applyAlignment="1">
      <alignment horizontal="center" textRotation="180" wrapText="1"/>
    </xf>
    <xf numFmtId="0" fontId="14" fillId="4" borderId="12" xfId="5" applyFont="1" applyFill="1" applyBorder="1" applyAlignment="1">
      <alignment horizontal="center" textRotation="180" wrapText="1"/>
    </xf>
    <xf numFmtId="0" fontId="35" fillId="2" borderId="12" xfId="5" applyFont="1" applyFill="1" applyBorder="1" applyAlignment="1">
      <alignment horizontal="right" wrapText="1"/>
    </xf>
    <xf numFmtId="0" fontId="35" fillId="2" borderId="13" xfId="5" applyFont="1" applyFill="1" applyBorder="1" applyAlignment="1">
      <alignment horizontal="right" wrapText="1"/>
    </xf>
    <xf numFmtId="0" fontId="14" fillId="2" borderId="13" xfId="5" applyFont="1" applyFill="1" applyBorder="1" applyAlignment="1">
      <alignment horizontal="right" wrapText="1"/>
    </xf>
    <xf numFmtId="0" fontId="35" fillId="2" borderId="14" xfId="5" applyFont="1" applyFill="1" applyBorder="1" applyAlignment="1">
      <alignment horizontal="right" wrapText="1"/>
    </xf>
    <xf numFmtId="0" fontId="38" fillId="8" borderId="6" xfId="5" applyFont="1" applyFill="1" applyBorder="1" applyAlignment="1">
      <alignment horizontal="center" wrapText="1"/>
    </xf>
    <xf numFmtId="0" fontId="39" fillId="2" borderId="12" xfId="5" applyFont="1" applyFill="1" applyBorder="1" applyAlignment="1">
      <alignment horizontal="right" wrapText="1"/>
    </xf>
    <xf numFmtId="0" fontId="40" fillId="2" borderId="14" xfId="5" applyFont="1" applyFill="1" applyBorder="1" applyAlignment="1">
      <alignment horizontal="right" wrapText="1"/>
    </xf>
    <xf numFmtId="0" fontId="14" fillId="2" borderId="6" xfId="5" applyFont="1" applyFill="1" applyBorder="1" applyAlignment="1">
      <alignment horizontal="right" wrapText="1"/>
    </xf>
    <xf numFmtId="0" fontId="14" fillId="4" borderId="0" xfId="5" applyFont="1" applyFill="1" applyAlignment="1">
      <alignment horizontal="center" textRotation="180" wrapText="1"/>
    </xf>
    <xf numFmtId="0" fontId="35" fillId="4" borderId="12" xfId="5" applyFont="1" applyFill="1" applyBorder="1" applyAlignment="1">
      <alignment horizontal="right" wrapText="1"/>
    </xf>
    <xf numFmtId="0" fontId="35" fillId="4" borderId="14" xfId="5" applyFont="1" applyFill="1" applyBorder="1" applyAlignment="1">
      <alignment horizontal="right" wrapText="1"/>
    </xf>
    <xf numFmtId="0" fontId="35" fillId="4" borderId="12" xfId="5" applyFont="1" applyFill="1" applyBorder="1" applyAlignment="1">
      <alignment horizontal="right" wrapText="1"/>
    </xf>
    <xf numFmtId="0" fontId="35" fillId="4" borderId="13" xfId="5" applyFont="1" applyFill="1" applyBorder="1" applyAlignment="1">
      <alignment horizontal="right" wrapText="1"/>
    </xf>
    <xf numFmtId="0" fontId="35" fillId="4" borderId="14" xfId="5" applyFont="1" applyFill="1" applyBorder="1" applyAlignment="1">
      <alignment horizontal="right" wrapText="1"/>
    </xf>
    <xf numFmtId="0" fontId="35" fillId="2" borderId="0" xfId="5" applyFont="1" applyFill="1" applyAlignment="1">
      <alignment horizontal="center" textRotation="180" wrapText="1"/>
    </xf>
    <xf numFmtId="0" fontId="38" fillId="5" borderId="12" xfId="5" applyFont="1" applyFill="1" applyBorder="1" applyAlignment="1">
      <alignment horizontal="right" wrapText="1"/>
    </xf>
    <xf numFmtId="0" fontId="38" fillId="5" borderId="13" xfId="5" applyFont="1" applyFill="1" applyBorder="1" applyAlignment="1">
      <alignment horizontal="right" wrapText="1"/>
    </xf>
    <xf numFmtId="0" fontId="38" fillId="5" borderId="14" xfId="5" applyFont="1" applyFill="1" applyBorder="1" applyAlignment="1">
      <alignment horizontal="right" wrapText="1"/>
    </xf>
    <xf numFmtId="0" fontId="38" fillId="6" borderId="12" xfId="5" applyFont="1" applyFill="1" applyBorder="1" applyAlignment="1">
      <alignment horizontal="right" wrapText="1"/>
    </xf>
    <xf numFmtId="0" fontId="38" fillId="6" borderId="13" xfId="5" applyFont="1" applyFill="1" applyBorder="1" applyAlignment="1">
      <alignment horizontal="right" wrapText="1"/>
    </xf>
    <xf numFmtId="0" fontId="38" fillId="6" borderId="14" xfId="5" applyFont="1" applyFill="1" applyBorder="1" applyAlignment="1">
      <alignment horizontal="right" wrapText="1"/>
    </xf>
    <xf numFmtId="0" fontId="38" fillId="7" borderId="12" xfId="5" applyFont="1" applyFill="1" applyBorder="1" applyAlignment="1">
      <alignment horizontal="right" wrapText="1"/>
    </xf>
    <xf numFmtId="0" fontId="38" fillId="7" borderId="13" xfId="5" applyFont="1" applyFill="1" applyBorder="1" applyAlignment="1">
      <alignment horizontal="right" wrapText="1"/>
    </xf>
    <xf numFmtId="0" fontId="38" fillId="7" borderId="14" xfId="5" applyFont="1" applyFill="1" applyBorder="1" applyAlignment="1">
      <alignment horizontal="right" wrapText="1"/>
    </xf>
    <xf numFmtId="0" fontId="34" fillId="2" borderId="6" xfId="5" applyFont="1" applyFill="1" applyBorder="1" applyAlignment="1">
      <alignment horizontal="left" wrapText="1"/>
    </xf>
    <xf numFmtId="0" fontId="12" fillId="0" borderId="0" xfId="5" applyFont="1"/>
    <xf numFmtId="42" fontId="15" fillId="2" borderId="7" xfId="5" applyNumberFormat="1" applyFont="1" applyFill="1" applyBorder="1" applyAlignment="1">
      <alignment horizontal="center" wrapText="1"/>
    </xf>
    <xf numFmtId="0" fontId="7" fillId="2" borderId="0" xfId="5" applyFont="1" applyFill="1" applyAlignment="1">
      <alignment horizontal="center"/>
    </xf>
    <xf numFmtId="0" fontId="7" fillId="4" borderId="0" xfId="5" applyFont="1" applyFill="1" applyAlignment="1">
      <alignment horizontal="center"/>
    </xf>
    <xf numFmtId="0" fontId="7" fillId="4" borderId="0" xfId="5" applyFont="1" applyFill="1"/>
    <xf numFmtId="0" fontId="14" fillId="4" borderId="0" xfId="5" applyFont="1" applyFill="1"/>
    <xf numFmtId="0" fontId="44" fillId="4" borderId="0" xfId="5" applyFont="1" applyFill="1"/>
    <xf numFmtId="0" fontId="44" fillId="2" borderId="0" xfId="5" applyFont="1" applyFill="1"/>
    <xf numFmtId="165" fontId="14" fillId="2" borderId="0" xfId="6" applyNumberFormat="1" applyFont="1" applyFill="1" applyBorder="1" applyAlignment="1" applyProtection="1">
      <alignment wrapText="1"/>
    </xf>
    <xf numFmtId="0" fontId="14" fillId="2" borderId="0" xfId="5" applyFont="1" applyFill="1" applyAlignment="1">
      <alignment horizontal="left" vertical="center"/>
    </xf>
    <xf numFmtId="165" fontId="7" fillId="2" borderId="0" xfId="6" applyNumberFormat="1" applyFont="1" applyFill="1" applyBorder="1" applyProtection="1"/>
    <xf numFmtId="0" fontId="40" fillId="2" borderId="0" xfId="5" applyFont="1" applyFill="1"/>
    <xf numFmtId="165" fontId="7" fillId="4" borderId="0" xfId="6" applyNumberFormat="1" applyFont="1" applyFill="1" applyBorder="1" applyProtection="1"/>
    <xf numFmtId="0" fontId="35" fillId="4" borderId="0" xfId="5" applyFont="1" applyFill="1"/>
    <xf numFmtId="165" fontId="44" fillId="2" borderId="0" xfId="6" applyNumberFormat="1" applyFont="1" applyFill="1" applyBorder="1" applyProtection="1"/>
    <xf numFmtId="0" fontId="7" fillId="2" borderId="0" xfId="5" applyFont="1" applyFill="1" applyAlignment="1">
      <alignment horizontal="left" wrapText="1"/>
    </xf>
    <xf numFmtId="42" fontId="14" fillId="2" borderId="0" xfId="5" applyNumberFormat="1" applyFont="1" applyFill="1" applyAlignment="1">
      <alignment wrapText="1"/>
    </xf>
    <xf numFmtId="0" fontId="45" fillId="9" borderId="15" xfId="5" applyFont="1" applyFill="1" applyBorder="1" applyAlignment="1">
      <alignment horizontal="left"/>
    </xf>
    <xf numFmtId="0" fontId="45" fillId="9" borderId="2" xfId="5" applyFont="1" applyFill="1" applyBorder="1" applyAlignment="1">
      <alignment horizontal="left"/>
    </xf>
    <xf numFmtId="42" fontId="14" fillId="2" borderId="0" xfId="7" quotePrefix="1" applyNumberFormat="1" applyFont="1" applyFill="1" applyBorder="1" applyProtection="1"/>
    <xf numFmtId="42" fontId="14" fillId="2" borderId="0" xfId="7" applyNumberFormat="1" applyFont="1" applyFill="1" applyBorder="1" applyProtection="1"/>
    <xf numFmtId="166" fontId="38" fillId="9" borderId="15" xfId="5" applyNumberFormat="1" applyFont="1" applyFill="1" applyBorder="1"/>
    <xf numFmtId="166" fontId="38" fillId="9" borderId="4" xfId="5" applyNumberFormat="1" applyFont="1" applyFill="1" applyBorder="1"/>
    <xf numFmtId="166" fontId="38" fillId="9" borderId="2" xfId="5" applyNumberFormat="1" applyFont="1" applyFill="1" applyBorder="1"/>
    <xf numFmtId="166" fontId="14" fillId="4" borderId="0" xfId="5" applyNumberFormat="1" applyFont="1" applyFill="1"/>
    <xf numFmtId="9" fontId="45" fillId="9" borderId="2" xfId="3" applyFont="1" applyFill="1" applyBorder="1" applyAlignment="1" applyProtection="1"/>
    <xf numFmtId="42" fontId="38" fillId="9" borderId="15" xfId="7" applyNumberFormat="1" applyFont="1" applyFill="1" applyBorder="1" applyProtection="1"/>
    <xf numFmtId="42" fontId="38" fillId="9" borderId="4" xfId="7" applyNumberFormat="1" applyFont="1" applyFill="1" applyBorder="1" applyProtection="1"/>
    <xf numFmtId="42" fontId="38" fillId="9" borderId="2" xfId="7" applyNumberFormat="1" applyFont="1" applyFill="1" applyBorder="1" applyProtection="1"/>
    <xf numFmtId="42" fontId="38" fillId="8" borderId="7" xfId="7" applyNumberFormat="1" applyFont="1" applyFill="1" applyBorder="1" applyProtection="1"/>
    <xf numFmtId="9" fontId="46" fillId="9" borderId="15" xfId="3" applyFont="1" applyFill="1" applyBorder="1" applyProtection="1">
      <protection locked="0"/>
    </xf>
    <xf numFmtId="167" fontId="46" fillId="9" borderId="2" xfId="2" applyNumberFormat="1" applyFont="1" applyFill="1" applyBorder="1" applyProtection="1"/>
    <xf numFmtId="43" fontId="14" fillId="2" borderId="0" xfId="6" applyFont="1" applyFill="1" applyBorder="1" applyProtection="1"/>
    <xf numFmtId="42" fontId="38" fillId="9" borderId="1" xfId="7" applyNumberFormat="1" applyFont="1" applyFill="1" applyBorder="1" applyProtection="1"/>
    <xf numFmtId="43" fontId="14" fillId="4" borderId="0" xfId="6" applyFont="1" applyFill="1" applyBorder="1" applyProtection="1"/>
    <xf numFmtId="43" fontId="35" fillId="2" borderId="0" xfId="6" applyFont="1" applyFill="1" applyBorder="1" applyProtection="1"/>
    <xf numFmtId="9" fontId="45" fillId="9" borderId="2" xfId="3" applyFont="1" applyFill="1" applyBorder="1" applyProtection="1"/>
    <xf numFmtId="0" fontId="15" fillId="2" borderId="1" xfId="5" applyFont="1" applyFill="1" applyBorder="1"/>
    <xf numFmtId="0" fontId="15" fillId="2" borderId="0" xfId="5" applyFont="1" applyFill="1"/>
    <xf numFmtId="42" fontId="14" fillId="2" borderId="0" xfId="7" applyNumberFormat="1" applyFont="1" applyFill="1" applyBorder="1" applyAlignment="1" applyProtection="1">
      <alignment horizontal="right"/>
    </xf>
    <xf numFmtId="166" fontId="14" fillId="2" borderId="15" xfId="5" applyNumberFormat="1" applyFont="1" applyFill="1" applyBorder="1"/>
    <xf numFmtId="166" fontId="14" fillId="2" borderId="4" xfId="5" applyNumberFormat="1" applyFont="1" applyFill="1" applyBorder="1"/>
    <xf numFmtId="166" fontId="14" fillId="2" borderId="2" xfId="5" applyNumberFormat="1" applyFont="1" applyFill="1" applyBorder="1"/>
    <xf numFmtId="9" fontId="15" fillId="2" borderId="2" xfId="3" applyFont="1" applyFill="1" applyBorder="1" applyAlignment="1" applyProtection="1"/>
    <xf numFmtId="42" fontId="35" fillId="2" borderId="15" xfId="7" applyNumberFormat="1" applyFont="1" applyFill="1" applyBorder="1" applyProtection="1"/>
    <xf numFmtId="42" fontId="35" fillId="2" borderId="4" xfId="7" applyNumberFormat="1" applyFont="1" applyFill="1" applyBorder="1" applyProtection="1"/>
    <xf numFmtId="42" fontId="35" fillId="2" borderId="2" xfId="7" applyNumberFormat="1" applyFont="1" applyFill="1" applyBorder="1" applyProtection="1"/>
    <xf numFmtId="42" fontId="38" fillId="8" borderId="16" xfId="7" applyNumberFormat="1" applyFont="1" applyFill="1" applyBorder="1" applyProtection="1"/>
    <xf numFmtId="9" fontId="39" fillId="2" borderId="15" xfId="3" applyFont="1" applyFill="1" applyBorder="1" applyProtection="1">
      <protection locked="0"/>
    </xf>
    <xf numFmtId="167" fontId="40" fillId="2" borderId="2" xfId="2" applyNumberFormat="1" applyFont="1" applyFill="1" applyBorder="1" applyProtection="1"/>
    <xf numFmtId="42" fontId="35" fillId="2" borderId="1" xfId="7" applyNumberFormat="1" applyFont="1" applyFill="1" applyBorder="1" applyProtection="1"/>
    <xf numFmtId="42" fontId="35" fillId="4" borderId="15" xfId="7" applyNumberFormat="1" applyFont="1" applyFill="1" applyBorder="1" applyProtection="1"/>
    <xf numFmtId="42" fontId="35" fillId="4" borderId="2" xfId="7" applyNumberFormat="1" applyFont="1" applyFill="1" applyBorder="1" applyProtection="1"/>
    <xf numFmtId="42" fontId="35" fillId="4" borderId="4" xfId="7" applyNumberFormat="1" applyFont="1" applyFill="1" applyBorder="1" applyProtection="1"/>
    <xf numFmtId="166" fontId="38" fillId="5" borderId="15" xfId="5" applyNumberFormat="1" applyFont="1" applyFill="1" applyBorder="1" applyAlignment="1">
      <alignment wrapText="1"/>
    </xf>
    <xf numFmtId="42" fontId="38" fillId="5" borderId="4" xfId="7" applyNumberFormat="1" applyFont="1" applyFill="1" applyBorder="1" applyProtection="1"/>
    <xf numFmtId="9" fontId="45" fillId="5" borderId="2" xfId="3" applyFont="1" applyFill="1" applyBorder="1" applyProtection="1"/>
    <xf numFmtId="166" fontId="38" fillId="6" borderId="15" xfId="5" applyNumberFormat="1" applyFont="1" applyFill="1" applyBorder="1" applyAlignment="1">
      <alignment wrapText="1"/>
    </xf>
    <xf numFmtId="42" fontId="38" fillId="6" borderId="4" xfId="7" applyNumberFormat="1" applyFont="1" applyFill="1" applyBorder="1" applyProtection="1"/>
    <xf numFmtId="9" fontId="45" fillId="6" borderId="2" xfId="3" applyFont="1" applyFill="1" applyBorder="1" applyProtection="1"/>
    <xf numFmtId="166" fontId="38" fillId="7" borderId="15" xfId="5" applyNumberFormat="1" applyFont="1" applyFill="1" applyBorder="1" applyAlignment="1">
      <alignment wrapText="1"/>
    </xf>
    <xf numFmtId="42" fontId="38" fillId="7" borderId="4" xfId="7" applyNumberFormat="1" applyFont="1" applyFill="1" applyBorder="1" applyProtection="1"/>
    <xf numFmtId="9" fontId="45" fillId="7" borderId="2" xfId="3" applyFont="1" applyFill="1" applyBorder="1" applyProtection="1"/>
    <xf numFmtId="0" fontId="22" fillId="2" borderId="1" xfId="5" applyFont="1" applyFill="1" applyBorder="1" applyAlignment="1">
      <alignment horizontal="left"/>
    </xf>
    <xf numFmtId="0" fontId="22" fillId="2" borderId="0" xfId="5" applyFont="1" applyFill="1" applyAlignment="1">
      <alignment horizontal="left"/>
    </xf>
    <xf numFmtId="166" fontId="14" fillId="2" borderId="0" xfId="5" applyNumberFormat="1" applyFont="1" applyFill="1"/>
    <xf numFmtId="9" fontId="15" fillId="2" borderId="0" xfId="3" applyFont="1" applyFill="1" applyBorder="1" applyAlignment="1" applyProtection="1"/>
    <xf numFmtId="9" fontId="39" fillId="2" borderId="0" xfId="3" applyFont="1" applyFill="1" applyBorder="1" applyProtection="1">
      <protection locked="0"/>
    </xf>
    <xf numFmtId="167" fontId="40" fillId="2" borderId="0" xfId="2" applyNumberFormat="1" applyFont="1" applyFill="1" applyBorder="1" applyProtection="1"/>
    <xf numFmtId="42" fontId="35" fillId="2" borderId="0" xfId="7" applyNumberFormat="1" applyFont="1" applyFill="1" applyBorder="1" applyProtection="1"/>
    <xf numFmtId="42" fontId="35" fillId="4" borderId="0" xfId="7" applyNumberFormat="1" applyFont="1" applyFill="1" applyBorder="1" applyProtection="1"/>
    <xf numFmtId="9" fontId="35" fillId="2" borderId="15" xfId="7" applyFont="1" applyFill="1" applyBorder="1" applyProtection="1"/>
    <xf numFmtId="9" fontId="35" fillId="2" borderId="4" xfId="7" applyFont="1" applyFill="1" applyBorder="1" applyProtection="1"/>
    <xf numFmtId="9" fontId="35" fillId="2" borderId="2" xfId="7" applyFont="1" applyFill="1" applyBorder="1" applyProtection="1"/>
    <xf numFmtId="9" fontId="38" fillId="8" borderId="14" xfId="7" applyFont="1" applyFill="1" applyBorder="1" applyProtection="1"/>
    <xf numFmtId="0" fontId="7" fillId="2" borderId="0" xfId="5" applyFont="1" applyFill="1" applyAlignment="1">
      <alignment horizontal="left" vertical="center"/>
    </xf>
    <xf numFmtId="42" fontId="7" fillId="2" borderId="0" xfId="7" applyNumberFormat="1" applyFont="1" applyFill="1" applyBorder="1" applyProtection="1"/>
    <xf numFmtId="42" fontId="7" fillId="4" borderId="0" xfId="7" applyNumberFormat="1" applyFont="1" applyFill="1" applyBorder="1" applyProtection="1"/>
    <xf numFmtId="42" fontId="35" fillId="4" borderId="0" xfId="5" applyNumberFormat="1" applyFont="1" applyFill="1"/>
    <xf numFmtId="42" fontId="14" fillId="2" borderId="0" xfId="5" applyNumberFormat="1" applyFont="1" applyFill="1"/>
    <xf numFmtId="0" fontId="21" fillId="2" borderId="0" xfId="5" applyFont="1" applyFill="1" applyAlignment="1">
      <alignment horizontal="left"/>
    </xf>
    <xf numFmtId="0" fontId="21" fillId="2" borderId="0" xfId="5" applyFont="1" applyFill="1" applyAlignment="1">
      <alignment horizontal="right"/>
    </xf>
    <xf numFmtId="0" fontId="23" fillId="2" borderId="0" xfId="5" applyFont="1" applyFill="1"/>
    <xf numFmtId="0" fontId="23" fillId="2" borderId="0" xfId="5" applyFont="1" applyFill="1" applyAlignment="1">
      <alignment horizontal="center"/>
    </xf>
    <xf numFmtId="165" fontId="23" fillId="2" borderId="0" xfId="6" applyNumberFormat="1" applyFont="1" applyFill="1" applyBorder="1" applyAlignment="1" applyProtection="1">
      <alignment horizontal="left"/>
    </xf>
    <xf numFmtId="0" fontId="23" fillId="2" borderId="0" xfId="5" applyFont="1" applyFill="1" applyAlignment="1">
      <alignment horizontal="left"/>
    </xf>
    <xf numFmtId="0" fontId="23" fillId="2" borderId="0" xfId="5" applyFont="1" applyFill="1" applyAlignment="1">
      <alignment horizontal="right"/>
    </xf>
    <xf numFmtId="0" fontId="47" fillId="2" borderId="0" xfId="5" applyFont="1" applyFill="1" applyAlignment="1">
      <alignment horizontal="left"/>
    </xf>
    <xf numFmtId="0" fontId="23" fillId="4" borderId="0" xfId="5" applyFont="1" applyFill="1"/>
    <xf numFmtId="0" fontId="23" fillId="4" borderId="0" xfId="5" applyFont="1" applyFill="1" applyAlignment="1">
      <alignment horizontal="left"/>
    </xf>
    <xf numFmtId="0" fontId="14" fillId="2" borderId="0" xfId="5" applyFont="1" applyFill="1" applyAlignment="1">
      <alignment wrapText="1"/>
    </xf>
    <xf numFmtId="0" fontId="11" fillId="3" borderId="8" xfId="5" applyFont="1" applyFill="1" applyBorder="1" applyAlignment="1" applyProtection="1">
      <alignment horizontal="left" vertical="center"/>
      <protection locked="0"/>
    </xf>
    <xf numFmtId="0" fontId="11" fillId="3" borderId="3" xfId="5" applyFont="1" applyFill="1" applyBorder="1" applyAlignment="1" applyProtection="1">
      <alignment horizontal="left" vertical="center"/>
      <protection locked="0"/>
    </xf>
    <xf numFmtId="43" fontId="7" fillId="2" borderId="5" xfId="6" quotePrefix="1" applyFont="1" applyFill="1" applyBorder="1" applyProtection="1"/>
    <xf numFmtId="0" fontId="48" fillId="5" borderId="3" xfId="5" applyFont="1" applyFill="1" applyBorder="1" applyProtection="1">
      <protection locked="0"/>
      <extLst>
        <ext xmlns:xfpb="http://schemas.microsoft.com/office/spreadsheetml/2022/featurepropertybag" uri="{C7286773-470A-42A8-94C5-96B5CB345126}">
          <xfpb:xfComplement i="0"/>
        </ext>
      </extLst>
    </xf>
    <xf numFmtId="0" fontId="48" fillId="6" borderId="3" xfId="5" applyFont="1" applyFill="1" applyBorder="1" applyProtection="1">
      <protection locked="0"/>
      <extLst>
        <ext xmlns:xfpb="http://schemas.microsoft.com/office/spreadsheetml/2022/featurepropertybag" uri="{C7286773-470A-42A8-94C5-96B5CB345126}">
          <xfpb:xfComplement i="0"/>
        </ext>
      </extLst>
    </xf>
    <xf numFmtId="0" fontId="48" fillId="7" borderId="3" xfId="5" applyFont="1" applyFill="1" applyBorder="1" applyProtection="1">
      <protection locked="0"/>
      <extLst>
        <ext xmlns:xfpb="http://schemas.microsoft.com/office/spreadsheetml/2022/featurepropertybag" uri="{C7286773-470A-42A8-94C5-96B5CB345126}">
          <xfpb:xfComplement i="0"/>
        </ext>
      </extLst>
    </xf>
    <xf numFmtId="43" fontId="7" fillId="2" borderId="0" xfId="6" applyFont="1" applyFill="1" applyBorder="1" applyProtection="1"/>
    <xf numFmtId="1" fontId="14" fillId="3" borderId="3" xfId="6" applyNumberFormat="1" applyFont="1" applyFill="1" applyBorder="1" applyProtection="1">
      <protection locked="0"/>
    </xf>
    <xf numFmtId="166" fontId="7" fillId="3" borderId="8" xfId="6" applyNumberFormat="1" applyFont="1" applyFill="1" applyBorder="1" applyProtection="1">
      <protection locked="0"/>
    </xf>
    <xf numFmtId="166" fontId="7" fillId="3" borderId="7" xfId="6" applyNumberFormat="1" applyFont="1" applyFill="1" applyBorder="1" applyProtection="1">
      <protection locked="0"/>
    </xf>
    <xf numFmtId="166" fontId="7" fillId="3" borderId="9" xfId="6" applyNumberFormat="1" applyFont="1" applyFill="1" applyBorder="1" applyProtection="1">
      <protection locked="0"/>
    </xf>
    <xf numFmtId="166" fontId="48" fillId="8" borderId="8" xfId="6" applyNumberFormat="1" applyFont="1" applyFill="1" applyBorder="1" applyProtection="1"/>
    <xf numFmtId="166" fontId="48" fillId="8" borderId="7" xfId="6" applyNumberFormat="1" applyFont="1" applyFill="1" applyBorder="1" applyProtection="1"/>
    <xf numFmtId="166" fontId="48" fillId="8" borderId="9" xfId="6" applyNumberFormat="1" applyFont="1" applyFill="1" applyBorder="1" applyProtection="1"/>
    <xf numFmtId="166" fontId="7" fillId="4" borderId="8" xfId="6" applyNumberFormat="1" applyFont="1" applyFill="1" applyBorder="1" applyProtection="1">
      <protection locked="0"/>
    </xf>
    <xf numFmtId="166" fontId="14" fillId="2" borderId="8" xfId="5" applyNumberFormat="1" applyFont="1" applyFill="1" applyBorder="1" applyAlignment="1">
      <alignment wrapText="1"/>
    </xf>
    <xf numFmtId="9" fontId="15" fillId="2" borderId="9" xfId="3" applyFont="1" applyFill="1" applyBorder="1" applyAlignment="1" applyProtection="1">
      <alignment wrapText="1"/>
    </xf>
    <xf numFmtId="42" fontId="35" fillId="2" borderId="8" xfId="7" applyNumberFormat="1" applyFont="1" applyFill="1" applyBorder="1" applyProtection="1"/>
    <xf numFmtId="42" fontId="35" fillId="2" borderId="7" xfId="7" applyNumberFormat="1" applyFont="1" applyFill="1" applyBorder="1" applyProtection="1"/>
    <xf numFmtId="42" fontId="35" fillId="3" borderId="9" xfId="7" applyNumberFormat="1" applyFont="1" applyFill="1" applyBorder="1" applyProtection="1">
      <protection locked="0"/>
    </xf>
    <xf numFmtId="42" fontId="38" fillId="8" borderId="7" xfId="7" applyNumberFormat="1" applyFont="1" applyFill="1" applyBorder="1" applyProtection="1">
      <protection locked="0"/>
    </xf>
    <xf numFmtId="9" fontId="19" fillId="2" borderId="8" xfId="3" applyFont="1" applyFill="1" applyBorder="1" applyProtection="1">
      <protection locked="0"/>
    </xf>
    <xf numFmtId="167" fontId="21" fillId="2" borderId="9" xfId="2" applyNumberFormat="1" applyFont="1" applyFill="1" applyBorder="1" applyProtection="1"/>
    <xf numFmtId="42" fontId="35" fillId="2" borderId="3" xfId="7" applyNumberFormat="1" applyFont="1" applyFill="1" applyBorder="1" applyProtection="1"/>
    <xf numFmtId="43" fontId="7" fillId="4" borderId="0" xfId="6" applyFont="1" applyFill="1" applyBorder="1" applyProtection="1"/>
    <xf numFmtId="42" fontId="35" fillId="4" borderId="8" xfId="7" applyNumberFormat="1" applyFont="1" applyFill="1" applyBorder="1" applyProtection="1"/>
    <xf numFmtId="42" fontId="35" fillId="4" borderId="9" xfId="7" applyNumberFormat="1" applyFont="1" applyFill="1" applyBorder="1" applyProtection="1">
      <protection locked="0"/>
    </xf>
    <xf numFmtId="42" fontId="35" fillId="4" borderId="7" xfId="7" applyNumberFormat="1" applyFont="1" applyFill="1" applyBorder="1" applyProtection="1"/>
    <xf numFmtId="42" fontId="35" fillId="4" borderId="9" xfId="7" applyNumberFormat="1" applyFont="1" applyFill="1" applyBorder="1" applyProtection="1"/>
    <xf numFmtId="43" fontId="44" fillId="2" borderId="0" xfId="6" applyFont="1" applyFill="1" applyBorder="1" applyProtection="1"/>
    <xf numFmtId="166" fontId="38" fillId="5" borderId="8" xfId="5" applyNumberFormat="1" applyFont="1" applyFill="1" applyBorder="1" applyAlignment="1">
      <alignment wrapText="1"/>
    </xf>
    <xf numFmtId="42" fontId="38" fillId="5" borderId="7" xfId="7" applyNumberFormat="1" applyFont="1" applyFill="1" applyBorder="1" applyProtection="1"/>
    <xf numFmtId="9" fontId="45" fillId="5" borderId="9" xfId="3" applyFont="1" applyFill="1" applyBorder="1" applyProtection="1"/>
    <xf numFmtId="166" fontId="38" fillId="6" borderId="8" xfId="5" applyNumberFormat="1" applyFont="1" applyFill="1" applyBorder="1" applyAlignment="1">
      <alignment wrapText="1"/>
    </xf>
    <xf numFmtId="42" fontId="38" fillId="6" borderId="7" xfId="7" applyNumberFormat="1" applyFont="1" applyFill="1" applyBorder="1" applyProtection="1"/>
    <xf numFmtId="9" fontId="45" fillId="6" borderId="9" xfId="3" applyFont="1" applyFill="1" applyBorder="1" applyProtection="1"/>
    <xf numFmtId="166" fontId="38" fillId="7" borderId="8" xfId="5" applyNumberFormat="1" applyFont="1" applyFill="1" applyBorder="1" applyAlignment="1">
      <alignment wrapText="1"/>
    </xf>
    <xf numFmtId="42" fontId="38" fillId="7" borderId="7" xfId="7" applyNumberFormat="1" applyFont="1" applyFill="1" applyBorder="1" applyProtection="1"/>
    <xf numFmtId="9" fontId="45" fillId="7" borderId="9" xfId="3" applyFont="1" applyFill="1" applyBorder="1" applyProtection="1"/>
    <xf numFmtId="0" fontId="44" fillId="3" borderId="3" xfId="5" applyFont="1" applyFill="1" applyBorder="1" applyAlignment="1" applyProtection="1">
      <alignment horizontal="left"/>
      <protection locked="0"/>
    </xf>
    <xf numFmtId="0" fontId="11" fillId="3" borderId="10" xfId="5" applyFont="1" applyFill="1" applyBorder="1" applyAlignment="1" applyProtection="1">
      <alignment horizontal="left" vertical="center"/>
      <protection locked="0"/>
    </xf>
    <xf numFmtId="0" fontId="11" fillId="3" borderId="5" xfId="5" applyFont="1" applyFill="1" applyBorder="1" applyAlignment="1" applyProtection="1">
      <alignment horizontal="left" vertical="center"/>
      <protection locked="0"/>
    </xf>
    <xf numFmtId="0" fontId="48" fillId="5" borderId="5" xfId="5" applyFont="1" applyFill="1" applyBorder="1" applyProtection="1">
      <protection locked="0"/>
      <extLst>
        <ext xmlns:xfpb="http://schemas.microsoft.com/office/spreadsheetml/2022/featurepropertybag" uri="{C7286773-470A-42A8-94C5-96B5CB345126}">
          <xfpb:xfComplement i="0"/>
        </ext>
      </extLst>
    </xf>
    <xf numFmtId="0" fontId="48" fillId="6" borderId="5" xfId="5" applyFont="1" applyFill="1" applyBorder="1" applyProtection="1">
      <protection locked="0"/>
      <extLst>
        <ext xmlns:xfpb="http://schemas.microsoft.com/office/spreadsheetml/2022/featurepropertybag" uri="{C7286773-470A-42A8-94C5-96B5CB345126}">
          <xfpb:xfComplement i="0"/>
        </ext>
      </extLst>
    </xf>
    <xf numFmtId="0" fontId="48" fillId="7" borderId="5" xfId="5" applyFont="1" applyFill="1" applyBorder="1" applyProtection="1">
      <protection locked="0"/>
      <extLst>
        <ext xmlns:xfpb="http://schemas.microsoft.com/office/spreadsheetml/2022/featurepropertybag" uri="{C7286773-470A-42A8-94C5-96B5CB345126}">
          <xfpb:xfComplement i="0"/>
        </ext>
      </extLst>
    </xf>
    <xf numFmtId="1" fontId="14" fillId="3" borderId="5" xfId="6" applyNumberFormat="1" applyFont="1" applyFill="1" applyBorder="1" applyProtection="1">
      <protection locked="0"/>
    </xf>
    <xf numFmtId="166" fontId="7" fillId="3" borderId="10" xfId="6" applyNumberFormat="1" applyFont="1" applyFill="1" applyBorder="1" applyProtection="1">
      <protection locked="0"/>
    </xf>
    <xf numFmtId="166" fontId="7" fillId="3" borderId="0" xfId="6" applyNumberFormat="1" applyFont="1" applyFill="1" applyBorder="1" applyProtection="1">
      <protection locked="0"/>
    </xf>
    <xf numFmtId="166" fontId="7" fillId="3" borderId="11" xfId="6" applyNumberFormat="1" applyFont="1" applyFill="1" applyBorder="1" applyProtection="1">
      <protection locked="0"/>
    </xf>
    <xf numFmtId="166" fontId="48" fillId="8" borderId="10" xfId="6" applyNumberFormat="1" applyFont="1" applyFill="1" applyBorder="1" applyProtection="1"/>
    <xf numFmtId="166" fontId="48" fillId="8" borderId="0" xfId="6" applyNumberFormat="1" applyFont="1" applyFill="1" applyBorder="1" applyProtection="1"/>
    <xf numFmtId="166" fontId="48" fillId="8" borderId="11" xfId="6" applyNumberFormat="1" applyFont="1" applyFill="1" applyBorder="1" applyProtection="1"/>
    <xf numFmtId="166" fontId="7" fillId="4" borderId="10" xfId="6" applyNumberFormat="1" applyFont="1" applyFill="1" applyBorder="1" applyProtection="1">
      <protection locked="0"/>
    </xf>
    <xf numFmtId="166" fontId="14" fillId="2" borderId="10" xfId="5" applyNumberFormat="1" applyFont="1" applyFill="1" applyBorder="1" applyAlignment="1">
      <alignment wrapText="1"/>
    </xf>
    <xf numFmtId="9" fontId="15" fillId="2" borderId="11" xfId="3" applyFont="1" applyFill="1" applyBorder="1" applyAlignment="1" applyProtection="1">
      <alignment wrapText="1"/>
    </xf>
    <xf numFmtId="42" fontId="35" fillId="2" borderId="10" xfId="7" applyNumberFormat="1" applyFont="1" applyFill="1" applyBorder="1" applyProtection="1"/>
    <xf numFmtId="42" fontId="35" fillId="3" borderId="11" xfId="7" applyNumberFormat="1" applyFont="1" applyFill="1" applyBorder="1" applyProtection="1">
      <protection locked="0"/>
    </xf>
    <xf numFmtId="42" fontId="38" fillId="8" borderId="0" xfId="7" applyNumberFormat="1" applyFont="1" applyFill="1" applyBorder="1" applyProtection="1">
      <protection locked="0"/>
    </xf>
    <xf numFmtId="9" fontId="19" fillId="2" borderId="10" xfId="3" applyFont="1" applyFill="1" applyBorder="1" applyProtection="1">
      <protection locked="0"/>
    </xf>
    <xf numFmtId="167" fontId="21" fillId="2" borderId="11" xfId="2" applyNumberFormat="1" applyFont="1" applyFill="1" applyBorder="1" applyProtection="1"/>
    <xf numFmtId="42" fontId="35" fillId="2" borderId="5" xfId="7" applyNumberFormat="1" applyFont="1" applyFill="1" applyBorder="1" applyProtection="1"/>
    <xf numFmtId="42" fontId="35" fillId="4" borderId="10" xfId="7" applyNumberFormat="1" applyFont="1" applyFill="1" applyBorder="1" applyProtection="1"/>
    <xf numFmtId="42" fontId="35" fillId="4" borderId="11" xfId="7" applyNumberFormat="1" applyFont="1" applyFill="1" applyBorder="1" applyProtection="1">
      <protection locked="0"/>
    </xf>
    <xf numFmtId="42" fontId="35" fillId="4" borderId="11" xfId="7" applyNumberFormat="1" applyFont="1" applyFill="1" applyBorder="1" applyProtection="1"/>
    <xf numFmtId="166" fontId="38" fillId="5" borderId="10" xfId="5" applyNumberFormat="1" applyFont="1" applyFill="1" applyBorder="1" applyAlignment="1">
      <alignment wrapText="1"/>
    </xf>
    <xf numFmtId="42" fontId="38" fillId="5" borderId="0" xfId="7" applyNumberFormat="1" applyFont="1" applyFill="1" applyBorder="1" applyProtection="1"/>
    <xf numFmtId="9" fontId="45" fillId="5" borderId="11" xfId="3" applyFont="1" applyFill="1" applyBorder="1" applyProtection="1"/>
    <xf numFmtId="166" fontId="38" fillId="6" borderId="10" xfId="5" applyNumberFormat="1" applyFont="1" applyFill="1" applyBorder="1" applyAlignment="1">
      <alignment wrapText="1"/>
    </xf>
    <xf numFmtId="42" fontId="38" fillId="6" borderId="0" xfId="7" applyNumberFormat="1" applyFont="1" applyFill="1" applyBorder="1" applyProtection="1"/>
    <xf numFmtId="9" fontId="45" fillId="6" borderId="11" xfId="3" applyFont="1" applyFill="1" applyBorder="1" applyProtection="1"/>
    <xf numFmtId="166" fontId="38" fillId="7" borderId="10" xfId="5" applyNumberFormat="1" applyFont="1" applyFill="1" applyBorder="1" applyAlignment="1">
      <alignment wrapText="1"/>
    </xf>
    <xf numFmtId="42" fontId="38" fillId="7" borderId="0" xfId="7" applyNumberFormat="1" applyFont="1" applyFill="1" applyBorder="1" applyProtection="1"/>
    <xf numFmtId="9" fontId="45" fillId="7" borderId="11" xfId="3" applyFont="1" applyFill="1" applyBorder="1" applyProtection="1"/>
    <xf numFmtId="0" fontId="44" fillId="3" borderId="5" xfId="5" applyFont="1" applyFill="1" applyBorder="1" applyAlignment="1" applyProtection="1">
      <alignment horizontal="left"/>
      <protection locked="0"/>
    </xf>
    <xf numFmtId="0" fontId="38" fillId="7" borderId="5"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166" fontId="48" fillId="8" borderId="12" xfId="6" applyNumberFormat="1" applyFont="1" applyFill="1" applyBorder="1" applyProtection="1"/>
    <xf numFmtId="166" fontId="48" fillId="8" borderId="13" xfId="6" applyNumberFormat="1" applyFont="1" applyFill="1" applyBorder="1" applyProtection="1"/>
    <xf numFmtId="166" fontId="48" fillId="8" borderId="14" xfId="6" applyNumberFormat="1" applyFont="1" applyFill="1" applyBorder="1" applyProtection="1"/>
    <xf numFmtId="9" fontId="45" fillId="5" borderId="0" xfId="3" applyFont="1" applyFill="1" applyBorder="1" applyProtection="1"/>
    <xf numFmtId="0" fontId="11" fillId="3" borderId="12" xfId="5" applyFont="1" applyFill="1" applyBorder="1" applyAlignment="1" applyProtection="1">
      <alignment horizontal="left" vertical="center"/>
      <protection locked="0"/>
    </xf>
    <xf numFmtId="0" fontId="11" fillId="3" borderId="6" xfId="5" applyFont="1" applyFill="1" applyBorder="1" applyAlignment="1" applyProtection="1">
      <alignment horizontal="left" vertical="center"/>
      <protection locked="0"/>
    </xf>
    <xf numFmtId="0" fontId="48" fillId="5" borderId="6" xfId="5" applyFont="1" applyFill="1" applyBorder="1" applyProtection="1">
      <protection locked="0"/>
      <extLst>
        <ext xmlns:xfpb="http://schemas.microsoft.com/office/spreadsheetml/2022/featurepropertybag" uri="{C7286773-470A-42A8-94C5-96B5CB345126}">
          <xfpb:xfComplement i="0"/>
        </ext>
      </extLst>
    </xf>
    <xf numFmtId="0" fontId="48" fillId="6" borderId="6" xfId="5" applyFont="1" applyFill="1" applyBorder="1" applyProtection="1">
      <protection locked="0"/>
      <extLst>
        <ext xmlns:xfpb="http://schemas.microsoft.com/office/spreadsheetml/2022/featurepropertybag" uri="{C7286773-470A-42A8-94C5-96B5CB345126}">
          <xfpb:xfComplement i="0"/>
        </ext>
      </extLst>
    </xf>
    <xf numFmtId="0" fontId="48" fillId="7" borderId="6" xfId="5" applyFont="1" applyFill="1" applyBorder="1" applyProtection="1">
      <protection locked="0"/>
      <extLst>
        <ext xmlns:xfpb="http://schemas.microsoft.com/office/spreadsheetml/2022/featurepropertybag" uri="{C7286773-470A-42A8-94C5-96B5CB345126}">
          <xfpb:xfComplement i="0"/>
        </ext>
      </extLst>
    </xf>
    <xf numFmtId="1" fontId="14" fillId="3" borderId="6" xfId="6" applyNumberFormat="1" applyFont="1" applyFill="1" applyBorder="1" applyProtection="1">
      <protection locked="0"/>
    </xf>
    <xf numFmtId="166" fontId="7" fillId="3" borderId="12" xfId="6" applyNumberFormat="1" applyFont="1" applyFill="1" applyBorder="1" applyProtection="1">
      <protection locked="0"/>
    </xf>
    <xf numFmtId="166" fontId="7" fillId="3" borderId="13" xfId="6" applyNumberFormat="1" applyFont="1" applyFill="1" applyBorder="1" applyProtection="1">
      <protection locked="0"/>
    </xf>
    <xf numFmtId="166" fontId="7" fillId="3" borderId="14" xfId="6" applyNumberFormat="1" applyFont="1" applyFill="1" applyBorder="1" applyProtection="1">
      <protection locked="0"/>
    </xf>
    <xf numFmtId="166" fontId="7" fillId="4" borderId="12" xfId="6" applyNumberFormat="1" applyFont="1" applyFill="1" applyBorder="1" applyProtection="1">
      <protection locked="0"/>
    </xf>
    <xf numFmtId="166" fontId="14" fillId="2" borderId="12" xfId="5" applyNumberFormat="1" applyFont="1" applyFill="1" applyBorder="1" applyAlignment="1">
      <alignment wrapText="1"/>
    </xf>
    <xf numFmtId="9" fontId="15" fillId="2" borderId="14" xfId="3" applyFont="1" applyFill="1" applyBorder="1" applyAlignment="1" applyProtection="1">
      <alignment wrapText="1"/>
    </xf>
    <xf numFmtId="42" fontId="35" fillId="2" borderId="12" xfId="7" applyNumberFormat="1" applyFont="1" applyFill="1" applyBorder="1" applyProtection="1"/>
    <xf numFmtId="42" fontId="35" fillId="2" borderId="13" xfId="7" applyNumberFormat="1" applyFont="1" applyFill="1" applyBorder="1" applyProtection="1"/>
    <xf numFmtId="42" fontId="35" fillId="3" borderId="14" xfId="7" applyNumberFormat="1" applyFont="1" applyFill="1" applyBorder="1" applyProtection="1">
      <protection locked="0"/>
    </xf>
    <xf numFmtId="42" fontId="38" fillId="8" borderId="13" xfId="7" applyNumberFormat="1" applyFont="1" applyFill="1" applyBorder="1" applyProtection="1">
      <protection locked="0"/>
    </xf>
    <xf numFmtId="9" fontId="19" fillId="2" borderId="12" xfId="3" applyFont="1" applyFill="1" applyBorder="1" applyProtection="1">
      <protection locked="0"/>
    </xf>
    <xf numFmtId="167" fontId="21" fillId="2" borderId="14" xfId="2" applyNumberFormat="1" applyFont="1" applyFill="1" applyBorder="1" applyProtection="1"/>
    <xf numFmtId="42" fontId="35" fillId="2" borderId="6" xfId="7" applyNumberFormat="1" applyFont="1" applyFill="1" applyBorder="1" applyProtection="1"/>
    <xf numFmtId="42" fontId="35" fillId="4" borderId="12" xfId="7" applyNumberFormat="1" applyFont="1" applyFill="1" applyBorder="1" applyProtection="1"/>
    <xf numFmtId="42" fontId="35" fillId="4" borderId="14" xfId="7" applyNumberFormat="1" applyFont="1" applyFill="1" applyBorder="1" applyProtection="1">
      <protection locked="0"/>
    </xf>
    <xf numFmtId="42" fontId="35" fillId="4" borderId="13" xfId="7" applyNumberFormat="1" applyFont="1" applyFill="1" applyBorder="1" applyProtection="1"/>
    <xf numFmtId="42" fontId="35" fillId="4" borderId="14" xfId="7" applyNumberFormat="1" applyFont="1" applyFill="1" applyBorder="1" applyProtection="1"/>
    <xf numFmtId="166" fontId="38" fillId="5" borderId="12" xfId="5" applyNumberFormat="1" applyFont="1" applyFill="1" applyBorder="1" applyAlignment="1">
      <alignment wrapText="1"/>
    </xf>
    <xf numFmtId="42" fontId="38" fillId="5" borderId="13" xfId="7" applyNumberFormat="1" applyFont="1" applyFill="1" applyBorder="1" applyProtection="1"/>
    <xf numFmtId="9" fontId="45" fillId="5" borderId="13" xfId="3" applyFont="1" applyFill="1" applyBorder="1" applyProtection="1"/>
    <xf numFmtId="166" fontId="38" fillId="6" borderId="12" xfId="5" applyNumberFormat="1" applyFont="1" applyFill="1" applyBorder="1" applyAlignment="1">
      <alignment wrapText="1"/>
    </xf>
    <xf numFmtId="42" fontId="38" fillId="6" borderId="13" xfId="7" applyNumberFormat="1" applyFont="1" applyFill="1" applyBorder="1" applyProtection="1"/>
    <xf numFmtId="9" fontId="45" fillId="6" borderId="14" xfId="3" applyFont="1" applyFill="1" applyBorder="1" applyProtection="1"/>
    <xf numFmtId="166" fontId="38" fillId="7" borderId="12" xfId="5" applyNumberFormat="1" applyFont="1" applyFill="1" applyBorder="1" applyAlignment="1">
      <alignment wrapText="1"/>
    </xf>
    <xf numFmtId="42" fontId="38" fillId="7" borderId="13" xfId="7" applyNumberFormat="1" applyFont="1" applyFill="1" applyBorder="1" applyProtection="1"/>
    <xf numFmtId="9" fontId="45" fillId="7" borderId="14" xfId="3" applyFont="1" applyFill="1" applyBorder="1" applyProtection="1"/>
    <xf numFmtId="0" fontId="44" fillId="3" borderId="6" xfId="5" applyFont="1" applyFill="1" applyBorder="1" applyAlignment="1" applyProtection="1">
      <alignment horizontal="left"/>
      <protection locked="0"/>
    </xf>
    <xf numFmtId="43" fontId="7" fillId="2" borderId="0" xfId="6" quotePrefix="1" applyFont="1" applyFill="1" applyBorder="1" applyProtection="1"/>
    <xf numFmtId="1" fontId="14" fillId="2" borderId="7" xfId="5" applyNumberFormat="1" applyFont="1" applyFill="1" applyBorder="1"/>
    <xf numFmtId="166" fontId="7" fillId="2" borderId="7" xfId="5" applyNumberFormat="1" applyFont="1" applyFill="1" applyBorder="1"/>
    <xf numFmtId="166" fontId="7" fillId="4" borderId="7" xfId="5" applyNumberFormat="1" applyFont="1" applyFill="1" applyBorder="1"/>
    <xf numFmtId="0" fontId="14" fillId="2" borderId="7" xfId="5" applyFont="1" applyFill="1" applyBorder="1"/>
    <xf numFmtId="0" fontId="40" fillId="2" borderId="7" xfId="5" applyFont="1" applyFill="1" applyBorder="1"/>
    <xf numFmtId="0" fontId="21" fillId="2" borderId="7" xfId="5" applyFont="1" applyFill="1" applyBorder="1"/>
    <xf numFmtId="0" fontId="14" fillId="4" borderId="7" xfId="5" applyFont="1" applyFill="1" applyBorder="1"/>
    <xf numFmtId="0" fontId="35" fillId="4" borderId="7" xfId="5" applyFont="1" applyFill="1" applyBorder="1"/>
    <xf numFmtId="9" fontId="15" fillId="2" borderId="7" xfId="3" applyFont="1" applyFill="1" applyBorder="1" applyProtection="1"/>
    <xf numFmtId="0" fontId="7" fillId="2" borderId="7" xfId="5" applyFont="1" applyFill="1" applyBorder="1" applyAlignment="1">
      <alignment horizontal="left" wrapText="1"/>
    </xf>
    <xf numFmtId="0" fontId="23" fillId="2" borderId="13" xfId="5" applyFont="1" applyFill="1" applyBorder="1"/>
    <xf numFmtId="165" fontId="7" fillId="2" borderId="13" xfId="6" applyNumberFormat="1" applyFont="1" applyFill="1" applyBorder="1" applyProtection="1"/>
    <xf numFmtId="1" fontId="14" fillId="2" borderId="13" xfId="5" applyNumberFormat="1" applyFont="1" applyFill="1" applyBorder="1"/>
    <xf numFmtId="166" fontId="7" fillId="2" borderId="13" xfId="5" applyNumberFormat="1" applyFont="1" applyFill="1" applyBorder="1"/>
    <xf numFmtId="166" fontId="7" fillId="2" borderId="0" xfId="5" applyNumberFormat="1" applyFont="1" applyFill="1"/>
    <xf numFmtId="166" fontId="7" fillId="4" borderId="0" xfId="5" applyNumberFormat="1" applyFont="1" applyFill="1"/>
    <xf numFmtId="0" fontId="14" fillId="2" borderId="13" xfId="5" applyFont="1" applyFill="1" applyBorder="1"/>
    <xf numFmtId="0" fontId="21" fillId="2" borderId="13" xfId="5" applyFont="1" applyFill="1" applyBorder="1"/>
    <xf numFmtId="0" fontId="14" fillId="4" borderId="13" xfId="5" applyFont="1" applyFill="1" applyBorder="1"/>
    <xf numFmtId="0" fontId="35" fillId="4" borderId="13" xfId="5" applyFont="1" applyFill="1" applyBorder="1"/>
    <xf numFmtId="9" fontId="15" fillId="2" borderId="13" xfId="3" applyFont="1" applyFill="1" applyBorder="1" applyProtection="1"/>
    <xf numFmtId="0" fontId="23" fillId="2" borderId="13" xfId="5" applyFont="1" applyFill="1" applyBorder="1" applyAlignment="1">
      <alignment horizontal="left"/>
    </xf>
    <xf numFmtId="1" fontId="14" fillId="2" borderId="0" xfId="5" applyNumberFormat="1" applyFont="1" applyFill="1"/>
    <xf numFmtId="0" fontId="38" fillId="2" borderId="0" xfId="5" applyFont="1" applyFill="1"/>
    <xf numFmtId="9" fontId="15" fillId="2" borderId="0" xfId="3" applyFont="1" applyFill="1" applyBorder="1" applyProtection="1"/>
    <xf numFmtId="9" fontId="45" fillId="2" borderId="0" xfId="3" applyFont="1" applyFill="1" applyBorder="1" applyProtection="1"/>
    <xf numFmtId="9" fontId="45" fillId="5" borderId="14" xfId="3" applyFont="1" applyFill="1" applyBorder="1" applyProtection="1"/>
    <xf numFmtId="42" fontId="38" fillId="8" borderId="0" xfId="7" applyNumberFormat="1" applyFont="1" applyFill="1" applyBorder="1" applyProtection="1"/>
    <xf numFmtId="42" fontId="38" fillId="8" borderId="13" xfId="7" applyNumberFormat="1" applyFont="1" applyFill="1" applyBorder="1" applyProtection="1"/>
    <xf numFmtId="42" fontId="7" fillId="2" borderId="0" xfId="5" applyNumberFormat="1" applyFont="1" applyFill="1" applyAlignment="1">
      <alignment wrapText="1"/>
    </xf>
    <xf numFmtId="0" fontId="11" fillId="2" borderId="3" xfId="5" applyFont="1" applyFill="1" applyBorder="1"/>
    <xf numFmtId="166" fontId="7" fillId="2" borderId="8" xfId="5" applyNumberFormat="1" applyFont="1" applyFill="1" applyBorder="1"/>
    <xf numFmtId="166" fontId="7" fillId="2" borderId="9" xfId="5" applyNumberFormat="1" applyFont="1" applyFill="1" applyBorder="1"/>
    <xf numFmtId="9" fontId="11" fillId="2" borderId="9" xfId="3" applyFont="1" applyFill="1" applyBorder="1" applyAlignment="1" applyProtection="1"/>
    <xf numFmtId="42" fontId="44" fillId="2" borderId="8" xfId="7" applyNumberFormat="1" applyFont="1" applyFill="1" applyBorder="1" applyProtection="1"/>
    <xf numFmtId="42" fontId="44" fillId="2" borderId="7" xfId="7" applyNumberFormat="1" applyFont="1" applyFill="1" applyBorder="1" applyProtection="1"/>
    <xf numFmtId="42" fontId="44" fillId="2" borderId="9" xfId="7" applyNumberFormat="1" applyFont="1" applyFill="1" applyBorder="1" applyProtection="1"/>
    <xf numFmtId="42" fontId="48" fillId="8" borderId="9" xfId="7" applyNumberFormat="1" applyFont="1" applyFill="1" applyBorder="1" applyProtection="1"/>
    <xf numFmtId="42" fontId="44" fillId="2" borderId="3" xfId="7" applyNumberFormat="1" applyFont="1" applyFill="1" applyBorder="1" applyProtection="1"/>
    <xf numFmtId="42" fontId="44" fillId="4" borderId="8" xfId="7" applyNumberFormat="1" applyFont="1" applyFill="1" applyBorder="1" applyProtection="1"/>
    <xf numFmtId="42" fontId="44" fillId="4" borderId="9" xfId="7" applyNumberFormat="1" applyFont="1" applyFill="1" applyBorder="1" applyProtection="1"/>
    <xf numFmtId="42" fontId="44" fillId="4" borderId="7" xfId="7" applyNumberFormat="1" applyFont="1" applyFill="1" applyBorder="1" applyProtection="1"/>
    <xf numFmtId="166" fontId="48" fillId="5" borderId="8" xfId="5" applyNumberFormat="1" applyFont="1" applyFill="1" applyBorder="1"/>
    <xf numFmtId="42" fontId="48" fillId="5" borderId="7" xfId="7" applyNumberFormat="1" applyFont="1" applyFill="1" applyBorder="1" applyProtection="1"/>
    <xf numFmtId="9" fontId="49" fillId="5" borderId="9" xfId="3" applyFont="1" applyFill="1" applyBorder="1" applyProtection="1"/>
    <xf numFmtId="166" fontId="48" fillId="6" borderId="8" xfId="5" applyNumberFormat="1" applyFont="1" applyFill="1" applyBorder="1"/>
    <xf numFmtId="42" fontId="48" fillId="6" borderId="7" xfId="7" applyNumberFormat="1" applyFont="1" applyFill="1" applyBorder="1" applyProtection="1"/>
    <xf numFmtId="9" fontId="49" fillId="6" borderId="9" xfId="3" applyFont="1" applyFill="1" applyBorder="1" applyProtection="1"/>
    <xf numFmtId="166" fontId="48" fillId="7" borderId="8" xfId="5" applyNumberFormat="1" applyFont="1" applyFill="1" applyBorder="1"/>
    <xf numFmtId="42" fontId="48" fillId="7" borderId="7" xfId="7" applyNumberFormat="1" applyFont="1" applyFill="1" applyBorder="1" applyProtection="1"/>
    <xf numFmtId="9" fontId="49" fillId="7" borderId="9" xfId="3" applyFont="1" applyFill="1" applyBorder="1" applyProtection="1"/>
    <xf numFmtId="0" fontId="11" fillId="2" borderId="6" xfId="5" applyFont="1" applyFill="1" applyBorder="1"/>
    <xf numFmtId="166" fontId="7" fillId="2" borderId="10" xfId="5" applyNumberFormat="1" applyFont="1" applyFill="1" applyBorder="1"/>
    <xf numFmtId="166" fontId="7" fillId="2" borderId="11" xfId="5" applyNumberFormat="1" applyFont="1" applyFill="1" applyBorder="1"/>
    <xf numFmtId="166" fontId="7" fillId="2" borderId="12" xfId="5" applyNumberFormat="1" applyFont="1" applyFill="1" applyBorder="1"/>
    <xf numFmtId="9" fontId="11" fillId="2" borderId="14" xfId="3" applyFont="1" applyFill="1" applyBorder="1" applyAlignment="1" applyProtection="1"/>
    <xf numFmtId="42" fontId="44" fillId="2" borderId="12" xfId="7" applyNumberFormat="1" applyFont="1" applyFill="1" applyBorder="1" applyProtection="1"/>
    <xf numFmtId="42" fontId="44" fillId="2" borderId="13" xfId="7" applyNumberFormat="1" applyFont="1" applyFill="1" applyBorder="1" applyProtection="1"/>
    <xf numFmtId="42" fontId="44" fillId="2" borderId="14" xfId="7" applyNumberFormat="1" applyFont="1" applyFill="1" applyBorder="1" applyProtection="1"/>
    <xf numFmtId="42" fontId="48" fillId="8" borderId="11" xfId="7" applyNumberFormat="1" applyFont="1" applyFill="1" applyBorder="1" applyProtection="1"/>
    <xf numFmtId="42" fontId="44" fillId="2" borderId="6" xfId="7" applyNumberFormat="1" applyFont="1" applyFill="1" applyBorder="1" applyProtection="1"/>
    <xf numFmtId="42" fontId="44" fillId="4" borderId="12" xfId="7" applyNumberFormat="1" applyFont="1" applyFill="1" applyBorder="1" applyProtection="1"/>
    <xf numFmtId="42" fontId="44" fillId="4" borderId="14" xfId="7" applyNumberFormat="1" applyFont="1" applyFill="1" applyBorder="1" applyProtection="1"/>
    <xf numFmtId="42" fontId="44" fillId="4" borderId="13" xfId="7" applyNumberFormat="1" applyFont="1" applyFill="1" applyBorder="1" applyProtection="1"/>
    <xf numFmtId="166" fontId="48" fillId="5" borderId="12" xfId="5" applyNumberFormat="1" applyFont="1" applyFill="1" applyBorder="1"/>
    <xf numFmtId="42" fontId="48" fillId="5" borderId="13" xfId="7" applyNumberFormat="1" applyFont="1" applyFill="1" applyBorder="1" applyProtection="1"/>
    <xf numFmtId="9" fontId="49" fillId="5" borderId="14" xfId="3" applyFont="1" applyFill="1" applyBorder="1" applyProtection="1"/>
    <xf numFmtId="166" fontId="48" fillId="6" borderId="12" xfId="5" applyNumberFormat="1" applyFont="1" applyFill="1" applyBorder="1"/>
    <xf numFmtId="42" fontId="48" fillId="6" borderId="13" xfId="7" applyNumberFormat="1" applyFont="1" applyFill="1" applyBorder="1" applyProtection="1"/>
    <xf numFmtId="9" fontId="49" fillId="6" borderId="14" xfId="3" applyFont="1" applyFill="1" applyBorder="1" applyProtection="1"/>
    <xf numFmtId="166" fontId="48" fillId="7" borderId="12" xfId="5" applyNumberFormat="1" applyFont="1" applyFill="1" applyBorder="1"/>
    <xf numFmtId="42" fontId="48" fillId="7" borderId="13" xfId="7" applyNumberFormat="1" applyFont="1" applyFill="1" applyBorder="1" applyProtection="1"/>
    <xf numFmtId="9" fontId="49" fillId="7" borderId="14" xfId="3" applyFont="1" applyFill="1" applyBorder="1" applyProtection="1"/>
    <xf numFmtId="42" fontId="38" fillId="8" borderId="17" xfId="7" applyNumberFormat="1" applyFont="1" applyFill="1" applyBorder="1" applyProtection="1"/>
    <xf numFmtId="166" fontId="38" fillId="5" borderId="15" xfId="5" applyNumberFormat="1" applyFont="1" applyFill="1" applyBorder="1"/>
    <xf numFmtId="166" fontId="38" fillId="6" borderId="15" xfId="5" applyNumberFormat="1" applyFont="1" applyFill="1" applyBorder="1"/>
    <xf numFmtId="166" fontId="38" fillId="7" borderId="15" xfId="5" applyNumberFormat="1" applyFont="1" applyFill="1" applyBorder="1"/>
    <xf numFmtId="0" fontId="45" fillId="8" borderId="1" xfId="5" applyFont="1" applyFill="1" applyBorder="1"/>
    <xf numFmtId="0" fontId="48" fillId="2" borderId="0" xfId="5" quotePrefix="1" applyFont="1" applyFill="1" applyAlignment="1">
      <alignment horizontal="left"/>
    </xf>
    <xf numFmtId="0" fontId="50" fillId="2" borderId="3" xfId="5" applyFont="1" applyFill="1" applyBorder="1"/>
    <xf numFmtId="0" fontId="50" fillId="2" borderId="0" xfId="5" applyFont="1" applyFill="1"/>
    <xf numFmtId="9" fontId="50" fillId="2" borderId="8" xfId="3" applyFont="1" applyFill="1" applyBorder="1" applyProtection="1"/>
    <xf numFmtId="9" fontId="50" fillId="2" borderId="7" xfId="3" applyFont="1" applyFill="1" applyBorder="1" applyProtection="1"/>
    <xf numFmtId="9" fontId="50" fillId="2" borderId="9" xfId="3" applyFont="1" applyFill="1" applyBorder="1" applyProtection="1"/>
    <xf numFmtId="9" fontId="50" fillId="4" borderId="0" xfId="3" applyFont="1" applyFill="1" applyBorder="1" applyProtection="1"/>
    <xf numFmtId="9" fontId="50" fillId="2" borderId="3" xfId="3" applyFont="1" applyFill="1" applyBorder="1" applyProtection="1"/>
    <xf numFmtId="0" fontId="21" fillId="4" borderId="0" xfId="5" applyFont="1" applyFill="1"/>
    <xf numFmtId="0" fontId="40" fillId="4" borderId="0" xfId="5" applyFont="1" applyFill="1"/>
    <xf numFmtId="0" fontId="39" fillId="4" borderId="0" xfId="5" applyFont="1" applyFill="1"/>
    <xf numFmtId="0" fontId="19" fillId="2" borderId="0" xfId="5" applyFont="1" applyFill="1"/>
    <xf numFmtId="0" fontId="21" fillId="2" borderId="0" xfId="5" applyFont="1" applyFill="1" applyAlignment="1">
      <alignment horizontal="left" wrapText="1"/>
    </xf>
    <xf numFmtId="0" fontId="50" fillId="2" borderId="5" xfId="5" applyFont="1" applyFill="1" applyBorder="1"/>
    <xf numFmtId="9" fontId="50" fillId="2" borderId="12" xfId="3" applyFont="1" applyFill="1" applyBorder="1" applyProtection="1"/>
    <xf numFmtId="9" fontId="50" fillId="2" borderId="13" xfId="3" applyFont="1" applyFill="1" applyBorder="1" applyProtection="1"/>
    <xf numFmtId="9" fontId="50" fillId="8" borderId="12" xfId="3" applyFont="1" applyFill="1" applyBorder="1" applyProtection="1"/>
    <xf numFmtId="9" fontId="50" fillId="8" borderId="13" xfId="3" applyFont="1" applyFill="1" applyBorder="1" applyProtection="1"/>
    <xf numFmtId="9" fontId="50" fillId="8" borderId="14" xfId="3" applyFont="1" applyFill="1" applyBorder="1" applyProtection="1"/>
    <xf numFmtId="9" fontId="50" fillId="2" borderId="6" xfId="3" applyFont="1" applyFill="1" applyBorder="1" applyProtection="1"/>
    <xf numFmtId="9" fontId="50" fillId="2" borderId="15" xfId="3" applyFont="1" applyFill="1" applyBorder="1" applyProtection="1"/>
    <xf numFmtId="9" fontId="50" fillId="2" borderId="4" xfId="3" applyFont="1" applyFill="1" applyBorder="1" applyProtection="1"/>
    <xf numFmtId="9" fontId="50" fillId="2" borderId="2" xfId="3" applyFont="1" applyFill="1" applyBorder="1" applyProtection="1"/>
    <xf numFmtId="9" fontId="50" fillId="2" borderId="0" xfId="3" applyFont="1" applyFill="1" applyBorder="1" applyProtection="1"/>
    <xf numFmtId="9" fontId="50" fillId="4" borderId="15" xfId="3" applyFont="1" applyFill="1" applyBorder="1" applyProtection="1"/>
    <xf numFmtId="9" fontId="50" fillId="4" borderId="2" xfId="3" applyFont="1" applyFill="1" applyBorder="1" applyProtection="1"/>
    <xf numFmtId="0" fontId="39" fillId="2" borderId="0" xfId="5" applyFont="1" applyFill="1"/>
    <xf numFmtId="0" fontId="40" fillId="2" borderId="0" xfId="5" applyFont="1" applyFill="1" applyAlignment="1">
      <alignment horizontal="left" wrapText="1"/>
    </xf>
    <xf numFmtId="0" fontId="51" fillId="2" borderId="5" xfId="5" applyFont="1" applyFill="1" applyBorder="1"/>
    <xf numFmtId="0" fontId="51" fillId="2" borderId="0" xfId="5" applyFont="1" applyFill="1"/>
    <xf numFmtId="165" fontId="21" fillId="2" borderId="15" xfId="6" applyNumberFormat="1" applyFont="1" applyFill="1" applyBorder="1" applyProtection="1"/>
    <xf numFmtId="165" fontId="21" fillId="2" borderId="4" xfId="6" applyNumberFormat="1" applyFont="1" applyFill="1" applyBorder="1" applyProtection="1"/>
    <xf numFmtId="165" fontId="21" fillId="2" borderId="2" xfId="6" applyNumberFormat="1" applyFont="1" applyFill="1" applyBorder="1" applyProtection="1"/>
    <xf numFmtId="165" fontId="21" fillId="4" borderId="0" xfId="6" applyNumberFormat="1" applyFont="1" applyFill="1" applyBorder="1" applyProtection="1"/>
    <xf numFmtId="165" fontId="21" fillId="2" borderId="1" xfId="6" applyNumberFormat="1" applyFont="1" applyFill="1" applyBorder="1" applyProtection="1"/>
    <xf numFmtId="42" fontId="44" fillId="4" borderId="7" xfId="5" applyNumberFormat="1" applyFont="1" applyFill="1" applyBorder="1"/>
    <xf numFmtId="0" fontId="35" fillId="2" borderId="0" xfId="5" applyFont="1" applyFill="1"/>
    <xf numFmtId="166" fontId="38" fillId="5" borderId="8" xfId="5" applyNumberFormat="1" applyFont="1" applyFill="1" applyBorder="1"/>
    <xf numFmtId="42" fontId="48" fillId="5" borderId="7" xfId="5" applyNumberFormat="1" applyFont="1" applyFill="1" applyBorder="1"/>
    <xf numFmtId="42" fontId="48" fillId="5" borderId="9" xfId="5" applyNumberFormat="1" applyFont="1" applyFill="1" applyBorder="1"/>
    <xf numFmtId="166" fontId="38" fillId="6" borderId="8" xfId="5" applyNumberFormat="1" applyFont="1" applyFill="1" applyBorder="1"/>
    <xf numFmtId="42" fontId="48" fillId="6" borderId="7" xfId="5" applyNumberFormat="1" applyFont="1" applyFill="1" applyBorder="1"/>
    <xf numFmtId="42" fontId="48" fillId="6" borderId="9" xfId="5" applyNumberFormat="1" applyFont="1" applyFill="1" applyBorder="1"/>
    <xf numFmtId="0" fontId="14" fillId="2" borderId="0" xfId="5" applyFont="1" applyFill="1" applyAlignment="1">
      <alignment horizontal="left" wrapText="1"/>
    </xf>
    <xf numFmtId="9" fontId="44" fillId="4" borderId="13" xfId="3" applyFont="1" applyFill="1" applyBorder="1"/>
    <xf numFmtId="9" fontId="48" fillId="5" borderId="12" xfId="3" applyFont="1" applyFill="1" applyBorder="1"/>
    <xf numFmtId="9" fontId="48" fillId="5" borderId="13" xfId="3" applyFont="1" applyFill="1" applyBorder="1"/>
    <xf numFmtId="9" fontId="48" fillId="5" borderId="14" xfId="3" applyFont="1" applyFill="1" applyBorder="1"/>
    <xf numFmtId="9" fontId="48" fillId="6" borderId="12" xfId="3" applyFont="1" applyFill="1" applyBorder="1"/>
    <xf numFmtId="9" fontId="48" fillId="6" borderId="13" xfId="3" applyFont="1" applyFill="1" applyBorder="1"/>
    <xf numFmtId="9" fontId="48" fillId="6" borderId="14" xfId="3" applyFont="1" applyFill="1" applyBorder="1"/>
    <xf numFmtId="167" fontId="7" fillId="2" borderId="8" xfId="5" applyNumberFormat="1" applyFont="1" applyFill="1" applyBorder="1"/>
    <xf numFmtId="167" fontId="7" fillId="2" borderId="7" xfId="5" applyNumberFormat="1" applyFont="1" applyFill="1" applyBorder="1"/>
    <xf numFmtId="167" fontId="7" fillId="2" borderId="9" xfId="5" applyNumberFormat="1" applyFont="1" applyFill="1" applyBorder="1"/>
    <xf numFmtId="167" fontId="7" fillId="4" borderId="0" xfId="5" applyNumberFormat="1" applyFont="1" applyFill="1"/>
    <xf numFmtId="0" fontId="19" fillId="4" borderId="0" xfId="5" applyFont="1" applyFill="1"/>
    <xf numFmtId="0" fontId="51" fillId="2" borderId="6" xfId="5" applyFont="1" applyFill="1" applyBorder="1"/>
    <xf numFmtId="167" fontId="7" fillId="2" borderId="12" xfId="5" applyNumberFormat="1" applyFont="1" applyFill="1" applyBorder="1"/>
    <xf numFmtId="167" fontId="7" fillId="2" borderId="13" xfId="5" applyNumberFormat="1" applyFont="1" applyFill="1" applyBorder="1"/>
    <xf numFmtId="167" fontId="7" fillId="2" borderId="14" xfId="5" applyNumberFormat="1" applyFont="1" applyFill="1" applyBorder="1"/>
    <xf numFmtId="0" fontId="52" fillId="2" borderId="0" xfId="5" applyFont="1" applyFill="1" applyAlignment="1">
      <alignment horizontal="left"/>
    </xf>
    <xf numFmtId="0" fontId="18" fillId="2" borderId="8" xfId="0" applyFont="1" applyFill="1" applyBorder="1" applyAlignment="1">
      <alignment vertical="center"/>
    </xf>
    <xf numFmtId="0" fontId="18" fillId="2" borderId="7" xfId="0" applyFont="1" applyFill="1" applyBorder="1" applyAlignment="1">
      <alignment vertical="center"/>
    </xf>
    <xf numFmtId="0" fontId="7" fillId="4" borderId="7" xfId="5" applyFont="1" applyFill="1" applyBorder="1"/>
    <xf numFmtId="0" fontId="44" fillId="2" borderId="7" xfId="5" applyFont="1" applyFill="1" applyBorder="1"/>
    <xf numFmtId="0" fontId="52" fillId="2" borderId="9" xfId="5" applyFont="1" applyFill="1" applyBorder="1" applyAlignment="1">
      <alignment horizontal="left"/>
    </xf>
    <xf numFmtId="0" fontId="18" fillId="2" borderId="10" xfId="0" applyFont="1" applyFill="1" applyBorder="1" applyAlignment="1">
      <alignment vertical="center"/>
    </xf>
    <xf numFmtId="0" fontId="18" fillId="2" borderId="0" xfId="0" applyFont="1" applyFill="1" applyAlignment="1">
      <alignment vertical="center"/>
    </xf>
    <xf numFmtId="0" fontId="14" fillId="2" borderId="11" xfId="5" applyFont="1" applyFill="1" applyBorder="1" applyAlignment="1">
      <alignment horizontal="left" wrapText="1"/>
    </xf>
    <xf numFmtId="0" fontId="17" fillId="2" borderId="10" xfId="0" applyFont="1" applyFill="1" applyBorder="1" applyAlignment="1">
      <alignment vertical="center"/>
    </xf>
    <xf numFmtId="0" fontId="17" fillId="2" borderId="0" xfId="0" applyFont="1" applyFill="1" applyAlignment="1">
      <alignment vertical="center"/>
    </xf>
    <xf numFmtId="0" fontId="7" fillId="4" borderId="13" xfId="5" applyFont="1" applyFill="1" applyBorder="1"/>
    <xf numFmtId="0" fontId="44" fillId="2" borderId="13" xfId="5" applyFont="1" applyFill="1" applyBorder="1"/>
    <xf numFmtId="0" fontId="7" fillId="2" borderId="14" xfId="5" applyFont="1" applyFill="1" applyBorder="1" applyAlignment="1">
      <alignment horizontal="left" wrapText="1"/>
    </xf>
    <xf numFmtId="0" fontId="0" fillId="2" borderId="0" xfId="0" applyFill="1" applyAlignment="1">
      <alignment vertical="center"/>
    </xf>
    <xf numFmtId="0" fontId="6" fillId="2" borderId="3" xfId="5" applyFont="1" applyFill="1" applyBorder="1"/>
    <xf numFmtId="0" fontId="24" fillId="2" borderId="0" xfId="5" applyFont="1" applyFill="1" applyAlignment="1">
      <alignment horizontal="right"/>
    </xf>
    <xf numFmtId="0" fontId="43" fillId="2" borderId="6" xfId="5" applyFont="1" applyFill="1" applyBorder="1" applyAlignment="1">
      <alignment horizontal="left"/>
    </xf>
    <xf numFmtId="0" fontId="0" fillId="2" borderId="0" xfId="0" applyFill="1"/>
    <xf numFmtId="0" fontId="36" fillId="5" borderId="3" xfId="5" applyFont="1" applyFill="1" applyBorder="1" applyAlignment="1">
      <alignment horizontal="center"/>
    </xf>
    <xf numFmtId="0" fontId="6" fillId="2" borderId="0" xfId="5" applyFont="1" applyFill="1" applyAlignment="1">
      <alignment horizontal="center"/>
    </xf>
    <xf numFmtId="0" fontId="36" fillId="6" borderId="3" xfId="5" applyFont="1" applyFill="1" applyBorder="1" applyAlignment="1">
      <alignment horizontal="center"/>
    </xf>
    <xf numFmtId="0" fontId="36" fillId="7" borderId="3" xfId="5" applyFont="1" applyFill="1" applyBorder="1" applyAlignment="1">
      <alignment horizontal="center"/>
    </xf>
    <xf numFmtId="0" fontId="36" fillId="8" borderId="3" xfId="5" applyFont="1" applyFill="1" applyBorder="1" applyAlignment="1">
      <alignment horizontal="center" wrapText="1"/>
    </xf>
    <xf numFmtId="0" fontId="7" fillId="2" borderId="0" xfId="5" applyFont="1" applyFill="1" applyAlignment="1">
      <alignment wrapText="1"/>
    </xf>
    <xf numFmtId="0" fontId="45" fillId="9" borderId="15" xfId="5" applyFont="1" applyFill="1" applyBorder="1"/>
    <xf numFmtId="0" fontId="45" fillId="9" borderId="2" xfId="5" applyFont="1" applyFill="1" applyBorder="1"/>
    <xf numFmtId="0" fontId="43" fillId="3" borderId="1" xfId="5" applyFont="1" applyFill="1" applyBorder="1" applyProtection="1">
      <protection locked="0"/>
    </xf>
    <xf numFmtId="167" fontId="36" fillId="2" borderId="0" xfId="2" applyNumberFormat="1" applyFont="1" applyFill="1" applyBorder="1" applyAlignment="1" applyProtection="1">
      <alignment horizontal="center"/>
    </xf>
    <xf numFmtId="167" fontId="41" fillId="3" borderId="1" xfId="2" applyNumberFormat="1" applyFont="1" applyFill="1" applyBorder="1" applyAlignment="1" applyProtection="1">
      <alignment horizontal="center"/>
      <protection locked="0" hidden="1"/>
    </xf>
    <xf numFmtId="0" fontId="12" fillId="2" borderId="0" xfId="5" applyFont="1" applyFill="1"/>
    <xf numFmtId="0" fontId="43" fillId="2" borderId="0" xfId="5" applyFont="1" applyFill="1"/>
    <xf numFmtId="0" fontId="12" fillId="2" borderId="0" xfId="0" applyFont="1" applyFill="1"/>
    <xf numFmtId="165" fontId="43" fillId="2" borderId="1" xfId="1" applyNumberFormat="1" applyFont="1" applyFill="1" applyBorder="1" applyAlignment="1" applyProtection="1">
      <alignment horizontal="center"/>
    </xf>
    <xf numFmtId="167" fontId="43" fillId="2" borderId="1" xfId="2" applyNumberFormat="1" applyFont="1" applyFill="1" applyBorder="1" applyAlignment="1" applyProtection="1">
      <alignment horizontal="center"/>
    </xf>
    <xf numFmtId="167" fontId="36" fillId="5" borderId="1" xfId="2" applyNumberFormat="1" applyFont="1" applyFill="1" applyBorder="1" applyAlignment="1" applyProtection="1">
      <alignment horizontal="center"/>
    </xf>
    <xf numFmtId="167" fontId="36" fillId="6" borderId="1" xfId="2" applyNumberFormat="1" applyFont="1" applyFill="1" applyBorder="1" applyAlignment="1" applyProtection="1">
      <alignment horizontal="center"/>
    </xf>
    <xf numFmtId="167" fontId="36" fillId="7" borderId="1" xfId="2" applyNumberFormat="1" applyFont="1" applyFill="1" applyBorder="1" applyAlignment="1" applyProtection="1">
      <alignment horizontal="center"/>
    </xf>
    <xf numFmtId="167" fontId="36" fillId="8" borderId="1" xfId="2" applyNumberFormat="1" applyFont="1" applyFill="1" applyBorder="1" applyAlignment="1" applyProtection="1">
      <alignment horizontal="center"/>
    </xf>
    <xf numFmtId="167" fontId="36" fillId="9" borderId="1" xfId="2" applyNumberFormat="1" applyFont="1" applyFill="1" applyBorder="1" applyAlignment="1" applyProtection="1">
      <alignment horizontal="center"/>
    </xf>
    <xf numFmtId="0" fontId="43" fillId="2" borderId="0" xfId="5" applyFont="1" applyFill="1" applyAlignment="1">
      <alignment wrapText="1"/>
    </xf>
    <xf numFmtId="9" fontId="36" fillId="5" borderId="1" xfId="3" applyFont="1" applyFill="1" applyBorder="1" applyAlignment="1" applyProtection="1">
      <alignment horizontal="right"/>
    </xf>
    <xf numFmtId="9" fontId="36" fillId="6" borderId="1" xfId="3" applyFont="1" applyFill="1" applyBorder="1" applyAlignment="1" applyProtection="1">
      <alignment horizontal="right"/>
    </xf>
    <xf numFmtId="9" fontId="36" fillId="7" borderId="1" xfId="3" applyFont="1" applyFill="1" applyBorder="1" applyAlignment="1" applyProtection="1">
      <alignment horizontal="right"/>
    </xf>
    <xf numFmtId="9" fontId="36" fillId="8" borderId="1" xfId="3" applyFont="1" applyFill="1" applyBorder="1" applyAlignment="1" applyProtection="1">
      <alignment horizontal="right"/>
    </xf>
    <xf numFmtId="9" fontId="36" fillId="9" borderId="1" xfId="3" applyFont="1" applyFill="1" applyBorder="1" applyAlignment="1" applyProtection="1">
      <alignment horizontal="right"/>
    </xf>
    <xf numFmtId="9" fontId="15" fillId="2" borderId="1" xfId="3" applyFont="1" applyFill="1" applyBorder="1" applyAlignment="1" applyProtection="1">
      <alignment horizontal="right"/>
    </xf>
    <xf numFmtId="0" fontId="11" fillId="2" borderId="0" xfId="0" applyFont="1" applyFill="1"/>
    <xf numFmtId="9" fontId="45" fillId="5" borderId="1" xfId="3" applyFont="1" applyFill="1" applyBorder="1" applyAlignment="1" applyProtection="1">
      <alignment horizontal="right"/>
    </xf>
    <xf numFmtId="9" fontId="45" fillId="6" borderId="1" xfId="3" applyFont="1" applyFill="1" applyBorder="1" applyAlignment="1" applyProtection="1">
      <alignment horizontal="right"/>
    </xf>
    <xf numFmtId="9" fontId="45" fillId="7" borderId="1" xfId="3" applyFont="1" applyFill="1" applyBorder="1" applyAlignment="1" applyProtection="1">
      <alignment horizontal="right"/>
    </xf>
    <xf numFmtId="9" fontId="45" fillId="8" borderId="1" xfId="3" applyFont="1" applyFill="1" applyBorder="1" applyAlignment="1" applyProtection="1">
      <alignment horizontal="right"/>
    </xf>
    <xf numFmtId="9" fontId="45" fillId="9" borderId="1" xfId="3" applyFont="1" applyFill="1" applyBorder="1" applyAlignment="1" applyProtection="1">
      <alignment horizontal="right"/>
    </xf>
    <xf numFmtId="167" fontId="45" fillId="5" borderId="1" xfId="2" applyNumberFormat="1" applyFont="1" applyFill="1" applyBorder="1" applyAlignment="1" applyProtection="1">
      <alignment horizontal="center"/>
    </xf>
    <xf numFmtId="167" fontId="45" fillId="6" borderId="1" xfId="2" applyNumberFormat="1" applyFont="1" applyFill="1" applyBorder="1" applyAlignment="1" applyProtection="1">
      <alignment horizontal="center"/>
    </xf>
    <xf numFmtId="167" fontId="45" fillId="7" borderId="1" xfId="2" applyNumberFormat="1" applyFont="1" applyFill="1" applyBorder="1" applyAlignment="1" applyProtection="1">
      <alignment horizontal="center"/>
    </xf>
    <xf numFmtId="167" fontId="45" fillId="8" borderId="1" xfId="2" applyNumberFormat="1" applyFont="1" applyFill="1" applyBorder="1" applyAlignment="1" applyProtection="1">
      <alignment horizontal="center"/>
    </xf>
    <xf numFmtId="167" fontId="45" fillId="9" borderId="1" xfId="2" applyNumberFormat="1" applyFont="1" applyFill="1" applyBorder="1" applyAlignment="1" applyProtection="1">
      <alignment horizontal="center"/>
    </xf>
    <xf numFmtId="0" fontId="48" fillId="2" borderId="0" xfId="5" applyFont="1" applyFill="1" applyAlignment="1">
      <alignment horizontal="right"/>
    </xf>
    <xf numFmtId="0" fontId="56" fillId="2" borderId="0" xfId="5" applyFont="1" applyFill="1"/>
    <xf numFmtId="0" fontId="38" fillId="8" borderId="8" xfId="5" applyFont="1" applyFill="1" applyBorder="1" applyAlignment="1">
      <alignment horizontal="center" textRotation="180" wrapText="1"/>
    </xf>
    <xf numFmtId="0" fontId="38" fillId="8" borderId="7" xfId="5" applyFont="1" applyFill="1" applyBorder="1" applyAlignment="1">
      <alignment horizontal="center" textRotation="180" wrapText="1"/>
    </xf>
    <xf numFmtId="0" fontId="38" fillId="8" borderId="18" xfId="5" applyFont="1" applyFill="1" applyBorder="1" applyAlignment="1">
      <alignment horizontal="center" textRotation="180" wrapText="1"/>
    </xf>
    <xf numFmtId="0" fontId="38" fillId="8" borderId="19" xfId="5" applyFont="1" applyFill="1" applyBorder="1" applyAlignment="1">
      <alignment horizontal="center" textRotation="180" wrapText="1"/>
    </xf>
    <xf numFmtId="0" fontId="38" fillId="8" borderId="9" xfId="5" applyFont="1" applyFill="1" applyBorder="1" applyAlignment="1">
      <alignment horizontal="center" textRotation="180" wrapText="1"/>
    </xf>
    <xf numFmtId="0" fontId="14" fillId="2" borderId="3" xfId="5" applyFont="1" applyFill="1" applyBorder="1" applyAlignment="1">
      <alignment horizontal="center" wrapText="1"/>
    </xf>
    <xf numFmtId="0" fontId="38" fillId="8" borderId="12" xfId="5" applyFont="1" applyFill="1" applyBorder="1" applyAlignment="1">
      <alignment horizontal="center" textRotation="180" wrapText="1"/>
    </xf>
    <xf numFmtId="0" fontId="38" fillId="8" borderId="13" xfId="5" applyFont="1" applyFill="1" applyBorder="1" applyAlignment="1">
      <alignment horizontal="center" textRotation="180" wrapText="1"/>
    </xf>
    <xf numFmtId="0" fontId="38" fillId="8" borderId="20" xfId="5" applyFont="1" applyFill="1" applyBorder="1" applyAlignment="1">
      <alignment horizontal="center" textRotation="180" wrapText="1"/>
    </xf>
    <xf numFmtId="0" fontId="38" fillId="8" borderId="21" xfId="5" applyFont="1" applyFill="1" applyBorder="1" applyAlignment="1">
      <alignment horizontal="center" textRotation="180" wrapText="1"/>
    </xf>
    <xf numFmtId="0" fontId="38" fillId="8" borderId="14" xfId="5" applyFont="1" applyFill="1" applyBorder="1" applyAlignment="1">
      <alignment horizontal="center" textRotation="180" wrapText="1"/>
    </xf>
    <xf numFmtId="0" fontId="14" fillId="2" borderId="6" xfId="5" applyFont="1" applyFill="1" applyBorder="1" applyAlignment="1">
      <alignment horizontal="center" wrapText="1"/>
    </xf>
    <xf numFmtId="0" fontId="36" fillId="8" borderId="0" xfId="5" applyFont="1" applyFill="1"/>
    <xf numFmtId="0" fontId="36" fillId="8" borderId="0" xfId="5" applyFont="1" applyFill="1" applyAlignment="1">
      <alignment horizontal="right"/>
    </xf>
    <xf numFmtId="166" fontId="36" fillId="8" borderId="0" xfId="5" applyNumberFormat="1" applyFont="1" applyFill="1" applyAlignment="1">
      <alignment horizontal="right"/>
    </xf>
    <xf numFmtId="167" fontId="36" fillId="8" borderId="0" xfId="2" applyNumberFormat="1" applyFont="1" applyFill="1" applyAlignment="1" applyProtection="1">
      <alignment horizontal="center"/>
    </xf>
    <xf numFmtId="9" fontId="36" fillId="8" borderId="0" xfId="3" applyFont="1" applyFill="1" applyAlignment="1" applyProtection="1">
      <alignment horizontal="right"/>
    </xf>
    <xf numFmtId="0" fontId="57" fillId="8" borderId="0" xfId="5" applyFont="1" applyFill="1"/>
    <xf numFmtId="9" fontId="27" fillId="8" borderId="0" xfId="3" applyFont="1" applyFill="1" applyAlignment="1" applyProtection="1">
      <alignment horizontal="right"/>
    </xf>
    <xf numFmtId="0" fontId="27" fillId="8" borderId="0" xfId="5" applyFont="1" applyFill="1"/>
    <xf numFmtId="167" fontId="7" fillId="2" borderId="0" xfId="2" applyNumberFormat="1" applyFont="1" applyFill="1" applyProtection="1"/>
    <xf numFmtId="167" fontId="23" fillId="2" borderId="0" xfId="2" applyNumberFormat="1" applyFont="1" applyFill="1" applyBorder="1" applyAlignment="1" applyProtection="1">
      <alignment horizontal="left"/>
    </xf>
    <xf numFmtId="0" fontId="11" fillId="2" borderId="8" xfId="5" applyFont="1" applyFill="1" applyBorder="1" applyAlignment="1">
      <alignment horizontal="left" vertical="center"/>
    </xf>
    <xf numFmtId="0" fontId="11" fillId="2" borderId="3" xfId="5" applyFont="1" applyFill="1" applyBorder="1" applyAlignment="1">
      <alignment horizontal="left" vertical="center"/>
    </xf>
    <xf numFmtId="166" fontId="44" fillId="2" borderId="8" xfId="6" applyNumberFormat="1" applyFont="1" applyFill="1" applyBorder="1" applyProtection="1"/>
    <xf numFmtId="166" fontId="44" fillId="2" borderId="7" xfId="6" applyNumberFormat="1" applyFont="1" applyFill="1" applyBorder="1" applyProtection="1"/>
    <xf numFmtId="166" fontId="44" fillId="2" borderId="9" xfId="6" applyNumberFormat="1" applyFont="1" applyFill="1" applyBorder="1" applyProtection="1"/>
    <xf numFmtId="167" fontId="44" fillId="2" borderId="3" xfId="2" applyNumberFormat="1" applyFont="1" applyFill="1" applyBorder="1" applyProtection="1"/>
    <xf numFmtId="0" fontId="11" fillId="2" borderId="10" xfId="5" applyFont="1" applyFill="1" applyBorder="1" applyAlignment="1">
      <alignment horizontal="left" vertical="center"/>
    </xf>
    <xf numFmtId="0" fontId="11" fillId="2" borderId="5" xfId="5" applyFont="1" applyFill="1" applyBorder="1" applyAlignment="1">
      <alignment horizontal="left" vertical="center"/>
    </xf>
    <xf numFmtId="166" fontId="44" fillId="2" borderId="10" xfId="6" applyNumberFormat="1" applyFont="1" applyFill="1" applyBorder="1" applyProtection="1"/>
    <xf numFmtId="166" fontId="44" fillId="2" borderId="0" xfId="6" applyNumberFormat="1" applyFont="1" applyFill="1" applyBorder="1" applyProtection="1"/>
    <xf numFmtId="166" fontId="44" fillId="2" borderId="11" xfId="6" applyNumberFormat="1" applyFont="1" applyFill="1" applyBorder="1" applyProtection="1"/>
    <xf numFmtId="167" fontId="44" fillId="2" borderId="5" xfId="2" applyNumberFormat="1" applyFont="1" applyFill="1" applyBorder="1" applyProtection="1"/>
    <xf numFmtId="166" fontId="7" fillId="2" borderId="10" xfId="6" applyNumberFormat="1" applyFont="1" applyFill="1" applyBorder="1" applyProtection="1"/>
    <xf numFmtId="166" fontId="7" fillId="2" borderId="0" xfId="6" applyNumberFormat="1" applyFont="1" applyFill="1" applyBorder="1" applyProtection="1"/>
    <xf numFmtId="166" fontId="7" fillId="2" borderId="11" xfId="6" applyNumberFormat="1" applyFont="1" applyFill="1" applyBorder="1" applyProtection="1"/>
    <xf numFmtId="167" fontId="7" fillId="2" borderId="5" xfId="2" applyNumberFormat="1" applyFont="1" applyFill="1" applyBorder="1" applyProtection="1"/>
    <xf numFmtId="0" fontId="11" fillId="2" borderId="12" xfId="5" applyFont="1" applyFill="1" applyBorder="1" applyAlignment="1">
      <alignment horizontal="left" vertical="center"/>
    </xf>
    <xf numFmtId="0" fontId="11" fillId="2" borderId="6" xfId="5" applyFont="1" applyFill="1" applyBorder="1" applyAlignment="1">
      <alignment horizontal="left" vertical="center"/>
    </xf>
    <xf numFmtId="166" fontId="7" fillId="2" borderId="12" xfId="6" applyNumberFormat="1" applyFont="1" applyFill="1" applyBorder="1" applyProtection="1"/>
    <xf numFmtId="166" fontId="7" fillId="2" borderId="13" xfId="6" applyNumberFormat="1" applyFont="1" applyFill="1" applyBorder="1" applyProtection="1"/>
    <xf numFmtId="166" fontId="7" fillId="2" borderId="14" xfId="6" applyNumberFormat="1" applyFont="1" applyFill="1" applyBorder="1" applyProtection="1"/>
    <xf numFmtId="166" fontId="44" fillId="2" borderId="12" xfId="6" applyNumberFormat="1" applyFont="1" applyFill="1" applyBorder="1" applyProtection="1"/>
    <xf numFmtId="166" fontId="44" fillId="2" borderId="13" xfId="6" applyNumberFormat="1" applyFont="1" applyFill="1" applyBorder="1" applyProtection="1"/>
    <xf numFmtId="166" fontId="44" fillId="2" borderId="14" xfId="6" applyNumberFormat="1" applyFont="1" applyFill="1" applyBorder="1" applyProtection="1"/>
    <xf numFmtId="167" fontId="7" fillId="2" borderId="6" xfId="2" applyNumberFormat="1" applyFont="1" applyFill="1" applyBorder="1" applyProtection="1"/>
    <xf numFmtId="166" fontId="7" fillId="2" borderId="8" xfId="6" applyNumberFormat="1" applyFont="1" applyFill="1" applyBorder="1" applyProtection="1"/>
    <xf numFmtId="166" fontId="7" fillId="2" borderId="7" xfId="6" applyNumberFormat="1" applyFont="1" applyFill="1" applyBorder="1" applyProtection="1"/>
    <xf numFmtId="166" fontId="7" fillId="2" borderId="9" xfId="6" applyNumberFormat="1" applyFont="1" applyFill="1" applyBorder="1" applyProtection="1"/>
    <xf numFmtId="167" fontId="7" fillId="2" borderId="3" xfId="2" applyNumberFormat="1" applyFont="1" applyFill="1" applyBorder="1" applyProtection="1"/>
    <xf numFmtId="167" fontId="7" fillId="2" borderId="0" xfId="2" applyNumberFormat="1" applyFont="1" applyFill="1" applyBorder="1" applyProtection="1"/>
    <xf numFmtId="0" fontId="45" fillId="8" borderId="15" xfId="5" applyFont="1" applyFill="1" applyBorder="1" applyAlignment="1">
      <alignment horizontal="left" vertical="center"/>
    </xf>
    <xf numFmtId="0" fontId="49" fillId="8" borderId="1" xfId="5" applyFont="1" applyFill="1" applyBorder="1" applyAlignment="1">
      <alignment horizontal="left" vertical="center"/>
    </xf>
    <xf numFmtId="166" fontId="48" fillId="8" borderId="15" xfId="6" applyNumberFormat="1" applyFont="1" applyFill="1" applyBorder="1" applyProtection="1"/>
    <xf numFmtId="166" fontId="48" fillId="8" borderId="4" xfId="6" applyNumberFormat="1" applyFont="1" applyFill="1" applyBorder="1" applyProtection="1"/>
    <xf numFmtId="166" fontId="48" fillId="8" borderId="22" xfId="6" applyNumberFormat="1" applyFont="1" applyFill="1" applyBorder="1" applyProtection="1"/>
    <xf numFmtId="166" fontId="48" fillId="8" borderId="23" xfId="6" applyNumberFormat="1" applyFont="1" applyFill="1" applyBorder="1" applyProtection="1"/>
    <xf numFmtId="167" fontId="48" fillId="8" borderId="15" xfId="2" applyNumberFormat="1" applyFont="1" applyFill="1" applyBorder="1" applyProtection="1"/>
    <xf numFmtId="167" fontId="48" fillId="8" borderId="24" xfId="2" applyNumberFormat="1" applyFont="1" applyFill="1" applyBorder="1" applyProtection="1"/>
    <xf numFmtId="167" fontId="48" fillId="8" borderId="2" xfId="2" applyNumberFormat="1" applyFont="1" applyFill="1" applyBorder="1" applyProtection="1"/>
    <xf numFmtId="167" fontId="48" fillId="8" borderId="23" xfId="2" applyNumberFormat="1" applyFont="1" applyFill="1" applyBorder="1" applyProtection="1"/>
    <xf numFmtId="0" fontId="7" fillId="2" borderId="15" xfId="5" applyFont="1" applyFill="1" applyBorder="1"/>
    <xf numFmtId="0" fontId="7" fillId="2" borderId="2" xfId="5" applyFont="1" applyFill="1" applyBorder="1"/>
    <xf numFmtId="166" fontId="7" fillId="2" borderId="15" xfId="5" applyNumberFormat="1" applyFont="1" applyFill="1" applyBorder="1"/>
    <xf numFmtId="166" fontId="7" fillId="2" borderId="4" xfId="5" applyNumberFormat="1" applyFont="1" applyFill="1" applyBorder="1"/>
    <xf numFmtId="166" fontId="7" fillId="2" borderId="2" xfId="5" applyNumberFormat="1" applyFont="1" applyFill="1" applyBorder="1"/>
    <xf numFmtId="166" fontId="7" fillId="2" borderId="1" xfId="5" applyNumberFormat="1" applyFont="1" applyFill="1" applyBorder="1"/>
    <xf numFmtId="167" fontId="7" fillId="2" borderId="15" xfId="2" applyNumberFormat="1" applyFont="1" applyFill="1" applyBorder="1"/>
    <xf numFmtId="167" fontId="7" fillId="2" borderId="1" xfId="2" applyNumberFormat="1" applyFont="1" applyFill="1" applyBorder="1"/>
    <xf numFmtId="0" fontId="49" fillId="8" borderId="8" xfId="5" applyFont="1" applyFill="1" applyBorder="1" applyAlignment="1">
      <alignment horizontal="left" vertical="center"/>
    </xf>
    <xf numFmtId="166" fontId="44" fillId="3" borderId="8" xfId="6" applyNumberFormat="1" applyFont="1" applyFill="1" applyBorder="1" applyProtection="1">
      <protection locked="0"/>
    </xf>
    <xf numFmtId="166" fontId="44" fillId="3" borderId="7" xfId="6" applyNumberFormat="1" applyFont="1" applyFill="1" applyBorder="1" applyProtection="1">
      <protection locked="0"/>
    </xf>
    <xf numFmtId="166" fontId="44" fillId="3" borderId="9" xfId="6" applyNumberFormat="1" applyFont="1" applyFill="1" applyBorder="1" applyProtection="1">
      <protection locked="0"/>
    </xf>
    <xf numFmtId="167" fontId="44" fillId="3" borderId="3" xfId="2" applyNumberFormat="1" applyFont="1" applyFill="1" applyBorder="1" applyProtection="1">
      <protection locked="0"/>
    </xf>
    <xf numFmtId="0" fontId="49" fillId="8" borderId="10" xfId="5" applyFont="1" applyFill="1" applyBorder="1" applyAlignment="1">
      <alignment horizontal="left" vertical="center"/>
    </xf>
    <xf numFmtId="166" fontId="44" fillId="3" borderId="10" xfId="6" applyNumberFormat="1" applyFont="1" applyFill="1" applyBorder="1" applyProtection="1">
      <protection locked="0"/>
    </xf>
    <xf numFmtId="166" fontId="44" fillId="3" borderId="0" xfId="6" applyNumberFormat="1" applyFont="1" applyFill="1" applyBorder="1" applyProtection="1">
      <protection locked="0"/>
    </xf>
    <xf numFmtId="166" fontId="44" fillId="3" borderId="11" xfId="6" applyNumberFormat="1" applyFont="1" applyFill="1" applyBorder="1" applyProtection="1">
      <protection locked="0"/>
    </xf>
    <xf numFmtId="167" fontId="44" fillId="3" borderId="5" xfId="2" applyNumberFormat="1" applyFont="1" applyFill="1" applyBorder="1" applyProtection="1">
      <protection locked="0"/>
    </xf>
    <xf numFmtId="167" fontId="48" fillId="8" borderId="5" xfId="2" applyNumberFormat="1" applyFont="1" applyFill="1" applyBorder="1" applyProtection="1">
      <protection locked="0"/>
    </xf>
    <xf numFmtId="167" fontId="7" fillId="3" borderId="5" xfId="2" applyNumberFormat="1" applyFont="1" applyFill="1" applyBorder="1" applyProtection="1">
      <protection locked="0"/>
    </xf>
    <xf numFmtId="0" fontId="49" fillId="8" borderId="12" xfId="5" applyFont="1" applyFill="1" applyBorder="1" applyAlignment="1">
      <alignment horizontal="left" vertical="center"/>
    </xf>
    <xf numFmtId="166" fontId="44" fillId="3" borderId="12" xfId="6" applyNumberFormat="1" applyFont="1" applyFill="1" applyBorder="1" applyProtection="1">
      <protection locked="0"/>
    </xf>
    <xf numFmtId="166" fontId="44" fillId="3" borderId="13" xfId="6" applyNumberFormat="1" applyFont="1" applyFill="1" applyBorder="1" applyProtection="1">
      <protection locked="0"/>
    </xf>
    <xf numFmtId="166" fontId="44" fillId="3" borderId="14" xfId="6" applyNumberFormat="1" applyFont="1" applyFill="1" applyBorder="1" applyProtection="1">
      <protection locked="0"/>
    </xf>
    <xf numFmtId="167" fontId="7" fillId="3" borderId="6" xfId="2" applyNumberFormat="1" applyFont="1" applyFill="1" applyBorder="1" applyProtection="1">
      <protection locked="0"/>
    </xf>
    <xf numFmtId="167" fontId="48" fillId="8" borderId="6" xfId="2" applyNumberFormat="1" applyFont="1" applyFill="1" applyBorder="1" applyProtection="1">
      <protection locked="0"/>
    </xf>
    <xf numFmtId="167" fontId="7" fillId="2" borderId="7" xfId="2" applyNumberFormat="1" applyFont="1" applyFill="1" applyBorder="1" applyProtection="1"/>
    <xf numFmtId="0" fontId="21" fillId="2" borderId="10" xfId="5" applyFont="1" applyFill="1" applyBorder="1" applyAlignment="1">
      <alignment horizontal="center" vertical="top" textRotation="180" wrapText="1"/>
    </xf>
    <xf numFmtId="0" fontId="45" fillId="5" borderId="6" xfId="5" applyFont="1" applyFill="1" applyBorder="1" applyAlignment="1">
      <alignment horizontal="center" wrapText="1"/>
    </xf>
    <xf numFmtId="0" fontId="14" fillId="2" borderId="11" xfId="5" applyFont="1" applyFill="1" applyBorder="1" applyAlignment="1">
      <alignment horizontal="center" textRotation="180" wrapText="1"/>
    </xf>
    <xf numFmtId="0" fontId="45" fillId="6" borderId="6" xfId="5" applyFont="1" applyFill="1" applyBorder="1" applyAlignment="1">
      <alignment horizontal="center" wrapText="1"/>
    </xf>
    <xf numFmtId="0" fontId="45" fillId="7" borderId="6" xfId="5" applyFont="1" applyFill="1" applyBorder="1" applyAlignment="1">
      <alignment horizontal="center" wrapText="1"/>
    </xf>
    <xf numFmtId="0" fontId="15" fillId="2" borderId="0" xfId="5" applyFont="1" applyFill="1" applyAlignment="1">
      <alignment horizontal="left" vertical="center"/>
    </xf>
    <xf numFmtId="14" fontId="15" fillId="2" borderId="0" xfId="5" applyNumberFormat="1" applyFont="1" applyFill="1" applyAlignment="1">
      <alignment horizontal="left"/>
    </xf>
    <xf numFmtId="0" fontId="15" fillId="2" borderId="0" xfId="5" applyFont="1" applyFill="1" applyAlignment="1">
      <alignment vertical="top"/>
    </xf>
    <xf numFmtId="0" fontId="11" fillId="2" borderId="3" xfId="5" applyFont="1" applyFill="1" applyBorder="1" applyAlignment="1">
      <alignment horizontal="left" vertical="center" wrapText="1"/>
    </xf>
    <xf numFmtId="0" fontId="0" fillId="2" borderId="0" xfId="0" quotePrefix="1" applyFill="1"/>
    <xf numFmtId="165" fontId="58" fillId="5" borderId="3" xfId="6" quotePrefix="1" applyNumberFormat="1" applyFont="1" applyFill="1" applyBorder="1" applyAlignment="1" applyProtection="1">
      <alignment horizontal="center" vertical="center"/>
    </xf>
    <xf numFmtId="43" fontId="7" fillId="2" borderId="0" xfId="6" applyFont="1" applyFill="1" applyBorder="1" applyAlignment="1" applyProtection="1">
      <alignment vertical="center"/>
    </xf>
    <xf numFmtId="165" fontId="58" fillId="6" borderId="3" xfId="6" applyNumberFormat="1" applyFont="1" applyFill="1" applyBorder="1" applyAlignment="1" applyProtection="1">
      <alignment horizontal="center" vertical="center"/>
    </xf>
    <xf numFmtId="165" fontId="58" fillId="7" borderId="3" xfId="6" applyNumberFormat="1" applyFont="1" applyFill="1" applyBorder="1" applyAlignment="1" applyProtection="1">
      <alignment horizontal="center" vertical="center"/>
    </xf>
    <xf numFmtId="0" fontId="11" fillId="2" borderId="5" xfId="5" applyFont="1" applyFill="1" applyBorder="1" applyAlignment="1">
      <alignment horizontal="left" vertical="center" wrapText="1"/>
    </xf>
    <xf numFmtId="165" fontId="58" fillId="5" borderId="5" xfId="6" applyNumberFormat="1" applyFont="1" applyFill="1" applyBorder="1" applyAlignment="1" applyProtection="1">
      <alignment horizontal="center" vertical="center"/>
    </xf>
    <xf numFmtId="165" fontId="58" fillId="6" borderId="5" xfId="6" applyNumberFormat="1" applyFont="1" applyFill="1" applyBorder="1" applyAlignment="1" applyProtection="1">
      <alignment horizontal="center" vertical="center"/>
    </xf>
    <xf numFmtId="165" fontId="58" fillId="7" borderId="5" xfId="6" applyNumberFormat="1" applyFont="1" applyFill="1" applyBorder="1" applyAlignment="1" applyProtection="1">
      <alignment horizontal="center" vertical="center"/>
    </xf>
    <xf numFmtId="0" fontId="11" fillId="2" borderId="6" xfId="5" applyFont="1" applyFill="1" applyBorder="1" applyAlignment="1">
      <alignment horizontal="left" vertical="center" wrapText="1"/>
    </xf>
    <xf numFmtId="165" fontId="58" fillId="5" borderId="6" xfId="6" applyNumberFormat="1" applyFont="1" applyFill="1" applyBorder="1" applyAlignment="1" applyProtection="1">
      <alignment horizontal="center" vertical="center"/>
    </xf>
    <xf numFmtId="165" fontId="58" fillId="6" borderId="6" xfId="6" applyNumberFormat="1" applyFont="1" applyFill="1" applyBorder="1" applyAlignment="1" applyProtection="1">
      <alignment horizontal="center" vertical="center"/>
    </xf>
    <xf numFmtId="165" fontId="58" fillId="7" borderId="6" xfId="6" applyNumberFormat="1" applyFont="1" applyFill="1" applyBorder="1" applyAlignment="1" applyProtection="1">
      <alignment horizontal="center" vertical="center"/>
    </xf>
    <xf numFmtId="0" fontId="14" fillId="2" borderId="7" xfId="5" applyFont="1" applyFill="1" applyBorder="1" applyAlignment="1">
      <alignment horizontal="left" vertical="center"/>
    </xf>
    <xf numFmtId="165" fontId="7" fillId="2" borderId="7" xfId="6" applyNumberFormat="1" applyFont="1" applyFill="1" applyBorder="1" applyAlignment="1" applyProtection="1">
      <alignment vertical="center"/>
    </xf>
    <xf numFmtId="165" fontId="7" fillId="2" borderId="0" xfId="6" applyNumberFormat="1" applyFont="1" applyFill="1" applyBorder="1" applyAlignment="1" applyProtection="1">
      <alignment vertical="center"/>
    </xf>
    <xf numFmtId="165" fontId="58" fillId="5" borderId="3" xfId="6" applyNumberFormat="1" applyFont="1" applyFill="1" applyBorder="1" applyAlignment="1" applyProtection="1">
      <alignment horizontal="center" vertical="center"/>
    </xf>
    <xf numFmtId="0" fontId="11" fillId="2" borderId="0" xfId="5" applyFont="1" applyFill="1" applyAlignment="1">
      <alignment horizontal="left" vertical="center" wrapText="1"/>
    </xf>
    <xf numFmtId="0" fontId="7" fillId="2" borderId="0" xfId="0" applyFont="1" applyFill="1" applyAlignment="1">
      <alignment horizontal="left" wrapText="1"/>
    </xf>
    <xf numFmtId="0" fontId="7" fillId="2" borderId="0" xfId="0" applyFont="1" applyFill="1" applyAlignment="1">
      <alignment horizontal="right" wrapText="1"/>
    </xf>
    <xf numFmtId="0" fontId="43" fillId="3" borderId="0" xfId="5" applyFont="1" applyFill="1"/>
    <xf numFmtId="172" fontId="15" fillId="2" borderId="0" xfId="5" applyNumberFormat="1" applyFont="1" applyFill="1" applyAlignment="1">
      <alignment horizontal="left"/>
    </xf>
    <xf numFmtId="167" fontId="15" fillId="2" borderId="0" xfId="5" applyNumberFormat="1" applyFont="1" applyFill="1"/>
    <xf numFmtId="0" fontId="59" fillId="10" borderId="0" xfId="8" applyFont="1" applyFill="1" applyAlignment="1">
      <alignment horizontal="left" vertical="center"/>
    </xf>
    <xf numFmtId="0" fontId="60" fillId="10" borderId="0" xfId="8" applyFont="1" applyFill="1" applyAlignment="1">
      <alignment horizontal="left" vertical="center"/>
    </xf>
    <xf numFmtId="0" fontId="61" fillId="10" borderId="0" xfId="8" applyFont="1" applyFill="1" applyAlignment="1">
      <alignment horizontal="left" vertical="center"/>
    </xf>
    <xf numFmtId="0" fontId="60" fillId="0" borderId="0" xfId="8" applyFont="1" applyAlignment="1">
      <alignment horizontal="left" vertical="center"/>
    </xf>
    <xf numFmtId="0" fontId="60" fillId="0" borderId="0" xfId="8" applyFont="1" applyAlignment="1">
      <alignment horizontal="center" vertical="center"/>
    </xf>
    <xf numFmtId="0" fontId="60" fillId="0" borderId="0" xfId="9" applyNumberFormat="1" applyFont="1" applyFill="1" applyAlignment="1">
      <alignment horizontal="center" vertical="center"/>
    </xf>
    <xf numFmtId="0" fontId="1" fillId="0" borderId="0" xfId="8"/>
    <xf numFmtId="0" fontId="2" fillId="10" borderId="0" xfId="8" applyFont="1" applyFill="1" applyAlignment="1">
      <alignment horizontal="left" vertical="center"/>
    </xf>
    <xf numFmtId="0" fontId="63" fillId="10" borderId="0" xfId="8" applyFont="1" applyFill="1" applyAlignment="1">
      <alignment horizontal="left" vertical="center"/>
    </xf>
    <xf numFmtId="0" fontId="63" fillId="0" borderId="0" xfId="8" applyFont="1" applyAlignment="1">
      <alignment horizontal="left" vertical="center"/>
    </xf>
    <xf numFmtId="0" fontId="63" fillId="0" borderId="0" xfId="8" applyFont="1" applyAlignment="1">
      <alignment horizontal="center" vertical="center"/>
    </xf>
    <xf numFmtId="0" fontId="63" fillId="0" borderId="0" xfId="9" applyNumberFormat="1" applyFont="1" applyFill="1" applyAlignment="1">
      <alignment horizontal="center" vertical="center"/>
    </xf>
    <xf numFmtId="0" fontId="1" fillId="0" borderId="0" xfId="8" applyAlignment="1">
      <alignment horizontal="left" vertical="center"/>
    </xf>
    <xf numFmtId="0" fontId="2" fillId="10" borderId="25" xfId="8" applyFont="1" applyFill="1" applyBorder="1" applyAlignment="1">
      <alignment horizontal="left" vertical="center"/>
    </xf>
    <xf numFmtId="0" fontId="64" fillId="0" borderId="0" xfId="8" applyFont="1" applyAlignment="1">
      <alignment horizontal="left" vertical="center"/>
    </xf>
    <xf numFmtId="0" fontId="64" fillId="10" borderId="0" xfId="8" applyFont="1" applyFill="1" applyAlignment="1">
      <alignment horizontal="left" vertical="center"/>
    </xf>
    <xf numFmtId="0" fontId="65" fillId="0" borderId="0" xfId="8" applyFont="1" applyAlignment="1">
      <alignment horizontal="left" vertical="center"/>
    </xf>
    <xf numFmtId="0" fontId="61" fillId="10" borderId="25" xfId="8" applyFont="1" applyFill="1" applyBorder="1" applyAlignment="1">
      <alignment horizontal="left" vertical="center"/>
    </xf>
    <xf numFmtId="0" fontId="66" fillId="10" borderId="0" xfId="8" applyFont="1" applyFill="1" applyAlignment="1">
      <alignment horizontal="left" vertical="center"/>
    </xf>
    <xf numFmtId="0" fontId="66" fillId="10" borderId="13" xfId="8" applyFont="1" applyFill="1" applyBorder="1" applyAlignment="1">
      <alignment horizontal="left" vertical="center"/>
    </xf>
    <xf numFmtId="0" fontId="66" fillId="0" borderId="13" xfId="8" applyFont="1" applyBorder="1" applyAlignment="1">
      <alignment horizontal="left" vertical="center"/>
    </xf>
    <xf numFmtId="0" fontId="66" fillId="0" borderId="13" xfId="8" applyFont="1" applyBorder="1" applyAlignment="1">
      <alignment horizontal="center" vertical="center"/>
    </xf>
    <xf numFmtId="0" fontId="66" fillId="0" borderId="13" xfId="9" applyNumberFormat="1" applyFont="1" applyFill="1" applyBorder="1" applyAlignment="1">
      <alignment horizontal="center" vertical="center"/>
    </xf>
    <xf numFmtId="0" fontId="66" fillId="0" borderId="0" xfId="8" applyFont="1" applyAlignment="1">
      <alignment horizontal="left" vertical="center"/>
    </xf>
    <xf numFmtId="0" fontId="67" fillId="11" borderId="8" xfId="8" applyFont="1" applyFill="1" applyBorder="1" applyAlignment="1">
      <alignment vertical="top"/>
    </xf>
    <xf numFmtId="0" fontId="67" fillId="11" borderId="9" xfId="8" applyFont="1" applyFill="1" applyBorder="1" applyAlignment="1">
      <alignment vertical="top" wrapText="1"/>
    </xf>
    <xf numFmtId="0" fontId="67" fillId="11" borderId="7" xfId="8" applyFont="1" applyFill="1" applyBorder="1" applyAlignment="1">
      <alignment vertical="top"/>
    </xf>
    <xf numFmtId="0" fontId="67" fillId="11" borderId="7" xfId="8" applyFont="1" applyFill="1" applyBorder="1" applyAlignment="1">
      <alignment vertical="top" wrapText="1"/>
    </xf>
    <xf numFmtId="0" fontId="67" fillId="12" borderId="7" xfId="8" applyFont="1" applyFill="1" applyBorder="1" applyAlignment="1">
      <alignment vertical="center"/>
    </xf>
    <xf numFmtId="0" fontId="67" fillId="12" borderId="7" xfId="8" applyFont="1" applyFill="1" applyBorder="1" applyAlignment="1">
      <alignment horizontal="left" vertical="center"/>
    </xf>
    <xf numFmtId="0" fontId="67" fillId="12" borderId="7" xfId="8" applyFont="1" applyFill="1" applyBorder="1" applyAlignment="1">
      <alignment horizontal="center" vertical="center"/>
    </xf>
    <xf numFmtId="9" fontId="67" fillId="12" borderId="7" xfId="3" applyFont="1" applyFill="1" applyBorder="1" applyAlignment="1">
      <alignment horizontal="center" vertical="center"/>
    </xf>
    <xf numFmtId="0" fontId="68" fillId="12" borderId="7" xfId="9" applyNumberFormat="1" applyFont="1" applyFill="1" applyBorder="1" applyAlignment="1">
      <alignment horizontal="center"/>
    </xf>
    <xf numFmtId="0" fontId="68" fillId="12" borderId="7" xfId="8" applyFont="1" applyFill="1" applyBorder="1"/>
    <xf numFmtId="0" fontId="68" fillId="13" borderId="8" xfId="8" applyFont="1" applyFill="1" applyBorder="1"/>
    <xf numFmtId="0" fontId="68" fillId="13" borderId="7" xfId="8" applyFont="1" applyFill="1" applyBorder="1"/>
    <xf numFmtId="0" fontId="67" fillId="3" borderId="8" xfId="8" applyFont="1" applyFill="1" applyBorder="1" applyAlignment="1">
      <alignment horizontal="left" vertical="center"/>
    </xf>
    <xf numFmtId="0" fontId="68" fillId="3" borderId="7" xfId="8" applyFont="1" applyFill="1" applyBorder="1"/>
    <xf numFmtId="0" fontId="1" fillId="14" borderId="8" xfId="8" applyFill="1" applyBorder="1"/>
    <xf numFmtId="0" fontId="1" fillId="14" borderId="9" xfId="8" applyFill="1" applyBorder="1"/>
    <xf numFmtId="0" fontId="68" fillId="15" borderId="7" xfId="8" applyFont="1" applyFill="1" applyBorder="1"/>
    <xf numFmtId="0" fontId="68" fillId="15" borderId="9" xfId="8" applyFont="1" applyFill="1" applyBorder="1"/>
    <xf numFmtId="0" fontId="63" fillId="16" borderId="7" xfId="8" applyFont="1" applyFill="1" applyBorder="1" applyAlignment="1">
      <alignment horizontal="center" wrapText="1"/>
    </xf>
    <xf numFmtId="0" fontId="3" fillId="16" borderId="7" xfId="8" applyFont="1" applyFill="1" applyBorder="1" applyAlignment="1">
      <alignment horizontal="center" wrapText="1"/>
    </xf>
    <xf numFmtId="0" fontId="3" fillId="16" borderId="9" xfId="8" applyFont="1" applyFill="1" applyBorder="1" applyAlignment="1">
      <alignment horizontal="center" wrapText="1"/>
    </xf>
    <xf numFmtId="0" fontId="67" fillId="17" borderId="7" xfId="8" applyFont="1" applyFill="1" applyBorder="1" applyAlignment="1">
      <alignment horizontal="left" vertical="center"/>
    </xf>
    <xf numFmtId="0" fontId="67" fillId="17" borderId="9" xfId="8" applyFont="1" applyFill="1" applyBorder="1" applyAlignment="1">
      <alignment horizontal="left" vertical="center"/>
    </xf>
    <xf numFmtId="0" fontId="0" fillId="18" borderId="8" xfId="0" applyFill="1" applyBorder="1"/>
    <xf numFmtId="0" fontId="0" fillId="18" borderId="7" xfId="0" applyFill="1" applyBorder="1"/>
    <xf numFmtId="0" fontId="0" fillId="18" borderId="9" xfId="0" applyFill="1" applyBorder="1"/>
    <xf numFmtId="0" fontId="63" fillId="19" borderId="8" xfId="8" applyFont="1" applyFill="1" applyBorder="1" applyAlignment="1">
      <alignment horizontal="center" wrapText="1"/>
    </xf>
    <xf numFmtId="0" fontId="63" fillId="19" borderId="7" xfId="8" applyFont="1" applyFill="1" applyBorder="1" applyAlignment="1">
      <alignment horizontal="center" wrapText="1"/>
    </xf>
    <xf numFmtId="0" fontId="63" fillId="19" borderId="9" xfId="8" applyFont="1" applyFill="1" applyBorder="1" applyAlignment="1">
      <alignment horizontal="center" wrapText="1"/>
    </xf>
    <xf numFmtId="0" fontId="67" fillId="11" borderId="12" xfId="8" applyFont="1" applyFill="1" applyBorder="1" applyAlignment="1">
      <alignment vertical="top" wrapText="1"/>
    </xf>
    <xf numFmtId="0" fontId="67" fillId="11" borderId="14" xfId="8" applyFont="1" applyFill="1" applyBorder="1" applyAlignment="1">
      <alignment vertical="top" wrapText="1"/>
    </xf>
    <xf numFmtId="0" fontId="67" fillId="11" borderId="13" xfId="8" applyFont="1" applyFill="1" applyBorder="1" applyAlignment="1">
      <alignment vertical="top" wrapText="1"/>
    </xf>
    <xf numFmtId="0" fontId="1" fillId="12" borderId="13" xfId="8" applyFill="1" applyBorder="1" applyAlignment="1">
      <alignment horizontal="center" wrapText="1"/>
    </xf>
    <xf numFmtId="49" fontId="1" fillId="12" borderId="13" xfId="8" applyNumberFormat="1" applyFill="1" applyBorder="1" applyAlignment="1">
      <alignment horizontal="center" wrapText="1"/>
    </xf>
    <xf numFmtId="0" fontId="63" fillId="12" borderId="13" xfId="8" applyFont="1" applyFill="1" applyBorder="1" applyAlignment="1">
      <alignment vertical="center"/>
    </xf>
    <xf numFmtId="0" fontId="69" fillId="12" borderId="13" xfId="9" applyNumberFormat="1" applyFont="1" applyFill="1" applyBorder="1" applyAlignment="1">
      <alignment horizontal="center" vertical="center"/>
    </xf>
    <xf numFmtId="0" fontId="69" fillId="12" borderId="13" xfId="8" applyFont="1" applyFill="1" applyBorder="1" applyAlignment="1">
      <alignment vertical="center"/>
    </xf>
    <xf numFmtId="0" fontId="63" fillId="13" borderId="12" xfId="8" applyFont="1" applyFill="1" applyBorder="1" applyAlignment="1">
      <alignment horizontal="center" vertical="center"/>
    </xf>
    <xf numFmtId="0" fontId="63" fillId="13" borderId="14" xfId="8" applyFont="1" applyFill="1" applyBorder="1" applyAlignment="1">
      <alignment horizontal="center" vertical="center"/>
    </xf>
    <xf numFmtId="0" fontId="69" fillId="3" borderId="12" xfId="8" applyFont="1" applyFill="1" applyBorder="1" applyAlignment="1">
      <alignment horizontal="center" vertical="center" wrapText="1"/>
    </xf>
    <xf numFmtId="0" fontId="1" fillId="3" borderId="13" xfId="8" applyFill="1" applyBorder="1" applyAlignment="1">
      <alignment horizontal="center" wrapText="1"/>
    </xf>
    <xf numFmtId="0" fontId="1" fillId="3" borderId="13" xfId="8" applyFill="1" applyBorder="1" applyAlignment="1">
      <alignment horizontal="center" vertical="center" wrapText="1"/>
    </xf>
    <xf numFmtId="0" fontId="69" fillId="20" borderId="15" xfId="8" applyFont="1" applyFill="1" applyBorder="1" applyAlignment="1">
      <alignment horizontal="center" vertical="center" wrapText="1"/>
    </xf>
    <xf numFmtId="0" fontId="69" fillId="20" borderId="4" xfId="8" applyFont="1" applyFill="1" applyBorder="1" applyAlignment="1">
      <alignment horizontal="center" vertical="center" wrapText="1"/>
    </xf>
    <xf numFmtId="0" fontId="70" fillId="14" borderId="12" xfId="8" applyFont="1" applyFill="1" applyBorder="1" applyAlignment="1">
      <alignment horizontal="center"/>
    </xf>
    <xf numFmtId="0" fontId="70" fillId="14" borderId="14" xfId="8" applyFont="1" applyFill="1" applyBorder="1" applyAlignment="1">
      <alignment horizontal="center"/>
    </xf>
    <xf numFmtId="0" fontId="63" fillId="15" borderId="13" xfId="8" applyFont="1" applyFill="1" applyBorder="1" applyAlignment="1">
      <alignment horizontal="center" vertical="center"/>
    </xf>
    <xf numFmtId="0" fontId="69" fillId="15" borderId="14" xfId="8" applyFont="1" applyFill="1" applyBorder="1" applyAlignment="1">
      <alignment horizontal="center" vertical="center"/>
    </xf>
    <xf numFmtId="0" fontId="3" fillId="16" borderId="13" xfId="8" applyFont="1" applyFill="1" applyBorder="1" applyAlignment="1">
      <alignment horizontal="center" wrapText="1"/>
    </xf>
    <xf numFmtId="0" fontId="3" fillId="16" borderId="14" xfId="8" applyFont="1" applyFill="1" applyBorder="1" applyAlignment="1">
      <alignment horizontal="center" wrapText="1"/>
    </xf>
    <xf numFmtId="0" fontId="69" fillId="17" borderId="12" xfId="8" applyFont="1" applyFill="1" applyBorder="1"/>
    <xf numFmtId="0" fontId="69" fillId="17" borderId="13" xfId="8" applyFont="1" applyFill="1" applyBorder="1"/>
    <xf numFmtId="0" fontId="1" fillId="17" borderId="13" xfId="8" applyFill="1" applyBorder="1" applyAlignment="1">
      <alignment horizontal="center" wrapText="1"/>
    </xf>
    <xf numFmtId="0" fontId="1" fillId="17" borderId="14" xfId="8" applyFill="1" applyBorder="1" applyAlignment="1">
      <alignment horizontal="center" wrapText="1"/>
    </xf>
    <xf numFmtId="0" fontId="3" fillId="18" borderId="12" xfId="0" applyFont="1" applyFill="1" applyBorder="1" applyAlignment="1">
      <alignment horizontal="center"/>
    </xf>
    <xf numFmtId="0" fontId="3" fillId="18" borderId="13" xfId="0" applyFont="1" applyFill="1" applyBorder="1" applyAlignment="1">
      <alignment horizontal="center"/>
    </xf>
    <xf numFmtId="0" fontId="3" fillId="18" borderId="14" xfId="0" applyFont="1" applyFill="1" applyBorder="1" applyAlignment="1">
      <alignment horizontal="center"/>
    </xf>
    <xf numFmtId="0" fontId="63" fillId="19" borderId="12" xfId="8" applyFont="1" applyFill="1" applyBorder="1" applyAlignment="1">
      <alignment horizontal="center" wrapText="1"/>
    </xf>
    <xf numFmtId="0" fontId="63" fillId="19" borderId="13" xfId="8" applyFont="1" applyFill="1" applyBorder="1" applyAlignment="1">
      <alignment horizontal="center" wrapText="1"/>
    </xf>
    <xf numFmtId="0" fontId="63" fillId="19" borderId="14" xfId="8" applyFont="1" applyFill="1" applyBorder="1" applyAlignment="1">
      <alignment horizontal="center" wrapText="1"/>
    </xf>
    <xf numFmtId="0" fontId="1" fillId="0" borderId="0" xfId="8" applyAlignment="1">
      <alignment horizontal="center" wrapText="1"/>
    </xf>
    <xf numFmtId="0" fontId="71" fillId="20" borderId="26" xfId="8" applyFont="1" applyFill="1" applyBorder="1" applyAlignment="1">
      <alignment horizontal="left" wrapText="1"/>
    </xf>
    <xf numFmtId="0" fontId="71" fillId="20" borderId="27" xfId="8" applyFont="1" applyFill="1" applyBorder="1" applyAlignment="1">
      <alignment horizontal="left" wrapText="1"/>
    </xf>
    <xf numFmtId="0" fontId="5" fillId="20" borderId="28" xfId="0" applyFont="1" applyFill="1" applyBorder="1" applyAlignment="1">
      <alignment horizontal="center" wrapText="1"/>
    </xf>
    <xf numFmtId="0" fontId="72" fillId="20" borderId="28" xfId="0" applyFont="1" applyFill="1" applyBorder="1" applyAlignment="1">
      <alignment horizontal="center" wrapText="1"/>
    </xf>
    <xf numFmtId="0" fontId="5" fillId="20" borderId="28" xfId="0" applyFont="1" applyFill="1" applyBorder="1" applyAlignment="1">
      <alignment horizontal="center"/>
    </xf>
    <xf numFmtId="0" fontId="65" fillId="20" borderId="28" xfId="0" applyFont="1" applyFill="1" applyBorder="1" applyAlignment="1">
      <alignment horizontal="center" wrapText="1"/>
    </xf>
    <xf numFmtId="0" fontId="74" fillId="20" borderId="28" xfId="0" applyFont="1" applyFill="1" applyBorder="1" applyAlignment="1">
      <alignment horizontal="center" wrapText="1"/>
    </xf>
    <xf numFmtId="0" fontId="75" fillId="20" borderId="28" xfId="0" applyFont="1" applyFill="1" applyBorder="1" applyAlignment="1">
      <alignment horizontal="center" wrapText="1"/>
    </xf>
    <xf numFmtId="0" fontId="74" fillId="20" borderId="12" xfId="8" applyFont="1" applyFill="1" applyBorder="1" applyAlignment="1">
      <alignment horizontal="center" wrapText="1"/>
    </xf>
    <xf numFmtId="0" fontId="5" fillId="20" borderId="29" xfId="8" applyFont="1" applyFill="1" applyBorder="1" applyAlignment="1">
      <alignment horizontal="center" wrapText="1"/>
    </xf>
    <xf numFmtId="49" fontId="65" fillId="20" borderId="28" xfId="0" applyNumberFormat="1" applyFont="1" applyFill="1" applyBorder="1" applyAlignment="1">
      <alignment horizontal="center" wrapText="1"/>
    </xf>
    <xf numFmtId="0" fontId="1" fillId="20" borderId="29" xfId="8" applyFill="1" applyBorder="1" applyAlignment="1" applyProtection="1">
      <alignment horizontal="center" wrapText="1"/>
      <protection locked="0"/>
    </xf>
    <xf numFmtId="0" fontId="73" fillId="20" borderId="29" xfId="8" applyFont="1" applyFill="1" applyBorder="1" applyAlignment="1" applyProtection="1">
      <alignment horizontal="center" wrapText="1"/>
      <protection locked="0"/>
    </xf>
    <xf numFmtId="0" fontId="65" fillId="20" borderId="29" xfId="8" applyFont="1" applyFill="1" applyBorder="1" applyAlignment="1" applyProtection="1">
      <alignment horizontal="center" wrapText="1"/>
      <protection locked="0"/>
    </xf>
    <xf numFmtId="0" fontId="65" fillId="20" borderId="29" xfId="8" applyFont="1" applyFill="1" applyBorder="1" applyAlignment="1">
      <alignment horizontal="center" wrapText="1"/>
    </xf>
    <xf numFmtId="0" fontId="72" fillId="20" borderId="29" xfId="8" applyFont="1" applyFill="1" applyBorder="1" applyAlignment="1">
      <alignment horizontal="center" wrapText="1"/>
    </xf>
    <xf numFmtId="0" fontId="72" fillId="20" borderId="30" xfId="8" applyFont="1" applyFill="1" applyBorder="1" applyAlignment="1">
      <alignment horizontal="center" wrapText="1"/>
    </xf>
    <xf numFmtId="0" fontId="73" fillId="20" borderId="30" xfId="8" applyFont="1" applyFill="1" applyBorder="1" applyAlignment="1">
      <alignment horizontal="center" wrapText="1"/>
    </xf>
    <xf numFmtId="0" fontId="5" fillId="20" borderId="30" xfId="8" applyFont="1" applyFill="1" applyBorder="1" applyAlignment="1">
      <alignment horizontal="center" wrapText="1"/>
    </xf>
    <xf numFmtId="0" fontId="65" fillId="20" borderId="30" xfId="8" applyFont="1" applyFill="1" applyBorder="1" applyAlignment="1">
      <alignment horizontal="center" wrapText="1"/>
    </xf>
    <xf numFmtId="0" fontId="5" fillId="20" borderId="29" xfId="9" applyNumberFormat="1" applyFont="1" applyFill="1" applyBorder="1" applyAlignment="1">
      <alignment horizontal="center" wrapText="1"/>
    </xf>
    <xf numFmtId="0" fontId="65" fillId="20" borderId="31" xfId="8" applyFont="1" applyFill="1" applyBorder="1" applyAlignment="1">
      <alignment horizontal="center" wrapText="1"/>
    </xf>
    <xf numFmtId="0" fontId="65" fillId="20" borderId="31" xfId="8" applyFont="1" applyFill="1" applyBorder="1" applyAlignment="1">
      <alignment horizontal="left" wrapText="1"/>
    </xf>
    <xf numFmtId="0" fontId="65" fillId="20" borderId="32" xfId="8" applyFont="1" applyFill="1" applyBorder="1" applyAlignment="1">
      <alignment horizontal="center" wrapText="1"/>
    </xf>
    <xf numFmtId="0" fontId="72" fillId="20" borderId="33" xfId="8" applyFont="1" applyFill="1" applyBorder="1" applyAlignment="1" applyProtection="1">
      <alignment horizontal="center" wrapText="1"/>
      <protection locked="0"/>
    </xf>
    <xf numFmtId="0" fontId="65" fillId="20" borderId="32" xfId="8" applyFont="1" applyFill="1" applyBorder="1" applyAlignment="1" applyProtection="1">
      <alignment horizontal="center" wrapText="1"/>
      <protection locked="0"/>
    </xf>
    <xf numFmtId="0" fontId="72" fillId="20" borderId="6" xfId="8" applyFont="1" applyFill="1" applyBorder="1" applyAlignment="1" applyProtection="1">
      <alignment horizontal="center" wrapText="1"/>
      <protection locked="0"/>
    </xf>
    <xf numFmtId="0" fontId="65" fillId="20" borderId="30" xfId="8" applyFont="1" applyFill="1" applyBorder="1" applyAlignment="1" applyProtection="1">
      <alignment horizontal="center" wrapText="1"/>
      <protection locked="0"/>
    </xf>
    <xf numFmtId="0" fontId="65" fillId="20" borderId="26" xfId="8" applyFont="1" applyFill="1" applyBorder="1" applyAlignment="1" applyProtection="1">
      <alignment horizontal="center" wrapText="1"/>
      <protection locked="0"/>
    </xf>
    <xf numFmtId="0" fontId="74" fillId="20" borderId="29" xfId="8" applyFont="1" applyFill="1" applyBorder="1" applyAlignment="1">
      <alignment horizontal="center" wrapText="1"/>
    </xf>
    <xf numFmtId="0" fontId="5" fillId="20" borderId="32" xfId="8" applyFont="1" applyFill="1" applyBorder="1" applyAlignment="1" applyProtection="1">
      <alignment horizontal="center" wrapText="1"/>
      <protection locked="0"/>
    </xf>
    <xf numFmtId="0" fontId="75" fillId="20" borderId="34" xfId="8" applyFont="1" applyFill="1" applyBorder="1" applyAlignment="1">
      <alignment horizontal="center" wrapText="1"/>
    </xf>
    <xf numFmtId="0" fontId="75" fillId="20" borderId="27" xfId="8" applyFont="1" applyFill="1" applyBorder="1" applyAlignment="1">
      <alignment horizontal="center" wrapText="1"/>
    </xf>
    <xf numFmtId="0" fontId="75" fillId="20" borderId="35" xfId="8" applyFont="1" applyFill="1" applyBorder="1" applyAlignment="1">
      <alignment horizontal="center" wrapText="1"/>
    </xf>
    <xf numFmtId="0" fontId="75" fillId="20" borderId="36" xfId="8" applyFont="1" applyFill="1" applyBorder="1" applyAlignment="1">
      <alignment horizontal="center" wrapText="1"/>
    </xf>
    <xf numFmtId="0" fontId="65" fillId="20" borderId="37" xfId="8" applyFont="1" applyFill="1" applyBorder="1" applyAlignment="1">
      <alignment horizontal="center" wrapText="1"/>
    </xf>
    <xf numFmtId="0" fontId="65" fillId="20" borderId="35" xfId="8" applyFont="1" applyFill="1" applyBorder="1" applyAlignment="1">
      <alignment horizontal="center" wrapText="1"/>
    </xf>
    <xf numFmtId="0" fontId="65" fillId="20" borderId="27" xfId="8" applyFont="1" applyFill="1" applyBorder="1" applyAlignment="1">
      <alignment horizontal="center" wrapText="1"/>
    </xf>
    <xf numFmtId="0" fontId="65" fillId="20" borderId="38" xfId="8" applyFont="1" applyFill="1" applyBorder="1" applyAlignment="1">
      <alignment horizontal="center" wrapText="1"/>
    </xf>
    <xf numFmtId="0" fontId="65" fillId="20" borderId="36" xfId="8" applyFont="1" applyFill="1" applyBorder="1" applyAlignment="1">
      <alignment horizontal="center" wrapText="1"/>
    </xf>
    <xf numFmtId="0" fontId="0" fillId="20" borderId="39" xfId="0" applyFill="1" applyBorder="1" applyAlignment="1">
      <alignment horizontal="center"/>
    </xf>
    <xf numFmtId="0" fontId="0" fillId="20" borderId="40" xfId="0" applyFill="1" applyBorder="1" applyAlignment="1">
      <alignment horizontal="center"/>
    </xf>
    <xf numFmtId="0" fontId="0" fillId="20" borderId="41" xfId="0" applyFill="1" applyBorder="1" applyAlignment="1">
      <alignment horizontal="center"/>
    </xf>
    <xf numFmtId="0" fontId="1" fillId="20" borderId="38" xfId="8" applyFill="1" applyBorder="1" applyAlignment="1">
      <alignment horizontal="center"/>
    </xf>
    <xf numFmtId="0" fontId="1" fillId="20" borderId="35" xfId="8" applyFill="1" applyBorder="1" applyAlignment="1">
      <alignment horizontal="center"/>
    </xf>
    <xf numFmtId="0" fontId="1" fillId="20" borderId="27" xfId="8" applyFill="1" applyBorder="1" applyAlignment="1">
      <alignment horizontal="center"/>
    </xf>
    <xf numFmtId="0" fontId="1" fillId="0" borderId="10" xfId="8" applyBorder="1" applyAlignment="1">
      <alignment horizontal="center"/>
    </xf>
    <xf numFmtId="0" fontId="1" fillId="0" borderId="0" xfId="8" applyAlignment="1">
      <alignment horizontal="center"/>
    </xf>
    <xf numFmtId="0" fontId="79" fillId="11" borderId="42" xfId="8" applyFont="1" applyFill="1" applyBorder="1" applyAlignment="1">
      <alignment horizontal="left" vertical="center" wrapText="1"/>
    </xf>
    <xf numFmtId="0" fontId="79" fillId="11" borderId="43" xfId="8" applyFont="1" applyFill="1" applyBorder="1" applyAlignment="1">
      <alignment horizontal="center" vertical="center" wrapText="1"/>
    </xf>
    <xf numFmtId="0" fontId="79" fillId="11" borderId="29" xfId="0" applyFont="1" applyFill="1" applyBorder="1" applyAlignment="1">
      <alignment horizontal="center" vertical="center" wrapText="1"/>
    </xf>
    <xf numFmtId="0" fontId="79" fillId="11" borderId="29" xfId="0" applyFont="1" applyFill="1" applyBorder="1" applyAlignment="1">
      <alignment horizontal="center" vertical="center"/>
    </xf>
    <xf numFmtId="0" fontId="79" fillId="11" borderId="28" xfId="0" applyFont="1" applyFill="1" applyBorder="1" applyAlignment="1">
      <alignment horizontal="center" vertical="center" wrapText="1"/>
    </xf>
    <xf numFmtId="0" fontId="79" fillId="12" borderId="12" xfId="8" applyFont="1" applyFill="1" applyBorder="1" applyAlignment="1">
      <alignment horizontal="center" vertical="center" wrapText="1"/>
    </xf>
    <xf numFmtId="0" fontId="79" fillId="12" borderId="29" xfId="8" applyFont="1" applyFill="1" applyBorder="1" applyAlignment="1">
      <alignment horizontal="center" vertical="center" wrapText="1"/>
    </xf>
    <xf numFmtId="49" fontId="79" fillId="12" borderId="29" xfId="0" applyNumberFormat="1" applyFont="1" applyFill="1" applyBorder="1" applyAlignment="1">
      <alignment horizontal="center" vertical="center" wrapText="1"/>
    </xf>
    <xf numFmtId="0" fontId="79" fillId="12" borderId="29" xfId="8" applyFont="1" applyFill="1" applyBorder="1" applyAlignment="1" applyProtection="1">
      <alignment horizontal="center" vertical="center" wrapText="1"/>
      <protection locked="0"/>
    </xf>
    <xf numFmtId="0" fontId="79" fillId="12" borderId="30" xfId="8" applyFont="1" applyFill="1" applyBorder="1" applyAlignment="1">
      <alignment horizontal="center" vertical="center" wrapText="1"/>
    </xf>
    <xf numFmtId="0" fontId="79" fillId="12" borderId="29" xfId="9" applyNumberFormat="1" applyFont="1" applyFill="1" applyBorder="1" applyAlignment="1">
      <alignment horizontal="center" vertical="center" wrapText="1"/>
    </xf>
    <xf numFmtId="0" fontId="79" fillId="12" borderId="31" xfId="8" applyFont="1" applyFill="1" applyBorder="1" applyAlignment="1">
      <alignment horizontal="center" vertical="center" wrapText="1"/>
    </xf>
    <xf numFmtId="0" fontId="79" fillId="12" borderId="32" xfId="8" applyFont="1" applyFill="1" applyBorder="1" applyAlignment="1">
      <alignment horizontal="center" vertical="center" wrapText="1"/>
    </xf>
    <xf numFmtId="0" fontId="79" fillId="13" borderId="33" xfId="8" applyFont="1" applyFill="1" applyBorder="1" applyAlignment="1" applyProtection="1">
      <alignment horizontal="center" vertical="center" wrapText="1"/>
      <protection locked="0"/>
    </xf>
    <xf numFmtId="0" fontId="79" fillId="13" borderId="32" xfId="8" applyFont="1" applyFill="1" applyBorder="1" applyAlignment="1" applyProtection="1">
      <alignment horizontal="center" vertical="center" wrapText="1"/>
      <protection locked="0"/>
    </xf>
    <xf numFmtId="0" fontId="79" fillId="3" borderId="6" xfId="8" applyFont="1" applyFill="1" applyBorder="1" applyAlignment="1" applyProtection="1">
      <alignment horizontal="center" vertical="center" wrapText="1"/>
      <protection locked="0"/>
    </xf>
    <xf numFmtId="0" fontId="79" fillId="3" borderId="30" xfId="8" applyFont="1" applyFill="1" applyBorder="1" applyAlignment="1" applyProtection="1">
      <alignment horizontal="center" vertical="center" wrapText="1"/>
      <protection locked="0"/>
    </xf>
    <xf numFmtId="0" fontId="79" fillId="3" borderId="42" xfId="8" applyFont="1" applyFill="1" applyBorder="1" applyAlignment="1" applyProtection="1">
      <alignment horizontal="center" vertical="center" wrapText="1"/>
      <protection locked="0"/>
    </xf>
    <xf numFmtId="0" fontId="79" fillId="3" borderId="29" xfId="8" applyFont="1" applyFill="1" applyBorder="1" applyAlignment="1">
      <alignment horizontal="center" vertical="center" wrapText="1"/>
    </xf>
    <xf numFmtId="0" fontId="79" fillId="3" borderId="29" xfId="8" applyFont="1" applyFill="1" applyBorder="1" applyAlignment="1" applyProtection="1">
      <alignment horizontal="center" vertical="center" wrapText="1"/>
      <protection locked="0"/>
    </xf>
    <xf numFmtId="0" fontId="79" fillId="3" borderId="32" xfId="8" applyFont="1" applyFill="1" applyBorder="1" applyAlignment="1" applyProtection="1">
      <alignment horizontal="center" vertical="center" wrapText="1"/>
      <protection locked="0"/>
    </xf>
    <xf numFmtId="0" fontId="79" fillId="14" borderId="13" xfId="8" applyFont="1" applyFill="1" applyBorder="1" applyAlignment="1">
      <alignment horizontal="center" vertical="center" wrapText="1"/>
    </xf>
    <xf numFmtId="0" fontId="79" fillId="14" borderId="43" xfId="8" applyFont="1" applyFill="1" applyBorder="1" applyAlignment="1">
      <alignment horizontal="center" vertical="center" wrapText="1"/>
    </xf>
    <xf numFmtId="0" fontId="79" fillId="15" borderId="31" xfId="8" applyFont="1" applyFill="1" applyBorder="1" applyAlignment="1">
      <alignment horizontal="center" vertical="center" wrapText="1"/>
    </xf>
    <xf numFmtId="0" fontId="79" fillId="16" borderId="44" xfId="8" applyFont="1" applyFill="1" applyBorder="1" applyAlignment="1">
      <alignment horizontal="left" wrapText="1"/>
    </xf>
    <xf numFmtId="0" fontId="79" fillId="16" borderId="45" xfId="8" applyFont="1" applyFill="1" applyBorder="1" applyAlignment="1">
      <alignment horizontal="left" wrapText="1"/>
    </xf>
    <xf numFmtId="0" fontId="79" fillId="16" borderId="46" xfId="8" applyFont="1" applyFill="1" applyBorder="1" applyAlignment="1">
      <alignment horizontal="left" wrapText="1"/>
    </xf>
    <xf numFmtId="22" fontId="79" fillId="17" borderId="44" xfId="8" applyNumberFormat="1" applyFont="1" applyFill="1" applyBorder="1" applyAlignment="1">
      <alignment horizontal="left" wrapText="1"/>
    </xf>
    <xf numFmtId="22" fontId="79" fillId="17" borderId="45" xfId="8" applyNumberFormat="1" applyFont="1" applyFill="1" applyBorder="1" applyAlignment="1">
      <alignment horizontal="left" wrapText="1"/>
    </xf>
    <xf numFmtId="0" fontId="79" fillId="17" borderId="47" xfId="8" applyFont="1" applyFill="1" applyBorder="1" applyAlignment="1">
      <alignment horizontal="left" wrapText="1"/>
    </xf>
    <xf numFmtId="0" fontId="79" fillId="18" borderId="44" xfId="0" applyFont="1" applyFill="1" applyBorder="1" applyAlignment="1">
      <alignment horizontal="left" wrapText="1"/>
    </xf>
    <xf numFmtId="0" fontId="79" fillId="18" borderId="45" xfId="0" applyFont="1" applyFill="1" applyBorder="1" applyAlignment="1">
      <alignment horizontal="left" wrapText="1"/>
    </xf>
    <xf numFmtId="0" fontId="79" fillId="18" borderId="46" xfId="0" applyFont="1" applyFill="1" applyBorder="1" applyAlignment="1">
      <alignment horizontal="left" wrapText="1"/>
    </xf>
    <xf numFmtId="0" fontId="79" fillId="19" borderId="44" xfId="8" applyFont="1" applyFill="1" applyBorder="1" applyAlignment="1">
      <alignment horizontal="left" wrapText="1"/>
    </xf>
    <xf numFmtId="0" fontId="79" fillId="19" borderId="45" xfId="8" applyFont="1" applyFill="1" applyBorder="1" applyAlignment="1">
      <alignment horizontal="left" wrapText="1"/>
    </xf>
    <xf numFmtId="0" fontId="79" fillId="19" borderId="46" xfId="8" applyFont="1" applyFill="1" applyBorder="1" applyAlignment="1">
      <alignment horizontal="left" wrapText="1"/>
    </xf>
    <xf numFmtId="0" fontId="1" fillId="0" borderId="10" xfId="8" applyBorder="1" applyAlignment="1">
      <alignment wrapText="1"/>
    </xf>
    <xf numFmtId="0" fontId="1" fillId="0" borderId="0" xfId="8" applyAlignment="1">
      <alignment wrapText="1"/>
    </xf>
    <xf numFmtId="0" fontId="80" fillId="0" borderId="0" xfId="8" applyFont="1" applyAlignment="1">
      <alignment horizontal="left" wrapText="1"/>
    </xf>
    <xf numFmtId="0" fontId="65" fillId="11" borderId="36" xfId="8" applyFont="1" applyFill="1" applyBorder="1" applyAlignment="1">
      <alignment horizontal="left" vertical="top"/>
    </xf>
    <xf numFmtId="0" fontId="65" fillId="11" borderId="27" xfId="8" applyFont="1" applyFill="1" applyBorder="1" applyAlignment="1">
      <alignment vertical="top"/>
    </xf>
    <xf numFmtId="0" fontId="65" fillId="11" borderId="37" xfId="8" applyFont="1" applyFill="1" applyBorder="1" applyAlignment="1">
      <alignment vertical="top"/>
    </xf>
    <xf numFmtId="0" fontId="65" fillId="11" borderId="48" xfId="8" applyFont="1" applyFill="1" applyBorder="1" applyAlignment="1">
      <alignment vertical="top"/>
    </xf>
    <xf numFmtId="0" fontId="65" fillId="11" borderId="49" xfId="8" applyFont="1" applyFill="1" applyBorder="1" applyAlignment="1">
      <alignment vertical="top"/>
    </xf>
    <xf numFmtId="0" fontId="65" fillId="12" borderId="50" xfId="8" applyFont="1" applyFill="1" applyBorder="1" applyAlignment="1">
      <alignment vertical="top"/>
    </xf>
    <xf numFmtId="0" fontId="65" fillId="12" borderId="51" xfId="8" applyFont="1" applyFill="1" applyBorder="1" applyAlignment="1">
      <alignment vertical="top"/>
    </xf>
    <xf numFmtId="43" fontId="65" fillId="12" borderId="51" xfId="10" applyFont="1" applyFill="1" applyBorder="1" applyAlignment="1">
      <alignment vertical="top"/>
    </xf>
    <xf numFmtId="49" fontId="65" fillId="12" borderId="51" xfId="8" applyNumberFormat="1" applyFont="1" applyFill="1" applyBorder="1" applyAlignment="1">
      <alignment vertical="top"/>
    </xf>
    <xf numFmtId="0" fontId="65" fillId="12" borderId="51" xfId="8" applyFont="1" applyFill="1" applyBorder="1" applyAlignment="1">
      <alignment vertical="top" wrapText="1"/>
    </xf>
    <xf numFmtId="14" fontId="65" fillId="12" borderId="51" xfId="8" applyNumberFormat="1" applyFont="1" applyFill="1" applyBorder="1" applyAlignment="1">
      <alignment vertical="top" wrapText="1"/>
    </xf>
    <xf numFmtId="14" fontId="65" fillId="12" borderId="51" xfId="8" applyNumberFormat="1" applyFont="1" applyFill="1" applyBorder="1" applyAlignment="1">
      <alignment vertical="top"/>
    </xf>
    <xf numFmtId="2" fontId="65" fillId="12" borderId="51" xfId="8" applyNumberFormat="1" applyFont="1" applyFill="1" applyBorder="1" applyAlignment="1">
      <alignment vertical="top" wrapText="1"/>
    </xf>
    <xf numFmtId="9" fontId="65" fillId="12" borderId="51" xfId="3" applyFont="1" applyFill="1" applyBorder="1" applyAlignment="1">
      <alignment horizontal="center" vertical="top" wrapText="1"/>
    </xf>
    <xf numFmtId="0" fontId="65" fillId="12" borderId="51" xfId="8" applyFont="1" applyFill="1" applyBorder="1" applyAlignment="1">
      <alignment horizontal="center" vertical="top" wrapText="1"/>
    </xf>
    <xf numFmtId="0" fontId="65" fillId="12" borderId="52" xfId="8" applyFont="1" applyFill="1" applyBorder="1" applyAlignment="1">
      <alignment vertical="top" wrapText="1"/>
    </xf>
    <xf numFmtId="167" fontId="65" fillId="12" borderId="52" xfId="2" applyNumberFormat="1" applyFont="1" applyFill="1" applyBorder="1" applyAlignment="1">
      <alignment vertical="top" wrapText="1"/>
    </xf>
    <xf numFmtId="164" fontId="65" fillId="12" borderId="51" xfId="9" applyNumberFormat="1" applyFont="1" applyFill="1" applyBorder="1" applyAlignment="1">
      <alignment horizontal="center" vertical="top" wrapText="1"/>
    </xf>
    <xf numFmtId="0" fontId="65" fillId="12" borderId="36" xfId="8" applyFont="1" applyFill="1" applyBorder="1" applyAlignment="1">
      <alignment vertical="top" wrapText="1"/>
    </xf>
    <xf numFmtId="0" fontId="65" fillId="12" borderId="27" xfId="8" applyFont="1" applyFill="1" applyBorder="1" applyAlignment="1">
      <alignment vertical="top"/>
    </xf>
    <xf numFmtId="0" fontId="65" fillId="13" borderId="50" xfId="8" applyFont="1" applyFill="1" applyBorder="1" applyAlignment="1">
      <alignment vertical="top" wrapText="1"/>
    </xf>
    <xf numFmtId="0" fontId="65" fillId="13" borderId="53" xfId="8" applyFont="1" applyFill="1" applyBorder="1" applyAlignment="1">
      <alignment vertical="top" wrapText="1"/>
    </xf>
    <xf numFmtId="0" fontId="65" fillId="3" borderId="54" xfId="8" applyFont="1" applyFill="1" applyBorder="1" applyAlignment="1">
      <alignment vertical="top" wrapText="1"/>
    </xf>
    <xf numFmtId="0" fontId="65" fillId="3" borderId="52" xfId="8" applyFont="1" applyFill="1" applyBorder="1" applyAlignment="1">
      <alignment horizontal="center" vertical="top" wrapText="1"/>
    </xf>
    <xf numFmtId="0" fontId="65" fillId="3" borderId="55" xfId="8" applyFont="1" applyFill="1" applyBorder="1" applyAlignment="1">
      <alignment vertical="top" wrapText="1"/>
    </xf>
    <xf numFmtId="0" fontId="65" fillId="3" borderId="36" xfId="8" applyFont="1" applyFill="1" applyBorder="1" applyAlignment="1">
      <alignment vertical="top" wrapText="1"/>
    </xf>
    <xf numFmtId="0" fontId="65" fillId="3" borderId="35" xfId="8" applyFont="1" applyFill="1" applyBorder="1" applyAlignment="1">
      <alignment vertical="top"/>
    </xf>
    <xf numFmtId="0" fontId="65" fillId="3" borderId="51" xfId="8" applyFont="1" applyFill="1" applyBorder="1" applyAlignment="1">
      <alignment vertical="top"/>
    </xf>
    <xf numFmtId="0" fontId="65" fillId="3" borderId="53" xfId="8" applyFont="1" applyFill="1" applyBorder="1" applyAlignment="1">
      <alignment vertical="top"/>
    </xf>
    <xf numFmtId="0" fontId="65" fillId="14" borderId="56" xfId="8" applyFont="1" applyFill="1" applyBorder="1" applyAlignment="1">
      <alignment vertical="top" wrapText="1"/>
    </xf>
    <xf numFmtId="0" fontId="65" fillId="14" borderId="27" xfId="8" applyFont="1" applyFill="1" applyBorder="1" applyAlignment="1">
      <alignment vertical="top" wrapText="1"/>
    </xf>
    <xf numFmtId="0" fontId="65" fillId="15" borderId="51" xfId="8" applyFont="1" applyFill="1" applyBorder="1" applyAlignment="1">
      <alignment horizontal="center" vertical="top" wrapText="1"/>
    </xf>
    <xf numFmtId="0" fontId="65" fillId="15" borderId="55" xfId="8" applyFont="1" applyFill="1" applyBorder="1" applyAlignment="1">
      <alignment vertical="top" wrapText="1"/>
    </xf>
    <xf numFmtId="0" fontId="1" fillId="21" borderId="26" xfId="8" applyFill="1" applyBorder="1"/>
    <xf numFmtId="0" fontId="1" fillId="21" borderId="35" xfId="8" applyFill="1" applyBorder="1"/>
    <xf numFmtId="0" fontId="1" fillId="21" borderId="27" xfId="8" applyFill="1" applyBorder="1"/>
    <xf numFmtId="167" fontId="65" fillId="17" borderId="38" xfId="2" applyNumberFormat="1" applyFont="1" applyFill="1" applyBorder="1" applyAlignment="1">
      <alignment vertical="top"/>
    </xf>
    <xf numFmtId="167" fontId="65" fillId="17" borderId="35" xfId="2" applyNumberFormat="1" applyFont="1" applyFill="1" applyBorder="1" applyAlignment="1">
      <alignment vertical="top"/>
    </xf>
    <xf numFmtId="167" fontId="65" fillId="17" borderId="36" xfId="2" applyNumberFormat="1" applyFont="1" applyFill="1" applyBorder="1" applyAlignment="1">
      <alignment vertical="top"/>
    </xf>
    <xf numFmtId="0" fontId="0" fillId="18" borderId="57" xfId="0" applyFill="1" applyBorder="1"/>
    <xf numFmtId="0" fontId="0" fillId="18" borderId="58" xfId="0" applyFill="1" applyBorder="1"/>
    <xf numFmtId="0" fontId="0" fillId="18" borderId="59" xfId="0" applyFill="1" applyBorder="1"/>
    <xf numFmtId="0" fontId="1" fillId="19" borderId="57" xfId="8" applyFill="1" applyBorder="1"/>
    <xf numFmtId="0" fontId="1" fillId="19" borderId="58" xfId="8" applyFill="1" applyBorder="1"/>
    <xf numFmtId="0" fontId="1" fillId="19" borderId="59" xfId="8" applyFill="1" applyBorder="1"/>
    <xf numFmtId="0" fontId="1" fillId="0" borderId="10" xfId="8" applyBorder="1"/>
    <xf numFmtId="0" fontId="65" fillId="0" borderId="0" xfId="8" applyFont="1" applyAlignment="1">
      <alignment vertical="top"/>
    </xf>
    <xf numFmtId="0" fontId="65" fillId="11" borderId="55" xfId="8" applyFont="1" applyFill="1" applyBorder="1" applyAlignment="1">
      <alignment horizontal="left" vertical="top"/>
    </xf>
    <xf numFmtId="0" fontId="65" fillId="11" borderId="53" xfId="8" applyFont="1" applyFill="1" applyBorder="1" applyAlignment="1">
      <alignment vertical="top"/>
    </xf>
    <xf numFmtId="0" fontId="65" fillId="11" borderId="50" xfId="8" applyFont="1" applyFill="1" applyBorder="1" applyAlignment="1">
      <alignment vertical="top"/>
    </xf>
    <xf numFmtId="0" fontId="65" fillId="11" borderId="51" xfId="8" applyFont="1" applyFill="1" applyBorder="1" applyAlignment="1">
      <alignment vertical="top"/>
    </xf>
    <xf numFmtId="0" fontId="0" fillId="18" borderId="50" xfId="0" applyFill="1" applyBorder="1"/>
    <xf numFmtId="0" fontId="0" fillId="18" borderId="35" xfId="0" applyFill="1" applyBorder="1"/>
    <xf numFmtId="0" fontId="0" fillId="18" borderId="51" xfId="0" applyFill="1" applyBorder="1"/>
    <xf numFmtId="0" fontId="0" fillId="18" borderId="53" xfId="0" applyFill="1" applyBorder="1"/>
    <xf numFmtId="0" fontId="1" fillId="19" borderId="50" xfId="8" applyFill="1" applyBorder="1"/>
    <xf numFmtId="0" fontId="1" fillId="19" borderId="51" xfId="8" applyFill="1" applyBorder="1"/>
    <xf numFmtId="0" fontId="1" fillId="19" borderId="53" xfId="8" applyFill="1" applyBorder="1"/>
    <xf numFmtId="49" fontId="65" fillId="12" borderId="51" xfId="8" applyNumberFormat="1" applyFont="1" applyFill="1" applyBorder="1" applyAlignment="1">
      <alignment vertical="top" wrapText="1"/>
    </xf>
    <xf numFmtId="0" fontId="65" fillId="12" borderId="51" xfId="3" applyNumberFormat="1" applyFont="1" applyFill="1" applyBorder="1" applyAlignment="1">
      <alignment horizontal="center" vertical="top" wrapText="1"/>
    </xf>
    <xf numFmtId="0" fontId="65" fillId="12" borderId="55" xfId="8" applyFont="1" applyFill="1" applyBorder="1" applyAlignment="1">
      <alignment vertical="top" wrapText="1"/>
    </xf>
    <xf numFmtId="0" fontId="65" fillId="13" borderId="51" xfId="8" applyFont="1" applyFill="1" applyBorder="1" applyAlignment="1">
      <alignment vertical="top" wrapText="1"/>
    </xf>
    <xf numFmtId="0" fontId="65" fillId="3" borderId="60" xfId="8" applyFont="1" applyFill="1" applyBorder="1" applyAlignment="1">
      <alignment vertical="top" wrapText="1"/>
    </xf>
    <xf numFmtId="0" fontId="65" fillId="3" borderId="51" xfId="8" applyFont="1" applyFill="1" applyBorder="1" applyAlignment="1">
      <alignment horizontal="center" vertical="top" wrapText="1"/>
    </xf>
    <xf numFmtId="0" fontId="65" fillId="14" borderId="53" xfId="8" applyFont="1" applyFill="1" applyBorder="1" applyAlignment="1">
      <alignment vertical="top" wrapText="1"/>
    </xf>
    <xf numFmtId="0" fontId="1" fillId="0" borderId="0" xfId="8" applyAlignment="1">
      <alignment horizontal="left"/>
    </xf>
    <xf numFmtId="0" fontId="1" fillId="0" borderId="0" xfId="9" applyNumberFormat="1" applyFont="1" applyAlignment="1">
      <alignment horizontal="center"/>
    </xf>
    <xf numFmtId="0" fontId="35" fillId="3" borderId="34" xfId="11" applyFont="1" applyFill="1" applyBorder="1" applyAlignment="1" applyProtection="1">
      <alignment wrapText="1"/>
      <protection locked="0"/>
    </xf>
    <xf numFmtId="0" fontId="35" fillId="3" borderId="34" xfId="11" applyFont="1" applyFill="1" applyBorder="1" applyAlignment="1" applyProtection="1">
      <alignment horizontal="right" wrapText="1"/>
      <protection locked="0"/>
    </xf>
    <xf numFmtId="0" fontId="35" fillId="3" borderId="0" xfId="11" applyFont="1" applyFill="1" applyAlignment="1" applyProtection="1">
      <alignment wrapText="1"/>
      <protection locked="0"/>
    </xf>
    <xf numFmtId="0" fontId="44" fillId="3" borderId="0" xfId="11" applyFont="1" applyFill="1" applyProtection="1">
      <protection locked="0"/>
    </xf>
    <xf numFmtId="174" fontId="44" fillId="3" borderId="0" xfId="11" applyNumberFormat="1" applyFont="1" applyFill="1" applyProtection="1">
      <protection locked="0"/>
    </xf>
    <xf numFmtId="3" fontId="44" fillId="3" borderId="0" xfId="11" applyNumberFormat="1" applyFont="1" applyFill="1" applyProtection="1">
      <protection locked="0"/>
    </xf>
    <xf numFmtId="175" fontId="44" fillId="3" borderId="0" xfId="11" applyNumberFormat="1" applyFont="1" applyFill="1" applyProtection="1">
      <protection locked="0"/>
    </xf>
    <xf numFmtId="176" fontId="44" fillId="3" borderId="0" xfId="11" applyNumberFormat="1" applyFont="1" applyFill="1" applyProtection="1">
      <protection locked="0"/>
    </xf>
  </cellXfs>
  <cellStyles count="12">
    <cellStyle name="Comma" xfId="1" builtinId="3"/>
    <cellStyle name="Comma 2" xfId="6" xr:uid="{75C4D854-DDEF-6949-A407-EEFA980F29DB}"/>
    <cellStyle name="Comma 3" xfId="10" xr:uid="{3477BB2E-9B61-CA4B-A51C-4847BD0A3EF9}"/>
    <cellStyle name="Currency" xfId="2" builtinId="4"/>
    <cellStyle name="Hyperlink" xfId="4" builtinId="8"/>
    <cellStyle name="Normal" xfId="0" builtinId="0"/>
    <cellStyle name="Normal 2" xfId="5" xr:uid="{B6C64656-7556-0348-A2A4-55C0D52C8784}"/>
    <cellStyle name="Normal 4" xfId="11" xr:uid="{26BB1E36-DF94-CF46-B3C3-1F9F6B59F58B}"/>
    <cellStyle name="Normal 5" xfId="8" xr:uid="{FD2656C3-6896-EA46-B865-4560C22370CB}"/>
    <cellStyle name="Percent" xfId="3" builtinId="5"/>
    <cellStyle name="Percent 2" xfId="7" xr:uid="{62A4ADB8-8EFC-2742-8D2C-22250E9FFF50}"/>
    <cellStyle name="Percent 3" xfId="9" xr:uid="{64F524B6-494D-D64E-95AF-1F9886BE0AB7}"/>
  </cellStyles>
  <dxfs count="118">
    <dxf>
      <font>
        <b val="0"/>
        <i val="0"/>
        <strike val="0"/>
        <condense val="0"/>
        <extend val="0"/>
        <outline val="0"/>
        <shadow val="0"/>
        <u val="none"/>
        <vertAlign val="baseline"/>
        <sz val="10"/>
        <color rgb="FF000000"/>
        <name val="Aptos Narrow"/>
        <family val="2"/>
        <scheme val="minor"/>
      </font>
      <fill>
        <patternFill patternType="solid">
          <fgColor indexed="64"/>
          <bgColor rgb="FF00B0F0"/>
        </patternFill>
      </fill>
      <alignment horizontal="general" vertical="top"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00B0F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00B0F0"/>
        </patternFill>
      </fill>
      <alignment horizontal="general" vertical="top"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FFC000"/>
        </patternFill>
      </fill>
      <alignment horizontal="general" vertical="top"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FFC0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FFC0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FFC0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FFC0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FFC000"/>
        </patternFill>
      </fill>
      <alignment horizontal="general" vertical="top"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FFC000"/>
        </patternFill>
      </fill>
      <alignment horizontal="general" vertical="top"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67" formatCode="_(&quot;$&quot;* #,##0_);_(&quot;$&quot;* \(#,##0\);_(&quot;$&quot;* &quot;-&quot;??_);_(@_)"/>
      <fill>
        <patternFill patternType="solid">
          <fgColor indexed="64"/>
          <bgColor rgb="FFFFCCFF"/>
        </patternFill>
      </fill>
      <alignment horizontal="general" vertical="top"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BBBBBB"/>
        </patternFill>
      </fill>
      <alignment horizontal="general" vertical="top" textRotation="0" wrapText="1" indent="0" justifyLastLine="0" shrinkToFit="0" readingOrder="0"/>
      <border diagonalUp="0" diagonalDown="0">
        <left style="thin">
          <color indexed="64"/>
        </left>
        <right style="medium">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BBBBBB"/>
        </patternFill>
      </fill>
      <alignment horizontal="general" vertical="top"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rgb="FFBBBBBB"/>
        </patternFill>
      </fill>
      <alignment horizontal="general" vertical="top" textRotation="0" wrapText="1" indent="0" justifyLastLine="0" shrinkToFit="0" readingOrder="0"/>
      <border diagonalUp="0" diagonalDown="0">
        <left style="medium">
          <color indexed="64"/>
        </left>
        <right style="thin">
          <color indexed="64"/>
        </right>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3999755851924192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9" tint="0.39997558519241921"/>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4A831"/>
        </patternFill>
      </fill>
      <alignment horizontal="general" vertical="top"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4A831"/>
        </patternFill>
      </fill>
      <alignment horizontal="general"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99"/>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99"/>
        </patternFill>
      </fill>
      <alignment horizontal="general" vertical="top" textRotation="0" wrapText="1"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99"/>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99"/>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99"/>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99"/>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99"/>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99"/>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fgColor indexed="64"/>
          <bgColor rgb="FFFFFF99"/>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99"/>
        </patternFill>
      </fill>
      <alignment horizontal="general" vertical="top" textRotation="0" wrapText="1" indent="0" justifyLastLine="0" shrinkToFit="0" readingOrder="0"/>
      <border diagonalUp="0" diagonalDown="0" outline="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CCCCFF"/>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rgb="FFCCCCFF"/>
        </patternFill>
      </fill>
      <alignment horizontal="general" vertical="top"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5" tint="0.79998168889431442"/>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5" tint="0.79998168889431442"/>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5" tint="0.79998168889431442"/>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64" formatCode="0.0%"/>
      <fill>
        <patternFill patternType="none">
          <fgColor indexed="64"/>
          <bgColor theme="5" tint="0.79998168889431442"/>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5" tint="0.79998168889431442"/>
        </patternFill>
      </fill>
      <alignment horizontal="general" vertical="top"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5" tint="0.79998168889431442"/>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5"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5" tint="0.79998168889431442"/>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5" tint="0.79998168889431442"/>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0" formatCode="Genera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5"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73" formatCode="m/d/yyyy"/>
      <fill>
        <patternFill patternType="none">
          <fgColor indexed="64"/>
          <bgColor theme="5"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73" formatCode="m/d/yyyy"/>
      <fill>
        <patternFill patternType="solid">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73" formatCode="m/d/yyyy"/>
      <fill>
        <patternFill patternType="solid">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73" formatCode="m/d/yyyy"/>
      <fill>
        <patternFill>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73" formatCode="m/d/yyyy"/>
      <fill>
        <patternFill patternType="solid">
          <fgColor indexed="64"/>
          <bgColor theme="5"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73" formatCode="m/d/yyyy"/>
      <fill>
        <patternFill patternType="solid">
          <fgColor indexed="64"/>
          <bgColor theme="5" tint="0.7999816888943144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30" formatCode="@"/>
      <fill>
        <patternFill patternType="solid">
          <fgColor indexed="64"/>
          <bgColor theme="5"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30" formatCode="@"/>
      <fill>
        <patternFill patternType="solid">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0" formatCode="General"/>
      <fill>
        <patternFill>
          <fgColor indexed="64"/>
          <bgColor theme="5"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fgColor indexed="64"/>
          <bgColor theme="5"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5"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5" tint="0.79998168889431442"/>
        </patternFill>
      </fill>
      <alignment horizontal="general" vertical="top"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medium">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theme="1"/>
        <name val="Aptos Narrow"/>
        <family val="2"/>
        <scheme val="minor"/>
      </font>
      <fill>
        <patternFill patternType="solid">
          <fgColor indexed="64"/>
          <bgColor theme="9" tint="0.79998168889431442"/>
        </patternFill>
      </fill>
      <alignment horizontal="general" vertical="top"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style="thin">
          <color indexed="64"/>
        </horizontal>
      </border>
    </dxf>
    <dxf>
      <border>
        <top style="thin">
          <color rgb="FF375623"/>
        </top>
      </border>
    </dxf>
    <dxf>
      <border outline="0">
        <bottom style="medium">
          <color rgb="FF000000"/>
        </bottom>
      </border>
    </dxf>
    <dxf>
      <border diagonalUp="0" diagonalDown="0">
        <left style="thin">
          <color rgb="FF375623"/>
        </left>
        <right style="thin">
          <color rgb="FF375623"/>
        </right>
        <top style="thin">
          <color rgb="FF375623"/>
        </top>
        <bottom style="thin">
          <color rgb="FF375623"/>
        </bottom>
      </border>
    </dxf>
    <dxf>
      <font>
        <b val="0"/>
        <i val="0"/>
        <strike val="0"/>
        <condense val="0"/>
        <extend val="0"/>
        <outline val="0"/>
        <shadow val="0"/>
        <u val="none"/>
        <vertAlign val="baseline"/>
        <sz val="10"/>
        <color rgb="FF000000"/>
        <name val="Aptos Narrow"/>
        <family val="2"/>
        <scheme val="minor"/>
      </font>
      <fill>
        <patternFill patternType="none">
          <fgColor rgb="FF000000"/>
          <bgColor auto="1"/>
        </patternFill>
      </fill>
      <alignment horizontal="general" vertical="top" textRotation="0" wrapText="1" indent="0" justifyLastLine="0" shrinkToFit="0" readingOrder="0"/>
    </dxf>
    <dxf>
      <font>
        <strike val="0"/>
        <outline val="0"/>
        <shadow val="0"/>
        <vertAlign val="baseline"/>
        <sz val="11.5"/>
        <color auto="1"/>
        <name val="Aptos Narrow"/>
        <family val="2"/>
        <scheme val="minor"/>
      </font>
      <alignment horizontal="left" vertical="bottom" textRotation="0" wrapText="1" indent="0" justifyLastLine="0" shrinkToFit="0" readingOrder="0"/>
    </dxf>
    <dxf>
      <font>
        <color theme="0"/>
      </font>
    </dxf>
    <dxf>
      <fill>
        <patternFill>
          <bgColor rgb="FFFFC000"/>
        </patternFill>
      </fill>
    </dxf>
    <dxf>
      <fill>
        <patternFill>
          <bgColor rgb="FFFFC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FF0000"/>
      </font>
    </dxf>
    <dxf>
      <font>
        <color theme="1"/>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876300</xdr:colOff>
      <xdr:row>108</xdr:row>
      <xdr:rowOff>76199</xdr:rowOff>
    </xdr:from>
    <xdr:to>
      <xdr:col>1</xdr:col>
      <xdr:colOff>2781427</xdr:colOff>
      <xdr:row>108</xdr:row>
      <xdr:rowOff>76199</xdr:rowOff>
    </xdr:to>
    <xdr:pic>
      <xdr:nvPicPr>
        <xdr:cNvPr id="2" name="Picture 1">
          <a:extLst>
            <a:ext uri="{FF2B5EF4-FFF2-40B4-BE49-F238E27FC236}">
              <a16:creationId xmlns:a16="http://schemas.microsoft.com/office/drawing/2014/main" id="{0D959521-1A85-CD4A-B950-42B3B256D3FC}"/>
            </a:ext>
          </a:extLst>
        </xdr:cNvPr>
        <xdr:cNvPicPr>
          <a:picLocks noChangeAspect="1"/>
        </xdr:cNvPicPr>
      </xdr:nvPicPr>
      <xdr:blipFill>
        <a:blip xmlns:r="http://schemas.openxmlformats.org/officeDocument/2006/relationships" r:embed="rId1"/>
        <a:stretch>
          <a:fillRect/>
        </a:stretch>
      </xdr:blipFill>
      <xdr:spPr>
        <a:xfrm>
          <a:off x="1130300" y="8242300"/>
          <a:ext cx="2857627" cy="1940114"/>
        </a:xfrm>
        <a:prstGeom prst="rect">
          <a:avLst/>
        </a:prstGeom>
      </xdr:spPr>
    </xdr:pic>
    <xdr:clientData/>
  </xdr:twoCellAnchor>
  <xdr:twoCellAnchor editAs="oneCell">
    <xdr:from>
      <xdr:col>3</xdr:col>
      <xdr:colOff>596900</xdr:colOff>
      <xdr:row>107</xdr:row>
      <xdr:rowOff>127000</xdr:rowOff>
    </xdr:from>
    <xdr:to>
      <xdr:col>5</xdr:col>
      <xdr:colOff>2310878</xdr:colOff>
      <xdr:row>107</xdr:row>
      <xdr:rowOff>127000</xdr:rowOff>
    </xdr:to>
    <xdr:pic>
      <xdr:nvPicPr>
        <xdr:cNvPr id="3" name="Picture 2">
          <a:extLst>
            <a:ext uri="{FF2B5EF4-FFF2-40B4-BE49-F238E27FC236}">
              <a16:creationId xmlns:a16="http://schemas.microsoft.com/office/drawing/2014/main" id="{D801D7B2-7DE3-CA40-8970-1C984FA5CF53}"/>
            </a:ext>
          </a:extLst>
        </xdr:cNvPr>
        <xdr:cNvPicPr>
          <a:picLocks noChangeAspect="1"/>
        </xdr:cNvPicPr>
      </xdr:nvPicPr>
      <xdr:blipFill>
        <a:blip xmlns:r="http://schemas.openxmlformats.org/officeDocument/2006/relationships" r:embed="rId2"/>
        <a:stretch>
          <a:fillRect/>
        </a:stretch>
      </xdr:blipFill>
      <xdr:spPr>
        <a:xfrm>
          <a:off x="4457700" y="8242300"/>
          <a:ext cx="7073378" cy="1960880"/>
        </a:xfrm>
        <a:prstGeom prst="rect">
          <a:avLst/>
        </a:prstGeom>
      </xdr:spPr>
    </xdr:pic>
    <xdr:clientData/>
  </xdr:twoCellAnchor>
  <xdr:twoCellAnchor editAs="oneCell">
    <xdr:from>
      <xdr:col>1</xdr:col>
      <xdr:colOff>63500</xdr:colOff>
      <xdr:row>82</xdr:row>
      <xdr:rowOff>0</xdr:rowOff>
    </xdr:from>
    <xdr:to>
      <xdr:col>3</xdr:col>
      <xdr:colOff>2372137</xdr:colOff>
      <xdr:row>82</xdr:row>
      <xdr:rowOff>0</xdr:rowOff>
    </xdr:to>
    <xdr:pic>
      <xdr:nvPicPr>
        <xdr:cNvPr id="4" name="Picture 3">
          <a:extLst>
            <a:ext uri="{FF2B5EF4-FFF2-40B4-BE49-F238E27FC236}">
              <a16:creationId xmlns:a16="http://schemas.microsoft.com/office/drawing/2014/main" id="{4E5A7795-21A8-4E41-9666-10A09033B202}"/>
            </a:ext>
          </a:extLst>
        </xdr:cNvPr>
        <xdr:cNvPicPr>
          <a:picLocks noChangeAspect="1"/>
        </xdr:cNvPicPr>
      </xdr:nvPicPr>
      <xdr:blipFill>
        <a:blip xmlns:r="http://schemas.openxmlformats.org/officeDocument/2006/relationships" r:embed="rId3"/>
        <a:stretch>
          <a:fillRect/>
        </a:stretch>
      </xdr:blipFill>
      <xdr:spPr>
        <a:xfrm>
          <a:off x="317500" y="8242300"/>
          <a:ext cx="9407937" cy="0"/>
        </a:xfrm>
        <a:prstGeom prst="rect">
          <a:avLst/>
        </a:prstGeom>
      </xdr:spPr>
    </xdr:pic>
    <xdr:clientData/>
  </xdr:twoCellAnchor>
  <xdr:twoCellAnchor editAs="oneCell">
    <xdr:from>
      <xdr:col>1</xdr:col>
      <xdr:colOff>215900</xdr:colOff>
      <xdr:row>82</xdr:row>
      <xdr:rowOff>0</xdr:rowOff>
    </xdr:from>
    <xdr:to>
      <xdr:col>1</xdr:col>
      <xdr:colOff>2222500</xdr:colOff>
      <xdr:row>82</xdr:row>
      <xdr:rowOff>0</xdr:rowOff>
    </xdr:to>
    <xdr:pic>
      <xdr:nvPicPr>
        <xdr:cNvPr id="5" name="Picture 4">
          <a:extLst>
            <a:ext uri="{FF2B5EF4-FFF2-40B4-BE49-F238E27FC236}">
              <a16:creationId xmlns:a16="http://schemas.microsoft.com/office/drawing/2014/main" id="{B003CAF0-93F3-1B4D-8B0E-F76091AF45AE}"/>
            </a:ext>
          </a:extLst>
        </xdr:cNvPr>
        <xdr:cNvPicPr>
          <a:picLocks noChangeAspect="1"/>
        </xdr:cNvPicPr>
      </xdr:nvPicPr>
      <xdr:blipFill>
        <a:blip xmlns:r="http://schemas.openxmlformats.org/officeDocument/2006/relationships" r:embed="rId1"/>
        <a:stretch>
          <a:fillRect/>
        </a:stretch>
      </xdr:blipFill>
      <xdr:spPr>
        <a:xfrm>
          <a:off x="469900" y="8242300"/>
          <a:ext cx="3276600" cy="0"/>
        </a:xfrm>
        <a:prstGeom prst="rect">
          <a:avLst/>
        </a:prstGeom>
      </xdr:spPr>
    </xdr:pic>
    <xdr:clientData/>
  </xdr:twoCellAnchor>
  <xdr:twoCellAnchor editAs="oneCell">
    <xdr:from>
      <xdr:col>3</xdr:col>
      <xdr:colOff>787400</xdr:colOff>
      <xdr:row>82</xdr:row>
      <xdr:rowOff>0</xdr:rowOff>
    </xdr:from>
    <xdr:to>
      <xdr:col>5</xdr:col>
      <xdr:colOff>2702038</xdr:colOff>
      <xdr:row>82</xdr:row>
      <xdr:rowOff>0</xdr:rowOff>
    </xdr:to>
    <xdr:pic>
      <xdr:nvPicPr>
        <xdr:cNvPr id="6" name="Picture 5">
          <a:extLst>
            <a:ext uri="{FF2B5EF4-FFF2-40B4-BE49-F238E27FC236}">
              <a16:creationId xmlns:a16="http://schemas.microsoft.com/office/drawing/2014/main" id="{B6BEEFCF-CAF0-0347-B9CF-AD1D702B61CD}"/>
            </a:ext>
          </a:extLst>
        </xdr:cNvPr>
        <xdr:cNvPicPr>
          <a:picLocks noChangeAspect="1"/>
        </xdr:cNvPicPr>
      </xdr:nvPicPr>
      <xdr:blipFill>
        <a:blip xmlns:r="http://schemas.openxmlformats.org/officeDocument/2006/relationships" r:embed="rId2"/>
        <a:stretch>
          <a:fillRect/>
        </a:stretch>
      </xdr:blipFill>
      <xdr:spPr>
        <a:xfrm>
          <a:off x="4648200" y="8242300"/>
          <a:ext cx="7083538" cy="0"/>
        </a:xfrm>
        <a:prstGeom prst="rect">
          <a:avLst/>
        </a:prstGeom>
      </xdr:spPr>
    </xdr:pic>
    <xdr:clientData/>
  </xdr:twoCellAnchor>
  <xdr:oneCellAnchor>
    <xdr:from>
      <xdr:col>5</xdr:col>
      <xdr:colOff>5365749</xdr:colOff>
      <xdr:row>90</xdr:row>
      <xdr:rowOff>79136</xdr:rowOff>
    </xdr:from>
    <xdr:ext cx="3023493" cy="2600564"/>
    <xdr:pic>
      <xdr:nvPicPr>
        <xdr:cNvPr id="7" name="Picture 6">
          <a:extLst>
            <a:ext uri="{FF2B5EF4-FFF2-40B4-BE49-F238E27FC236}">
              <a16:creationId xmlns:a16="http://schemas.microsoft.com/office/drawing/2014/main" id="{B7F89724-9553-A447-B53D-F3964B2A1D2E}"/>
            </a:ext>
          </a:extLst>
        </xdr:cNvPr>
        <xdr:cNvPicPr>
          <a:picLocks noChangeAspect="1"/>
        </xdr:cNvPicPr>
      </xdr:nvPicPr>
      <xdr:blipFill>
        <a:blip xmlns:r="http://schemas.openxmlformats.org/officeDocument/2006/relationships" r:embed="rId4"/>
        <a:stretch>
          <a:fillRect/>
        </a:stretch>
      </xdr:blipFill>
      <xdr:spPr>
        <a:xfrm>
          <a:off x="11817349" y="8242300"/>
          <a:ext cx="3023493" cy="2600564"/>
        </a:xfrm>
        <a:prstGeom prst="rect">
          <a:avLst/>
        </a:prstGeom>
      </xdr:spPr>
    </xdr:pic>
    <xdr:clientData/>
  </xdr:oneCellAnchor>
  <xdr:oneCellAnchor>
    <xdr:from>
      <xdr:col>5</xdr:col>
      <xdr:colOff>6267450</xdr:colOff>
      <xdr:row>106</xdr:row>
      <xdr:rowOff>114301</xdr:rowOff>
    </xdr:from>
    <xdr:ext cx="1833937" cy="3022600"/>
    <xdr:pic>
      <xdr:nvPicPr>
        <xdr:cNvPr id="8" name="Picture 7">
          <a:extLst>
            <a:ext uri="{FF2B5EF4-FFF2-40B4-BE49-F238E27FC236}">
              <a16:creationId xmlns:a16="http://schemas.microsoft.com/office/drawing/2014/main" id="{E12DBC2F-F420-CE40-B595-C318E3036F55}"/>
            </a:ext>
          </a:extLst>
        </xdr:cNvPr>
        <xdr:cNvPicPr>
          <a:picLocks noChangeAspect="1"/>
        </xdr:cNvPicPr>
      </xdr:nvPicPr>
      <xdr:blipFill>
        <a:blip xmlns:r="http://schemas.openxmlformats.org/officeDocument/2006/relationships" r:embed="rId5"/>
        <a:stretch>
          <a:fillRect/>
        </a:stretch>
      </xdr:blipFill>
      <xdr:spPr>
        <a:xfrm>
          <a:off x="12719050" y="8242300"/>
          <a:ext cx="1833937" cy="3022600"/>
        </a:xfrm>
        <a:prstGeom prst="rect">
          <a:avLst/>
        </a:prstGeom>
      </xdr:spPr>
    </xdr:pic>
    <xdr:clientData/>
  </xdr:oneCellAnchor>
  <xdr:twoCellAnchor editAs="oneCell">
    <xdr:from>
      <xdr:col>1</xdr:col>
      <xdr:colOff>1092200</xdr:colOff>
      <xdr:row>89</xdr:row>
      <xdr:rowOff>63500</xdr:rowOff>
    </xdr:from>
    <xdr:to>
      <xdr:col>5</xdr:col>
      <xdr:colOff>803052</xdr:colOff>
      <xdr:row>89</xdr:row>
      <xdr:rowOff>63500</xdr:rowOff>
    </xdr:to>
    <xdr:pic>
      <xdr:nvPicPr>
        <xdr:cNvPr id="9" name="Picture 8">
          <a:extLst>
            <a:ext uri="{FF2B5EF4-FFF2-40B4-BE49-F238E27FC236}">
              <a16:creationId xmlns:a16="http://schemas.microsoft.com/office/drawing/2014/main" id="{380AE3AF-AA6C-2743-985D-7B36585B0F5F}"/>
            </a:ext>
          </a:extLst>
        </xdr:cNvPr>
        <xdr:cNvPicPr>
          <a:picLocks noChangeAspect="1"/>
        </xdr:cNvPicPr>
      </xdr:nvPicPr>
      <xdr:blipFill>
        <a:blip xmlns:r="http://schemas.openxmlformats.org/officeDocument/2006/relationships" r:embed="rId3"/>
        <a:stretch>
          <a:fillRect/>
        </a:stretch>
      </xdr:blipFill>
      <xdr:spPr>
        <a:xfrm>
          <a:off x="1346200" y="8242300"/>
          <a:ext cx="9400952" cy="3105149"/>
        </a:xfrm>
        <a:prstGeom prst="rect">
          <a:avLst/>
        </a:prstGeom>
      </xdr:spPr>
    </xdr:pic>
    <xdr:clientData/>
  </xdr:twoCellAnchor>
  <xdr:twoCellAnchor>
    <xdr:from>
      <xdr:col>1</xdr:col>
      <xdr:colOff>25400</xdr:colOff>
      <xdr:row>123</xdr:row>
      <xdr:rowOff>12700</xdr:rowOff>
    </xdr:from>
    <xdr:to>
      <xdr:col>6</xdr:col>
      <xdr:colOff>88900</xdr:colOff>
      <xdr:row>169</xdr:row>
      <xdr:rowOff>127000</xdr:rowOff>
    </xdr:to>
    <xdr:sp macro="" textlink="">
      <xdr:nvSpPr>
        <xdr:cNvPr id="10" name="Rectangle 9">
          <a:extLst>
            <a:ext uri="{FF2B5EF4-FFF2-40B4-BE49-F238E27FC236}">
              <a16:creationId xmlns:a16="http://schemas.microsoft.com/office/drawing/2014/main" id="{118F2F9C-9FDA-C743-BC24-7EDB0DF5580A}"/>
            </a:ext>
          </a:extLst>
        </xdr:cNvPr>
        <xdr:cNvSpPr/>
      </xdr:nvSpPr>
      <xdr:spPr>
        <a:xfrm>
          <a:off x="279400" y="8255000"/>
          <a:ext cx="14300200" cy="8877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123</xdr:row>
      <xdr:rowOff>0</xdr:rowOff>
    </xdr:from>
    <xdr:to>
      <xdr:col>3</xdr:col>
      <xdr:colOff>571500</xdr:colOff>
      <xdr:row>124</xdr:row>
      <xdr:rowOff>12700</xdr:rowOff>
    </xdr:to>
    <xdr:sp macro="" textlink="">
      <xdr:nvSpPr>
        <xdr:cNvPr id="11" name="TextBox 10">
          <a:extLst>
            <a:ext uri="{FF2B5EF4-FFF2-40B4-BE49-F238E27FC236}">
              <a16:creationId xmlns:a16="http://schemas.microsoft.com/office/drawing/2014/main" id="{BCF3C2DB-2D6C-1343-BE92-1FEACD7BF8EB}"/>
            </a:ext>
          </a:extLst>
        </xdr:cNvPr>
        <xdr:cNvSpPr txBox="1"/>
      </xdr:nvSpPr>
      <xdr:spPr>
        <a:xfrm>
          <a:off x="0" y="8242300"/>
          <a:ext cx="44323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t>View Import Instructions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0</xdr:colOff>
      <xdr:row>2</xdr:row>
      <xdr:rowOff>0</xdr:rowOff>
    </xdr:from>
    <xdr:ext cx="304800" cy="304800"/>
    <xdr:sp macro="" textlink="">
      <xdr:nvSpPr>
        <xdr:cNvPr id="25" name="AutoShape 10" descr="Rothco 3' x 5' Polyester US Flag">
          <a:extLst>
            <a:ext uri="{FF2B5EF4-FFF2-40B4-BE49-F238E27FC236}">
              <a16:creationId xmlns:a16="http://schemas.microsoft.com/office/drawing/2014/main" id="{9C9407A7-235B-594F-A9CF-BA29F277FAD8}"/>
            </a:ext>
          </a:extLst>
        </xdr:cNvPr>
        <xdr:cNvSpPr>
          <a:spLocks noChangeAspect="1" noChangeArrowheads="1"/>
        </xdr:cNvSpPr>
      </xdr:nvSpPr>
      <xdr:spPr bwMode="auto">
        <a:xfrm>
          <a:off x="104521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2</xdr:row>
      <xdr:rowOff>0</xdr:rowOff>
    </xdr:from>
    <xdr:ext cx="304800" cy="304800"/>
    <xdr:sp macro="" textlink="">
      <xdr:nvSpPr>
        <xdr:cNvPr id="26" name="AutoShape 10" descr="Rothco 3' x 5' Polyester US Flag">
          <a:extLst>
            <a:ext uri="{FF2B5EF4-FFF2-40B4-BE49-F238E27FC236}">
              <a16:creationId xmlns:a16="http://schemas.microsoft.com/office/drawing/2014/main" id="{6928A29C-8165-CB43-8EFD-6E854359CD3F}"/>
            </a:ext>
          </a:extLst>
        </xdr:cNvPr>
        <xdr:cNvSpPr>
          <a:spLocks noChangeAspect="1" noChangeArrowheads="1"/>
        </xdr:cNvSpPr>
      </xdr:nvSpPr>
      <xdr:spPr bwMode="auto">
        <a:xfrm>
          <a:off x="104521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0</xdr:row>
      <xdr:rowOff>0</xdr:rowOff>
    </xdr:from>
    <xdr:ext cx="304800" cy="304800"/>
    <xdr:sp macro="" textlink="">
      <xdr:nvSpPr>
        <xdr:cNvPr id="27" name="AutoShape 10" descr="Rothco 3' x 5' Polyester US Flag">
          <a:extLst>
            <a:ext uri="{FF2B5EF4-FFF2-40B4-BE49-F238E27FC236}">
              <a16:creationId xmlns:a16="http://schemas.microsoft.com/office/drawing/2014/main" id="{5CA7D81C-645A-2145-9F2D-06079FA70E3B}"/>
            </a:ext>
          </a:extLst>
        </xdr:cNvPr>
        <xdr:cNvSpPr>
          <a:spLocks noChangeAspect="1" noChangeArrowheads="1"/>
        </xdr:cNvSpPr>
      </xdr:nvSpPr>
      <xdr:spPr bwMode="auto">
        <a:xfrm>
          <a:off x="104521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14</xdr:col>
      <xdr:colOff>0</xdr:colOff>
      <xdr:row>0</xdr:row>
      <xdr:rowOff>0</xdr:rowOff>
    </xdr:from>
    <xdr:ext cx="304800" cy="304800"/>
    <xdr:sp macro="" textlink="">
      <xdr:nvSpPr>
        <xdr:cNvPr id="28" name="AutoShape 10" descr="Rothco 3' x 5' Polyester US Flag">
          <a:extLst>
            <a:ext uri="{FF2B5EF4-FFF2-40B4-BE49-F238E27FC236}">
              <a16:creationId xmlns:a16="http://schemas.microsoft.com/office/drawing/2014/main" id="{743E9EBF-81E5-3C4B-A03C-6ADE09BB4445}"/>
            </a:ext>
          </a:extLst>
        </xdr:cNvPr>
        <xdr:cNvSpPr>
          <a:spLocks noChangeAspect="1" noChangeArrowheads="1"/>
        </xdr:cNvSpPr>
      </xdr:nvSpPr>
      <xdr:spPr bwMode="auto">
        <a:xfrm>
          <a:off x="104521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304800" cy="304800"/>
    <xdr:sp macro="" textlink="">
      <xdr:nvSpPr>
        <xdr:cNvPr id="29" name="AutoShape 10" descr="Rothco 3' x 5' Polyester US Flag">
          <a:extLst>
            <a:ext uri="{FF2B5EF4-FFF2-40B4-BE49-F238E27FC236}">
              <a16:creationId xmlns:a16="http://schemas.microsoft.com/office/drawing/2014/main" id="{9C64716B-0D8B-E94C-9129-E4061A405D37}"/>
            </a:ext>
          </a:extLst>
        </xdr:cNvPr>
        <xdr:cNvSpPr>
          <a:spLocks noChangeAspect="1" noChangeArrowheads="1"/>
        </xdr:cNvSpPr>
      </xdr:nvSpPr>
      <xdr:spPr bwMode="auto">
        <a:xfrm>
          <a:off x="104521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xdr:row>
      <xdr:rowOff>0</xdr:rowOff>
    </xdr:from>
    <xdr:ext cx="304800" cy="304800"/>
    <xdr:sp macro="" textlink="">
      <xdr:nvSpPr>
        <xdr:cNvPr id="30" name="AutoShape 10" descr="Rothco 3' x 5' Polyester US Flag">
          <a:extLst>
            <a:ext uri="{FF2B5EF4-FFF2-40B4-BE49-F238E27FC236}">
              <a16:creationId xmlns:a16="http://schemas.microsoft.com/office/drawing/2014/main" id="{45014574-C4F3-0245-84AC-6998800D0734}"/>
            </a:ext>
          </a:extLst>
        </xdr:cNvPr>
        <xdr:cNvSpPr>
          <a:spLocks noChangeAspect="1" noChangeArrowheads="1"/>
        </xdr:cNvSpPr>
      </xdr:nvSpPr>
      <xdr:spPr bwMode="auto">
        <a:xfrm>
          <a:off x="104521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0</xdr:row>
      <xdr:rowOff>0</xdr:rowOff>
    </xdr:from>
    <xdr:ext cx="304800" cy="304800"/>
    <xdr:sp macro="" textlink="">
      <xdr:nvSpPr>
        <xdr:cNvPr id="31" name="AutoShape 10" descr="Rothco 3' x 5' Polyester US Flag">
          <a:extLst>
            <a:ext uri="{FF2B5EF4-FFF2-40B4-BE49-F238E27FC236}">
              <a16:creationId xmlns:a16="http://schemas.microsoft.com/office/drawing/2014/main" id="{EBD1DFF1-5CA1-0742-B86E-56F16D8728F8}"/>
            </a:ext>
          </a:extLst>
        </xdr:cNvPr>
        <xdr:cNvSpPr>
          <a:spLocks noChangeAspect="1" noChangeArrowheads="1"/>
        </xdr:cNvSpPr>
      </xdr:nvSpPr>
      <xdr:spPr bwMode="auto">
        <a:xfrm>
          <a:off x="104521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xdr:row>
      <xdr:rowOff>0</xdr:rowOff>
    </xdr:from>
    <xdr:ext cx="304800" cy="304800"/>
    <xdr:sp macro="" textlink="">
      <xdr:nvSpPr>
        <xdr:cNvPr id="32" name="AutoShape 10" descr="Rothco 3' x 5' Polyester US Flag">
          <a:extLst>
            <a:ext uri="{FF2B5EF4-FFF2-40B4-BE49-F238E27FC236}">
              <a16:creationId xmlns:a16="http://schemas.microsoft.com/office/drawing/2014/main" id="{F2E9AA70-BBEC-D648-AFA8-F853F0DA635A}"/>
            </a:ext>
          </a:extLst>
        </xdr:cNvPr>
        <xdr:cNvSpPr>
          <a:spLocks noChangeAspect="1" noChangeArrowheads="1"/>
        </xdr:cNvSpPr>
      </xdr:nvSpPr>
      <xdr:spPr bwMode="auto">
        <a:xfrm>
          <a:off x="148082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xdr:row>
      <xdr:rowOff>0</xdr:rowOff>
    </xdr:from>
    <xdr:ext cx="304800" cy="304800"/>
    <xdr:sp macro="" textlink="">
      <xdr:nvSpPr>
        <xdr:cNvPr id="33" name="AutoShape 10" descr="Rothco 3' x 5' Polyester US Flag">
          <a:extLst>
            <a:ext uri="{FF2B5EF4-FFF2-40B4-BE49-F238E27FC236}">
              <a16:creationId xmlns:a16="http://schemas.microsoft.com/office/drawing/2014/main" id="{2142FE4D-5E7F-9941-A283-3DE16B969A0E}"/>
            </a:ext>
          </a:extLst>
        </xdr:cNvPr>
        <xdr:cNvSpPr>
          <a:spLocks noChangeAspect="1" noChangeArrowheads="1"/>
        </xdr:cNvSpPr>
      </xdr:nvSpPr>
      <xdr:spPr bwMode="auto">
        <a:xfrm>
          <a:off x="148082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0</xdr:row>
      <xdr:rowOff>0</xdr:rowOff>
    </xdr:from>
    <xdr:ext cx="304800" cy="304800"/>
    <xdr:sp macro="" textlink="">
      <xdr:nvSpPr>
        <xdr:cNvPr id="34" name="AutoShape 10" descr="Rothco 3' x 5' Polyester US Flag">
          <a:extLst>
            <a:ext uri="{FF2B5EF4-FFF2-40B4-BE49-F238E27FC236}">
              <a16:creationId xmlns:a16="http://schemas.microsoft.com/office/drawing/2014/main" id="{10CC12F8-A176-9643-97B9-30FF0C7DCB2E}"/>
            </a:ext>
          </a:extLst>
        </xdr:cNvPr>
        <xdr:cNvSpPr>
          <a:spLocks noChangeAspect="1" noChangeArrowheads="1"/>
        </xdr:cNvSpPr>
      </xdr:nvSpPr>
      <xdr:spPr bwMode="auto">
        <a:xfrm>
          <a:off x="14808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0</xdr:row>
      <xdr:rowOff>0</xdr:rowOff>
    </xdr:from>
    <xdr:ext cx="304800" cy="304800"/>
    <xdr:sp macro="" textlink="">
      <xdr:nvSpPr>
        <xdr:cNvPr id="35" name="AutoShape 10" descr="Rothco 3' x 5' Polyester US Flag">
          <a:extLst>
            <a:ext uri="{FF2B5EF4-FFF2-40B4-BE49-F238E27FC236}">
              <a16:creationId xmlns:a16="http://schemas.microsoft.com/office/drawing/2014/main" id="{98ECF0B2-D2A0-244F-9A3D-05A06707AFBE}"/>
            </a:ext>
          </a:extLst>
        </xdr:cNvPr>
        <xdr:cNvSpPr>
          <a:spLocks noChangeAspect="1" noChangeArrowheads="1"/>
        </xdr:cNvSpPr>
      </xdr:nvSpPr>
      <xdr:spPr bwMode="auto">
        <a:xfrm>
          <a:off x="14808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0</xdr:row>
      <xdr:rowOff>0</xdr:rowOff>
    </xdr:from>
    <xdr:ext cx="304800" cy="304800"/>
    <xdr:sp macro="" textlink="">
      <xdr:nvSpPr>
        <xdr:cNvPr id="36" name="AutoShape 10" descr="Rothco 3' x 5' Polyester US Flag">
          <a:extLst>
            <a:ext uri="{FF2B5EF4-FFF2-40B4-BE49-F238E27FC236}">
              <a16:creationId xmlns:a16="http://schemas.microsoft.com/office/drawing/2014/main" id="{D4C33F11-4182-F34E-90DE-F0FF22B0926B}"/>
            </a:ext>
          </a:extLst>
        </xdr:cNvPr>
        <xdr:cNvSpPr>
          <a:spLocks noChangeAspect="1" noChangeArrowheads="1"/>
        </xdr:cNvSpPr>
      </xdr:nvSpPr>
      <xdr:spPr bwMode="auto">
        <a:xfrm>
          <a:off x="104521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0</xdr:row>
      <xdr:rowOff>0</xdr:rowOff>
    </xdr:from>
    <xdr:ext cx="304800" cy="304800"/>
    <xdr:sp macro="" textlink="">
      <xdr:nvSpPr>
        <xdr:cNvPr id="37" name="AutoShape 10" descr="Rothco 3' x 5' Polyester US Flag">
          <a:extLst>
            <a:ext uri="{FF2B5EF4-FFF2-40B4-BE49-F238E27FC236}">
              <a16:creationId xmlns:a16="http://schemas.microsoft.com/office/drawing/2014/main" id="{D0BBA28F-2040-3444-A542-E687A0AE9752}"/>
            </a:ext>
          </a:extLst>
        </xdr:cNvPr>
        <xdr:cNvSpPr>
          <a:spLocks noChangeAspect="1" noChangeArrowheads="1"/>
        </xdr:cNvSpPr>
      </xdr:nvSpPr>
      <xdr:spPr bwMode="auto">
        <a:xfrm>
          <a:off x="104521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0</xdr:row>
      <xdr:rowOff>0</xdr:rowOff>
    </xdr:from>
    <xdr:ext cx="304800" cy="304800"/>
    <xdr:sp macro="" textlink="">
      <xdr:nvSpPr>
        <xdr:cNvPr id="38" name="AutoShape 10" descr="Rothco 3' x 5' Polyester US Flag">
          <a:extLst>
            <a:ext uri="{FF2B5EF4-FFF2-40B4-BE49-F238E27FC236}">
              <a16:creationId xmlns:a16="http://schemas.microsoft.com/office/drawing/2014/main" id="{454F126B-C47B-0F4D-B9F2-F046072433C9}"/>
            </a:ext>
          </a:extLst>
        </xdr:cNvPr>
        <xdr:cNvSpPr>
          <a:spLocks noChangeAspect="1" noChangeArrowheads="1"/>
        </xdr:cNvSpPr>
      </xdr:nvSpPr>
      <xdr:spPr bwMode="auto">
        <a:xfrm>
          <a:off x="104521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0</xdr:row>
      <xdr:rowOff>0</xdr:rowOff>
    </xdr:from>
    <xdr:ext cx="304800" cy="304800"/>
    <xdr:sp macro="" textlink="">
      <xdr:nvSpPr>
        <xdr:cNvPr id="39" name="AutoShape 10" descr="Rothco 3' x 5' Polyester US Flag">
          <a:extLst>
            <a:ext uri="{FF2B5EF4-FFF2-40B4-BE49-F238E27FC236}">
              <a16:creationId xmlns:a16="http://schemas.microsoft.com/office/drawing/2014/main" id="{F886AE5E-5995-594C-B504-BCF2D952C568}"/>
            </a:ext>
          </a:extLst>
        </xdr:cNvPr>
        <xdr:cNvSpPr>
          <a:spLocks noChangeAspect="1" noChangeArrowheads="1"/>
        </xdr:cNvSpPr>
      </xdr:nvSpPr>
      <xdr:spPr bwMode="auto">
        <a:xfrm>
          <a:off x="104521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0</xdr:row>
      <xdr:rowOff>0</xdr:rowOff>
    </xdr:from>
    <xdr:ext cx="304800" cy="304800"/>
    <xdr:sp macro="" textlink="">
      <xdr:nvSpPr>
        <xdr:cNvPr id="40" name="AutoShape 10" descr="Rothco 3' x 5' Polyester US Flag">
          <a:extLst>
            <a:ext uri="{FF2B5EF4-FFF2-40B4-BE49-F238E27FC236}">
              <a16:creationId xmlns:a16="http://schemas.microsoft.com/office/drawing/2014/main" id="{EFE92DC6-EFE1-8C4B-8581-75435D54860E}"/>
            </a:ext>
          </a:extLst>
        </xdr:cNvPr>
        <xdr:cNvSpPr>
          <a:spLocks noChangeAspect="1" noChangeArrowheads="1"/>
        </xdr:cNvSpPr>
      </xdr:nvSpPr>
      <xdr:spPr bwMode="auto">
        <a:xfrm>
          <a:off x="104521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0</xdr:row>
      <xdr:rowOff>0</xdr:rowOff>
    </xdr:from>
    <xdr:ext cx="304800" cy="304800"/>
    <xdr:sp macro="" textlink="">
      <xdr:nvSpPr>
        <xdr:cNvPr id="41" name="AutoShape 10" descr="Rothco 3' x 5' Polyester US Flag">
          <a:extLst>
            <a:ext uri="{FF2B5EF4-FFF2-40B4-BE49-F238E27FC236}">
              <a16:creationId xmlns:a16="http://schemas.microsoft.com/office/drawing/2014/main" id="{C14CA1F0-A3D8-7F48-9871-59091E709468}"/>
            </a:ext>
          </a:extLst>
        </xdr:cNvPr>
        <xdr:cNvSpPr>
          <a:spLocks noChangeAspect="1" noChangeArrowheads="1"/>
        </xdr:cNvSpPr>
      </xdr:nvSpPr>
      <xdr:spPr bwMode="auto">
        <a:xfrm>
          <a:off x="104521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25</xdr:col>
      <xdr:colOff>0</xdr:colOff>
      <xdr:row>2</xdr:row>
      <xdr:rowOff>0</xdr:rowOff>
    </xdr:from>
    <xdr:ext cx="304800" cy="304800"/>
    <xdr:sp macro="" textlink="">
      <xdr:nvSpPr>
        <xdr:cNvPr id="42" name="AutoShape 10" descr="Rothco 3' x 5' Polyester US Flag">
          <a:extLst>
            <a:ext uri="{FF2B5EF4-FFF2-40B4-BE49-F238E27FC236}">
              <a16:creationId xmlns:a16="http://schemas.microsoft.com/office/drawing/2014/main" id="{36ADC980-7BB4-E843-ADD6-2656B15A8632}"/>
            </a:ext>
          </a:extLst>
        </xdr:cNvPr>
        <xdr:cNvSpPr>
          <a:spLocks noChangeAspect="1" noChangeArrowheads="1"/>
        </xdr:cNvSpPr>
      </xdr:nvSpPr>
      <xdr:spPr bwMode="auto">
        <a:xfrm>
          <a:off x="150114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25</xdr:col>
      <xdr:colOff>0</xdr:colOff>
      <xdr:row>2</xdr:row>
      <xdr:rowOff>0</xdr:rowOff>
    </xdr:from>
    <xdr:ext cx="304800" cy="304800"/>
    <xdr:sp macro="" textlink="">
      <xdr:nvSpPr>
        <xdr:cNvPr id="43" name="AutoShape 10" descr="Rothco 3' x 5' Polyester US Flag">
          <a:extLst>
            <a:ext uri="{FF2B5EF4-FFF2-40B4-BE49-F238E27FC236}">
              <a16:creationId xmlns:a16="http://schemas.microsoft.com/office/drawing/2014/main" id="{39B7D5EE-A899-A245-A093-921C6D9E765C}"/>
            </a:ext>
          </a:extLst>
        </xdr:cNvPr>
        <xdr:cNvSpPr>
          <a:spLocks noChangeAspect="1" noChangeArrowheads="1"/>
        </xdr:cNvSpPr>
      </xdr:nvSpPr>
      <xdr:spPr bwMode="auto">
        <a:xfrm>
          <a:off x="150114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2</xdr:row>
      <xdr:rowOff>0</xdr:rowOff>
    </xdr:from>
    <xdr:ext cx="304800" cy="304800"/>
    <xdr:sp macro="" textlink="">
      <xdr:nvSpPr>
        <xdr:cNvPr id="44" name="AutoShape 10" descr="Rothco 3' x 5' Polyester US Flag">
          <a:extLst>
            <a:ext uri="{FF2B5EF4-FFF2-40B4-BE49-F238E27FC236}">
              <a16:creationId xmlns:a16="http://schemas.microsoft.com/office/drawing/2014/main" id="{A468C740-40A7-FD41-9C5C-8D537040E20D}"/>
            </a:ext>
          </a:extLst>
        </xdr:cNvPr>
        <xdr:cNvSpPr>
          <a:spLocks noChangeAspect="1" noChangeArrowheads="1"/>
        </xdr:cNvSpPr>
      </xdr:nvSpPr>
      <xdr:spPr bwMode="auto">
        <a:xfrm>
          <a:off x="126873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2</xdr:row>
      <xdr:rowOff>0</xdr:rowOff>
    </xdr:from>
    <xdr:ext cx="304800" cy="304800"/>
    <xdr:sp macro="" textlink="">
      <xdr:nvSpPr>
        <xdr:cNvPr id="45" name="AutoShape 10" descr="Rothco 3' x 5' Polyester US Flag">
          <a:extLst>
            <a:ext uri="{FF2B5EF4-FFF2-40B4-BE49-F238E27FC236}">
              <a16:creationId xmlns:a16="http://schemas.microsoft.com/office/drawing/2014/main" id="{A1595F7B-8E6B-8149-A319-17BC96511895}"/>
            </a:ext>
          </a:extLst>
        </xdr:cNvPr>
        <xdr:cNvSpPr>
          <a:spLocks noChangeAspect="1" noChangeArrowheads="1"/>
        </xdr:cNvSpPr>
      </xdr:nvSpPr>
      <xdr:spPr bwMode="auto">
        <a:xfrm>
          <a:off x="12687300" y="118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46" name="AutoShape 10" descr="Rothco 3' x 5' Polyester US Flag">
          <a:extLst>
            <a:ext uri="{FF2B5EF4-FFF2-40B4-BE49-F238E27FC236}">
              <a16:creationId xmlns:a16="http://schemas.microsoft.com/office/drawing/2014/main" id="{2227CF8A-E438-FC45-8610-D0960FD02626}"/>
            </a:ext>
          </a:extLst>
        </xdr:cNvPr>
        <xdr:cNvSpPr>
          <a:spLocks noChangeAspect="1" noChangeArrowheads="1"/>
        </xdr:cNvSpPr>
      </xdr:nvSpPr>
      <xdr:spPr bwMode="auto">
        <a:xfrm>
          <a:off x="126873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47" name="AutoShape 10" descr="Rothco 3' x 5' Polyester US Flag">
          <a:extLst>
            <a:ext uri="{FF2B5EF4-FFF2-40B4-BE49-F238E27FC236}">
              <a16:creationId xmlns:a16="http://schemas.microsoft.com/office/drawing/2014/main" id="{DE5796A1-3413-DB41-921F-5A4A5D60236E}"/>
            </a:ext>
          </a:extLst>
        </xdr:cNvPr>
        <xdr:cNvSpPr>
          <a:spLocks noChangeAspect="1" noChangeArrowheads="1"/>
        </xdr:cNvSpPr>
      </xdr:nvSpPr>
      <xdr:spPr bwMode="auto">
        <a:xfrm>
          <a:off x="126873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48" name="AutoShape 10" descr="Rothco 3' x 5' Polyester US Flag">
          <a:extLst>
            <a:ext uri="{FF2B5EF4-FFF2-40B4-BE49-F238E27FC236}">
              <a16:creationId xmlns:a16="http://schemas.microsoft.com/office/drawing/2014/main" id="{472E2AA2-345A-4440-87ED-B5E4DD490F66}"/>
            </a:ext>
          </a:extLst>
        </xdr:cNvPr>
        <xdr:cNvSpPr>
          <a:spLocks noChangeAspect="1" noChangeArrowheads="1"/>
        </xdr:cNvSpPr>
      </xdr:nvSpPr>
      <xdr:spPr bwMode="auto">
        <a:xfrm>
          <a:off x="126873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49" name="AutoShape 10" descr="Rothco 3' x 5' Polyester US Flag">
          <a:extLst>
            <a:ext uri="{FF2B5EF4-FFF2-40B4-BE49-F238E27FC236}">
              <a16:creationId xmlns:a16="http://schemas.microsoft.com/office/drawing/2014/main" id="{5C3101DA-2C8F-D24D-9123-DF3FD83486D0}"/>
            </a:ext>
          </a:extLst>
        </xdr:cNvPr>
        <xdr:cNvSpPr>
          <a:spLocks noChangeAspect="1" noChangeArrowheads="1"/>
        </xdr:cNvSpPr>
      </xdr:nvSpPr>
      <xdr:spPr bwMode="auto">
        <a:xfrm>
          <a:off x="126873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50" name="AutoShape 10" descr="Rothco 3' x 5' Polyester US Flag">
          <a:extLst>
            <a:ext uri="{FF2B5EF4-FFF2-40B4-BE49-F238E27FC236}">
              <a16:creationId xmlns:a16="http://schemas.microsoft.com/office/drawing/2014/main" id="{CAB8082A-AF9B-9F43-903E-956E44961BC7}"/>
            </a:ext>
          </a:extLst>
        </xdr:cNvPr>
        <xdr:cNvSpPr>
          <a:spLocks noChangeAspect="1" noChangeArrowheads="1"/>
        </xdr:cNvSpPr>
      </xdr:nvSpPr>
      <xdr:spPr bwMode="auto">
        <a:xfrm>
          <a:off x="126873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51" name="AutoShape 10" descr="Rothco 3' x 5' Polyester US Flag">
          <a:extLst>
            <a:ext uri="{FF2B5EF4-FFF2-40B4-BE49-F238E27FC236}">
              <a16:creationId xmlns:a16="http://schemas.microsoft.com/office/drawing/2014/main" id="{674B4AB6-A16A-ED43-A64E-745E324CED83}"/>
            </a:ext>
          </a:extLst>
        </xdr:cNvPr>
        <xdr:cNvSpPr>
          <a:spLocks noChangeAspect="1" noChangeArrowheads="1"/>
        </xdr:cNvSpPr>
      </xdr:nvSpPr>
      <xdr:spPr bwMode="auto">
        <a:xfrm>
          <a:off x="126873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52" name="AutoShape 10" descr="Rothco 3' x 5' Polyester US Flag">
          <a:extLst>
            <a:ext uri="{FF2B5EF4-FFF2-40B4-BE49-F238E27FC236}">
              <a16:creationId xmlns:a16="http://schemas.microsoft.com/office/drawing/2014/main" id="{5F0371C4-4BAC-2D44-9D2B-564208FEB80B}"/>
            </a:ext>
          </a:extLst>
        </xdr:cNvPr>
        <xdr:cNvSpPr>
          <a:spLocks noChangeAspect="1" noChangeArrowheads="1"/>
        </xdr:cNvSpPr>
      </xdr:nvSpPr>
      <xdr:spPr bwMode="auto">
        <a:xfrm>
          <a:off x="126873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dmini/workspace/clients/armanino/Tax%20Pricing%20Calculator%20-%20PHB%20PE%20RE.xlsx" TargetMode="External"/><Relationship Id="rId1" Type="http://schemas.openxmlformats.org/officeDocument/2006/relationships/externalLinkPath" Target="Tax%20Pricing%20Calculator%20-%20PHB%20PE%20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e Assumptions"/>
      <sheetName val="Pricing Calculator"/>
      <sheetName val="Pricing Summary"/>
      <sheetName val="Outputs Recap"/>
      <sheetName val="Service Recap"/>
      <sheetName val="Rates + Costs"/>
      <sheetName val="NOW Services"/>
      <sheetName val="PPI Links"/>
      <sheetName val="Other Lookups"/>
      <sheetName val="Onboarding Template"/>
      <sheetName val="Project Profitability Import"/>
      <sheetName val="List"/>
    </sheetNames>
    <sheetDataSet>
      <sheetData sheetId="0">
        <row r="2">
          <cell r="A2" t="str">
            <v>Scoping and Pricing Calculator - Tax PHB Clients</v>
          </cell>
        </row>
        <row r="5">
          <cell r="D5" t="str">
            <v>Ted Black Tax Return</v>
          </cell>
        </row>
        <row r="7">
          <cell r="D7" t="str">
            <v>PHB</v>
          </cell>
        </row>
        <row r="13">
          <cell r="D13">
            <v>46023</v>
          </cell>
        </row>
        <row r="14">
          <cell r="D14">
            <v>46310</v>
          </cell>
        </row>
        <row r="15">
          <cell r="D15">
            <v>40</v>
          </cell>
        </row>
        <row r="17">
          <cell r="D17" t="str">
            <v>Yes</v>
          </cell>
        </row>
        <row r="18">
          <cell r="D18" t="str">
            <v>Yes</v>
          </cell>
        </row>
        <row r="20">
          <cell r="D20" t="str">
            <v>National</v>
          </cell>
        </row>
        <row r="22">
          <cell r="D22">
            <v>0</v>
          </cell>
        </row>
        <row r="23">
          <cell r="E23">
            <v>100</v>
          </cell>
        </row>
        <row r="24">
          <cell r="E24">
            <v>1000</v>
          </cell>
        </row>
        <row r="26">
          <cell r="D26">
            <v>7.0000000000000007E-2</v>
          </cell>
        </row>
        <row r="28">
          <cell r="D28">
            <v>0.746</v>
          </cell>
        </row>
        <row r="32">
          <cell r="B32" t="str">
            <v>A Business</v>
          </cell>
          <cell r="D32" t="str">
            <v>Corporation Return</v>
          </cell>
        </row>
        <row r="33">
          <cell r="B33" t="str">
            <v>B Corp</v>
          </cell>
          <cell r="D33" t="str">
            <v>Corporation Return</v>
          </cell>
        </row>
        <row r="34">
          <cell r="B34" t="str">
            <v>C LLC</v>
          </cell>
          <cell r="D34" t="str">
            <v>Corporation Return</v>
          </cell>
        </row>
        <row r="35">
          <cell r="B35" t="str">
            <v>D Demo Corp</v>
          </cell>
          <cell r="D35" t="str">
            <v>Corporation Return</v>
          </cell>
        </row>
      </sheetData>
      <sheetData sheetId="1">
        <row r="6">
          <cell r="AI6">
            <v>10.8</v>
          </cell>
          <cell r="AZ6">
            <v>7236</v>
          </cell>
          <cell r="BE6">
            <v>7236</v>
          </cell>
          <cell r="BT6">
            <v>7236</v>
          </cell>
          <cell r="BU6">
            <v>5793.78</v>
          </cell>
        </row>
        <row r="17">
          <cell r="A17">
            <v>1</v>
          </cell>
          <cell r="B17" t="str">
            <v>A Business - Federal &amp; State Tax Returns</v>
          </cell>
          <cell r="C17" t="str">
            <v>A Business</v>
          </cell>
          <cell r="D17" t="str">
            <v xml:space="preserve"> </v>
          </cell>
          <cell r="E17" t="b">
            <v>1</v>
          </cell>
          <cell r="F17" t="b">
            <v>1</v>
          </cell>
          <cell r="G17" t="b">
            <v>1</v>
          </cell>
          <cell r="I17">
            <v>1</v>
          </cell>
          <cell r="R17">
            <v>10</v>
          </cell>
          <cell r="AG17">
            <v>1</v>
          </cell>
          <cell r="AM17">
            <v>5750</v>
          </cell>
          <cell r="AO17">
            <v>5700</v>
          </cell>
        </row>
        <row r="18">
          <cell r="A18">
            <v>2</v>
          </cell>
          <cell r="B18" t="str">
            <v>B Corp - Federal &amp; State Tax Returns</v>
          </cell>
          <cell r="C18" t="str">
            <v>B Corp</v>
          </cell>
          <cell r="D18" t="str">
            <v xml:space="preserve"> </v>
          </cell>
          <cell r="E18" t="b">
            <v>1</v>
          </cell>
          <cell r="F18" t="b">
            <v>1</v>
          </cell>
          <cell r="G18" t="b">
            <v>1</v>
          </cell>
          <cell r="I18">
            <v>1</v>
          </cell>
          <cell r="R18">
            <v>10</v>
          </cell>
          <cell r="AG18">
            <v>1</v>
          </cell>
          <cell r="AM18">
            <v>5750</v>
          </cell>
          <cell r="AO18">
            <v>5800</v>
          </cell>
        </row>
        <row r="19">
          <cell r="A19">
            <v>3</v>
          </cell>
          <cell r="B19" t="str">
            <v>C LLC - Federal &amp; State Tax Returns</v>
          </cell>
          <cell r="C19" t="str">
            <v>C LLC</v>
          </cell>
          <cell r="D19" t="str">
            <v xml:space="preserve"> </v>
          </cell>
          <cell r="E19" t="b">
            <v>1</v>
          </cell>
          <cell r="F19" t="b">
            <v>1</v>
          </cell>
          <cell r="G19" t="b">
            <v>1</v>
          </cell>
          <cell r="I19">
            <v>1</v>
          </cell>
          <cell r="R19">
            <v>10</v>
          </cell>
          <cell r="AG19">
            <v>1</v>
          </cell>
          <cell r="AM19">
            <v>5750</v>
          </cell>
          <cell r="AO19">
            <v>5800</v>
          </cell>
        </row>
        <row r="20">
          <cell r="A20">
            <v>4</v>
          </cell>
          <cell r="B20" t="str">
            <v>D Demo Corp - Federal &amp; State Tax Returns</v>
          </cell>
          <cell r="C20" t="str">
            <v>D Demo Corp</v>
          </cell>
          <cell r="D20" t="str">
            <v xml:space="preserve"> </v>
          </cell>
          <cell r="E20" t="b">
            <v>1</v>
          </cell>
          <cell r="F20" t="b">
            <v>1</v>
          </cell>
          <cell r="G20" t="b">
            <v>1</v>
          </cell>
          <cell r="I20">
            <v>1</v>
          </cell>
          <cell r="R20">
            <v>10</v>
          </cell>
          <cell r="AG20">
            <v>1</v>
          </cell>
          <cell r="AM20">
            <v>5750</v>
          </cell>
          <cell r="AO20">
            <v>5800</v>
          </cell>
        </row>
        <row r="21">
          <cell r="A21" t="str">
            <v/>
          </cell>
          <cell r="B21" t="str">
            <v/>
          </cell>
          <cell r="C21" t="str">
            <v/>
          </cell>
          <cell r="D21" t="str">
            <v xml:space="preserve"> </v>
          </cell>
          <cell r="E21" t="b">
            <v>0</v>
          </cell>
          <cell r="F21" t="b">
            <v>0</v>
          </cell>
          <cell r="G21" t="b">
            <v>0</v>
          </cell>
          <cell r="I21">
            <v>1</v>
          </cell>
          <cell r="AG21">
            <v>0</v>
          </cell>
          <cell r="AM21">
            <v>0</v>
          </cell>
          <cell r="AO21">
            <v>0</v>
          </cell>
        </row>
        <row r="22">
          <cell r="A22" t="str">
            <v/>
          </cell>
          <cell r="B22" t="str">
            <v/>
          </cell>
          <cell r="C22" t="str">
            <v/>
          </cell>
          <cell r="D22" t="str">
            <v xml:space="preserve"> </v>
          </cell>
          <cell r="E22" t="b">
            <v>0</v>
          </cell>
          <cell r="F22" t="b">
            <v>0</v>
          </cell>
          <cell r="G22" t="b">
            <v>0</v>
          </cell>
          <cell r="I22">
            <v>1</v>
          </cell>
          <cell r="AG22">
            <v>0</v>
          </cell>
          <cell r="AM22">
            <v>0</v>
          </cell>
          <cell r="AO22">
            <v>0</v>
          </cell>
        </row>
        <row r="23">
          <cell r="A23" t="str">
            <v/>
          </cell>
          <cell r="B23" t="str">
            <v/>
          </cell>
          <cell r="C23" t="str">
            <v/>
          </cell>
          <cell r="D23" t="str">
            <v xml:space="preserve"> </v>
          </cell>
          <cell r="E23" t="b">
            <v>0</v>
          </cell>
          <cell r="F23" t="b">
            <v>0</v>
          </cell>
          <cell r="G23" t="b">
            <v>0</v>
          </cell>
          <cell r="I23">
            <v>1</v>
          </cell>
          <cell r="AG23">
            <v>0</v>
          </cell>
          <cell r="AM23">
            <v>0</v>
          </cell>
          <cell r="AO23">
            <v>0</v>
          </cell>
        </row>
        <row r="24">
          <cell r="A24" t="str">
            <v/>
          </cell>
          <cell r="B24" t="str">
            <v/>
          </cell>
          <cell r="C24" t="str">
            <v/>
          </cell>
          <cell r="D24" t="str">
            <v xml:space="preserve"> </v>
          </cell>
          <cell r="E24" t="b">
            <v>0</v>
          </cell>
          <cell r="F24" t="b">
            <v>0</v>
          </cell>
          <cell r="G24" t="b">
            <v>0</v>
          </cell>
          <cell r="I24">
            <v>1</v>
          </cell>
          <cell r="AG24">
            <v>0</v>
          </cell>
          <cell r="AM24">
            <v>0</v>
          </cell>
          <cell r="AO24">
            <v>0</v>
          </cell>
        </row>
        <row r="25">
          <cell r="A25" t="str">
            <v/>
          </cell>
          <cell r="B25" t="str">
            <v/>
          </cell>
          <cell r="C25" t="str">
            <v/>
          </cell>
          <cell r="D25" t="str">
            <v xml:space="preserve"> </v>
          </cell>
          <cell r="E25" t="b">
            <v>0</v>
          </cell>
          <cell r="F25" t="b">
            <v>0</v>
          </cell>
          <cell r="G25" t="b">
            <v>0</v>
          </cell>
          <cell r="I25">
            <v>1</v>
          </cell>
          <cell r="AG25">
            <v>0</v>
          </cell>
          <cell r="AM25">
            <v>0</v>
          </cell>
          <cell r="AO25">
            <v>0</v>
          </cell>
        </row>
        <row r="26">
          <cell r="A26" t="str">
            <v/>
          </cell>
          <cell r="B26" t="str">
            <v/>
          </cell>
          <cell r="C26" t="str">
            <v/>
          </cell>
          <cell r="D26" t="str">
            <v xml:space="preserve"> </v>
          </cell>
          <cell r="E26" t="b">
            <v>0</v>
          </cell>
          <cell r="F26" t="b">
            <v>0</v>
          </cell>
          <cell r="G26" t="b">
            <v>0</v>
          </cell>
          <cell r="I26">
            <v>1</v>
          </cell>
          <cell r="AG26">
            <v>0</v>
          </cell>
          <cell r="AM26">
            <v>0</v>
          </cell>
          <cell r="AO26">
            <v>0</v>
          </cell>
        </row>
        <row r="27">
          <cell r="A27" t="str">
            <v/>
          </cell>
          <cell r="B27" t="str">
            <v/>
          </cell>
          <cell r="C27" t="str">
            <v/>
          </cell>
          <cell r="D27" t="str">
            <v xml:space="preserve"> </v>
          </cell>
          <cell r="E27" t="b">
            <v>0</v>
          </cell>
          <cell r="F27" t="b">
            <v>0</v>
          </cell>
          <cell r="G27" t="b">
            <v>0</v>
          </cell>
          <cell r="I27">
            <v>1</v>
          </cell>
          <cell r="AG27">
            <v>0</v>
          </cell>
          <cell r="AM27">
            <v>0</v>
          </cell>
          <cell r="AO27">
            <v>0</v>
          </cell>
        </row>
        <row r="28">
          <cell r="A28" t="str">
            <v/>
          </cell>
          <cell r="B28" t="str">
            <v/>
          </cell>
          <cell r="C28" t="str">
            <v/>
          </cell>
          <cell r="D28" t="str">
            <v xml:space="preserve"> </v>
          </cell>
          <cell r="E28" t="b">
            <v>0</v>
          </cell>
          <cell r="F28" t="b">
            <v>0</v>
          </cell>
          <cell r="G28" t="b">
            <v>0</v>
          </cell>
          <cell r="I28">
            <v>1</v>
          </cell>
          <cell r="AG28">
            <v>0</v>
          </cell>
          <cell r="AM28">
            <v>0</v>
          </cell>
          <cell r="AO28">
            <v>0</v>
          </cell>
        </row>
        <row r="29">
          <cell r="A29" t="str">
            <v/>
          </cell>
          <cell r="B29" t="str">
            <v/>
          </cell>
          <cell r="C29" t="str">
            <v/>
          </cell>
          <cell r="D29" t="str">
            <v xml:space="preserve"> </v>
          </cell>
          <cell r="E29" t="b">
            <v>0</v>
          </cell>
          <cell r="F29" t="b">
            <v>0</v>
          </cell>
          <cell r="G29" t="b">
            <v>0</v>
          </cell>
          <cell r="I29">
            <v>1</v>
          </cell>
          <cell r="AG29">
            <v>0</v>
          </cell>
          <cell r="AM29">
            <v>0</v>
          </cell>
          <cell r="AO29">
            <v>0</v>
          </cell>
        </row>
        <row r="30">
          <cell r="A30" t="str">
            <v/>
          </cell>
          <cell r="B30" t="str">
            <v/>
          </cell>
          <cell r="C30" t="str">
            <v/>
          </cell>
          <cell r="D30" t="str">
            <v xml:space="preserve"> </v>
          </cell>
          <cell r="E30" t="b">
            <v>0</v>
          </cell>
          <cell r="F30" t="b">
            <v>0</v>
          </cell>
          <cell r="G30" t="b">
            <v>0</v>
          </cell>
          <cell r="I30">
            <v>1</v>
          </cell>
          <cell r="AG30">
            <v>0</v>
          </cell>
          <cell r="AM30">
            <v>0</v>
          </cell>
          <cell r="AO30">
            <v>0</v>
          </cell>
        </row>
        <row r="31">
          <cell r="A31" t="str">
            <v/>
          </cell>
          <cell r="B31" t="str">
            <v/>
          </cell>
          <cell r="C31" t="str">
            <v/>
          </cell>
          <cell r="D31" t="str">
            <v xml:space="preserve"> </v>
          </cell>
          <cell r="E31" t="b">
            <v>0</v>
          </cell>
          <cell r="F31" t="b">
            <v>0</v>
          </cell>
          <cell r="G31" t="b">
            <v>0</v>
          </cell>
          <cell r="I31">
            <v>1</v>
          </cell>
          <cell r="AG31">
            <v>0</v>
          </cell>
          <cell r="AM31">
            <v>0</v>
          </cell>
          <cell r="AO31">
            <v>0</v>
          </cell>
        </row>
        <row r="32">
          <cell r="A32" t="str">
            <v/>
          </cell>
          <cell r="B32" t="str">
            <v/>
          </cell>
          <cell r="C32" t="str">
            <v/>
          </cell>
          <cell r="D32" t="str">
            <v xml:space="preserve"> </v>
          </cell>
          <cell r="E32" t="b">
            <v>0</v>
          </cell>
          <cell r="F32" t="b">
            <v>0</v>
          </cell>
          <cell r="G32" t="b">
            <v>0</v>
          </cell>
          <cell r="I32">
            <v>1</v>
          </cell>
          <cell r="AG32">
            <v>0</v>
          </cell>
          <cell r="AM32">
            <v>0</v>
          </cell>
          <cell r="AO32">
            <v>0</v>
          </cell>
        </row>
        <row r="33">
          <cell r="A33" t="str">
            <v/>
          </cell>
          <cell r="B33" t="str">
            <v/>
          </cell>
          <cell r="C33" t="str">
            <v/>
          </cell>
          <cell r="D33" t="str">
            <v xml:space="preserve"> </v>
          </cell>
          <cell r="E33" t="b">
            <v>0</v>
          </cell>
          <cell r="F33" t="b">
            <v>0</v>
          </cell>
          <cell r="G33" t="b">
            <v>0</v>
          </cell>
          <cell r="I33">
            <v>1</v>
          </cell>
          <cell r="AG33">
            <v>0</v>
          </cell>
          <cell r="AM33">
            <v>0</v>
          </cell>
          <cell r="AO33">
            <v>0</v>
          </cell>
        </row>
        <row r="34">
          <cell r="A34" t="str">
            <v/>
          </cell>
          <cell r="B34" t="str">
            <v/>
          </cell>
          <cell r="C34" t="str">
            <v/>
          </cell>
          <cell r="D34" t="str">
            <v xml:space="preserve"> </v>
          </cell>
          <cell r="E34" t="b">
            <v>0</v>
          </cell>
          <cell r="F34" t="b">
            <v>0</v>
          </cell>
          <cell r="G34" t="b">
            <v>0</v>
          </cell>
          <cell r="I34">
            <v>1</v>
          </cell>
          <cell r="AG34">
            <v>0</v>
          </cell>
          <cell r="AM34">
            <v>0</v>
          </cell>
          <cell r="AO34">
            <v>0</v>
          </cell>
        </row>
        <row r="35">
          <cell r="A35" t="str">
            <v/>
          </cell>
          <cell r="B35" t="str">
            <v/>
          </cell>
          <cell r="C35" t="str">
            <v/>
          </cell>
          <cell r="D35" t="str">
            <v xml:space="preserve"> </v>
          </cell>
          <cell r="E35" t="b">
            <v>0</v>
          </cell>
          <cell r="F35" t="b">
            <v>0</v>
          </cell>
          <cell r="G35" t="b">
            <v>0</v>
          </cell>
          <cell r="I35">
            <v>1</v>
          </cell>
          <cell r="AG35">
            <v>0</v>
          </cell>
          <cell r="AM35">
            <v>0</v>
          </cell>
          <cell r="AO35">
            <v>0</v>
          </cell>
        </row>
        <row r="36">
          <cell r="A36" t="str">
            <v/>
          </cell>
          <cell r="B36" t="str">
            <v/>
          </cell>
          <cell r="C36" t="str">
            <v/>
          </cell>
          <cell r="D36" t="str">
            <v xml:space="preserve"> </v>
          </cell>
          <cell r="E36" t="b">
            <v>0</v>
          </cell>
          <cell r="F36" t="b">
            <v>0</v>
          </cell>
          <cell r="G36" t="b">
            <v>0</v>
          </cell>
          <cell r="I36">
            <v>1</v>
          </cell>
          <cell r="AG36">
            <v>0</v>
          </cell>
          <cell r="AM36">
            <v>0</v>
          </cell>
          <cell r="AO36">
            <v>0</v>
          </cell>
        </row>
        <row r="37">
          <cell r="A37" t="str">
            <v/>
          </cell>
          <cell r="B37" t="str">
            <v/>
          </cell>
          <cell r="C37" t="str">
            <v/>
          </cell>
          <cell r="D37" t="str">
            <v xml:space="preserve"> </v>
          </cell>
          <cell r="E37" t="b">
            <v>0</v>
          </cell>
          <cell r="F37" t="b">
            <v>0</v>
          </cell>
          <cell r="G37" t="b">
            <v>0</v>
          </cell>
          <cell r="I37">
            <v>1</v>
          </cell>
          <cell r="AG37">
            <v>0</v>
          </cell>
          <cell r="AM37">
            <v>0</v>
          </cell>
          <cell r="AO37">
            <v>0</v>
          </cell>
        </row>
        <row r="38">
          <cell r="A38" t="str">
            <v/>
          </cell>
          <cell r="B38" t="str">
            <v/>
          </cell>
          <cell r="C38" t="str">
            <v/>
          </cell>
          <cell r="D38" t="str">
            <v xml:space="preserve"> </v>
          </cell>
          <cell r="E38" t="b">
            <v>0</v>
          </cell>
          <cell r="F38" t="b">
            <v>0</v>
          </cell>
          <cell r="G38" t="b">
            <v>0</v>
          </cell>
          <cell r="I38">
            <v>1</v>
          </cell>
          <cell r="AG38">
            <v>0</v>
          </cell>
          <cell r="AM38">
            <v>0</v>
          </cell>
          <cell r="AO38">
            <v>0</v>
          </cell>
        </row>
        <row r="39">
          <cell r="A39" t="str">
            <v/>
          </cell>
          <cell r="B39" t="str">
            <v/>
          </cell>
          <cell r="C39" t="str">
            <v/>
          </cell>
          <cell r="D39" t="str">
            <v xml:space="preserve"> </v>
          </cell>
          <cell r="E39" t="b">
            <v>0</v>
          </cell>
          <cell r="F39" t="b">
            <v>0</v>
          </cell>
          <cell r="G39" t="b">
            <v>0</v>
          </cell>
          <cell r="I39">
            <v>1</v>
          </cell>
          <cell r="AG39">
            <v>0</v>
          </cell>
          <cell r="AM39">
            <v>0</v>
          </cell>
          <cell r="AO39">
            <v>0</v>
          </cell>
        </row>
        <row r="40">
          <cell r="A40" t="str">
            <v/>
          </cell>
          <cell r="B40" t="str">
            <v/>
          </cell>
          <cell r="C40" t="str">
            <v/>
          </cell>
          <cell r="D40" t="str">
            <v xml:space="preserve"> </v>
          </cell>
          <cell r="E40" t="b">
            <v>0</v>
          </cell>
          <cell r="F40" t="b">
            <v>0</v>
          </cell>
          <cell r="G40" t="b">
            <v>0</v>
          </cell>
          <cell r="I40">
            <v>1</v>
          </cell>
          <cell r="AG40">
            <v>0</v>
          </cell>
          <cell r="AM40">
            <v>0</v>
          </cell>
          <cell r="AO40">
            <v>0</v>
          </cell>
        </row>
        <row r="41">
          <cell r="A41" t="str">
            <v/>
          </cell>
          <cell r="B41" t="str">
            <v/>
          </cell>
          <cell r="C41" t="str">
            <v/>
          </cell>
          <cell r="D41" t="str">
            <v xml:space="preserve"> </v>
          </cell>
          <cell r="E41" t="b">
            <v>0</v>
          </cell>
          <cell r="F41" t="b">
            <v>0</v>
          </cell>
          <cell r="G41" t="b">
            <v>0</v>
          </cell>
          <cell r="I41">
            <v>1</v>
          </cell>
          <cell r="AG41">
            <v>0</v>
          </cell>
          <cell r="AM41">
            <v>0</v>
          </cell>
          <cell r="AO41">
            <v>0</v>
          </cell>
        </row>
        <row r="42">
          <cell r="A42" t="str">
            <v/>
          </cell>
          <cell r="B42" t="str">
            <v/>
          </cell>
          <cell r="C42" t="str">
            <v/>
          </cell>
          <cell r="D42" t="str">
            <v xml:space="preserve"> </v>
          </cell>
          <cell r="E42" t="b">
            <v>0</v>
          </cell>
          <cell r="F42" t="b">
            <v>0</v>
          </cell>
          <cell r="G42" t="b">
            <v>0</v>
          </cell>
          <cell r="I42">
            <v>1</v>
          </cell>
          <cell r="AG42">
            <v>0</v>
          </cell>
          <cell r="AM42">
            <v>0</v>
          </cell>
          <cell r="AO42">
            <v>0</v>
          </cell>
        </row>
        <row r="43">
          <cell r="A43" t="str">
            <v/>
          </cell>
          <cell r="B43" t="str">
            <v/>
          </cell>
          <cell r="C43" t="str">
            <v/>
          </cell>
          <cell r="D43" t="str">
            <v xml:space="preserve"> </v>
          </cell>
          <cell r="E43" t="b">
            <v>0</v>
          </cell>
          <cell r="F43" t="b">
            <v>0</v>
          </cell>
          <cell r="G43" t="b">
            <v>0</v>
          </cell>
          <cell r="I43">
            <v>1</v>
          </cell>
          <cell r="AG43">
            <v>0</v>
          </cell>
          <cell r="AM43">
            <v>0</v>
          </cell>
          <cell r="AO43">
            <v>0</v>
          </cell>
        </row>
        <row r="44">
          <cell r="A44" t="str">
            <v/>
          </cell>
          <cell r="B44" t="str">
            <v/>
          </cell>
          <cell r="C44" t="str">
            <v/>
          </cell>
          <cell r="D44" t="str">
            <v xml:space="preserve"> </v>
          </cell>
          <cell r="E44" t="b">
            <v>0</v>
          </cell>
          <cell r="F44" t="b">
            <v>0</v>
          </cell>
          <cell r="G44" t="b">
            <v>0</v>
          </cell>
          <cell r="I44">
            <v>1</v>
          </cell>
          <cell r="AG44">
            <v>0</v>
          </cell>
          <cell r="AM44">
            <v>0</v>
          </cell>
          <cell r="AO44">
            <v>0</v>
          </cell>
        </row>
        <row r="45">
          <cell r="A45" t="str">
            <v/>
          </cell>
          <cell r="B45" t="str">
            <v/>
          </cell>
          <cell r="C45" t="str">
            <v/>
          </cell>
          <cell r="D45" t="str">
            <v xml:space="preserve"> </v>
          </cell>
          <cell r="E45" t="b">
            <v>0</v>
          </cell>
          <cell r="F45" t="b">
            <v>0</v>
          </cell>
          <cell r="G45" t="b">
            <v>0</v>
          </cell>
          <cell r="I45">
            <v>1</v>
          </cell>
          <cell r="AG45">
            <v>0</v>
          </cell>
          <cell r="AM45">
            <v>0</v>
          </cell>
          <cell r="AO45">
            <v>0</v>
          </cell>
        </row>
        <row r="46">
          <cell r="A46" t="str">
            <v/>
          </cell>
          <cell r="B46" t="str">
            <v/>
          </cell>
          <cell r="C46" t="str">
            <v/>
          </cell>
          <cell r="D46" t="str">
            <v xml:space="preserve"> </v>
          </cell>
          <cell r="E46" t="b">
            <v>0</v>
          </cell>
          <cell r="F46" t="b">
            <v>0</v>
          </cell>
          <cell r="G46" t="b">
            <v>0</v>
          </cell>
          <cell r="I46">
            <v>1</v>
          </cell>
          <cell r="AG46">
            <v>0</v>
          </cell>
          <cell r="AM46">
            <v>0</v>
          </cell>
          <cell r="AO46">
            <v>0</v>
          </cell>
        </row>
        <row r="47">
          <cell r="A47" t="str">
            <v/>
          </cell>
          <cell r="B47" t="str">
            <v/>
          </cell>
          <cell r="C47" t="str">
            <v/>
          </cell>
          <cell r="D47" t="str">
            <v xml:space="preserve"> </v>
          </cell>
          <cell r="E47" t="b">
            <v>0</v>
          </cell>
          <cell r="F47" t="b">
            <v>0</v>
          </cell>
          <cell r="G47" t="b">
            <v>0</v>
          </cell>
          <cell r="I47">
            <v>1</v>
          </cell>
          <cell r="AG47">
            <v>0</v>
          </cell>
          <cell r="AM47">
            <v>0</v>
          </cell>
          <cell r="AO47">
            <v>0</v>
          </cell>
        </row>
        <row r="48">
          <cell r="A48" t="str">
            <v/>
          </cell>
          <cell r="B48" t="str">
            <v/>
          </cell>
          <cell r="C48" t="str">
            <v/>
          </cell>
          <cell r="D48" t="str">
            <v xml:space="preserve"> </v>
          </cell>
          <cell r="E48" t="b">
            <v>0</v>
          </cell>
          <cell r="F48" t="b">
            <v>0</v>
          </cell>
          <cell r="G48" t="b">
            <v>0</v>
          </cell>
          <cell r="I48">
            <v>1</v>
          </cell>
          <cell r="AG48">
            <v>0</v>
          </cell>
          <cell r="AM48">
            <v>0</v>
          </cell>
          <cell r="AO48">
            <v>0</v>
          </cell>
        </row>
        <row r="49">
          <cell r="A49" t="str">
            <v/>
          </cell>
          <cell r="B49" t="str">
            <v/>
          </cell>
          <cell r="C49" t="str">
            <v/>
          </cell>
          <cell r="D49" t="str">
            <v xml:space="preserve"> </v>
          </cell>
          <cell r="E49" t="b">
            <v>0</v>
          </cell>
          <cell r="F49" t="b">
            <v>0</v>
          </cell>
          <cell r="G49" t="b">
            <v>0</v>
          </cell>
          <cell r="I49">
            <v>1</v>
          </cell>
          <cell r="AG49">
            <v>0</v>
          </cell>
          <cell r="AM49">
            <v>0</v>
          </cell>
          <cell r="AO49">
            <v>0</v>
          </cell>
        </row>
        <row r="50">
          <cell r="A50" t="str">
            <v/>
          </cell>
          <cell r="B50" t="str">
            <v/>
          </cell>
          <cell r="C50" t="str">
            <v/>
          </cell>
          <cell r="D50" t="str">
            <v xml:space="preserve"> </v>
          </cell>
          <cell r="E50" t="b">
            <v>0</v>
          </cell>
          <cell r="F50" t="b">
            <v>0</v>
          </cell>
          <cell r="G50" t="b">
            <v>0</v>
          </cell>
          <cell r="I50">
            <v>1</v>
          </cell>
          <cell r="AG50">
            <v>0</v>
          </cell>
          <cell r="AM50">
            <v>0</v>
          </cell>
          <cell r="AO50">
            <v>0</v>
          </cell>
        </row>
        <row r="51">
          <cell r="A51" t="str">
            <v/>
          </cell>
          <cell r="B51" t="str">
            <v/>
          </cell>
          <cell r="C51" t="str">
            <v/>
          </cell>
          <cell r="D51" t="str">
            <v xml:space="preserve"> </v>
          </cell>
          <cell r="E51" t="b">
            <v>0</v>
          </cell>
          <cell r="F51" t="b">
            <v>0</v>
          </cell>
          <cell r="G51" t="b">
            <v>0</v>
          </cell>
          <cell r="I51">
            <v>1</v>
          </cell>
          <cell r="AG51">
            <v>0</v>
          </cell>
          <cell r="AM51">
            <v>0</v>
          </cell>
          <cell r="AO51">
            <v>0</v>
          </cell>
        </row>
        <row r="52">
          <cell r="A52" t="str">
            <v/>
          </cell>
          <cell r="B52" t="str">
            <v/>
          </cell>
          <cell r="C52" t="str">
            <v/>
          </cell>
          <cell r="D52" t="str">
            <v xml:space="preserve"> </v>
          </cell>
          <cell r="E52" t="b">
            <v>0</v>
          </cell>
          <cell r="F52" t="b">
            <v>0</v>
          </cell>
          <cell r="G52" t="b">
            <v>0</v>
          </cell>
          <cell r="I52">
            <v>1</v>
          </cell>
          <cell r="AG52">
            <v>0</v>
          </cell>
          <cell r="AM52">
            <v>0</v>
          </cell>
          <cell r="AO52">
            <v>0</v>
          </cell>
        </row>
        <row r="53">
          <cell r="A53" t="str">
            <v/>
          </cell>
          <cell r="B53" t="str">
            <v/>
          </cell>
          <cell r="C53" t="str">
            <v/>
          </cell>
          <cell r="D53" t="str">
            <v xml:space="preserve"> </v>
          </cell>
          <cell r="E53" t="b">
            <v>0</v>
          </cell>
          <cell r="F53" t="b">
            <v>0</v>
          </cell>
          <cell r="G53" t="b">
            <v>0</v>
          </cell>
          <cell r="I53">
            <v>1</v>
          </cell>
          <cell r="AG53">
            <v>0</v>
          </cell>
          <cell r="AM53">
            <v>0</v>
          </cell>
          <cell r="AO53">
            <v>0</v>
          </cell>
        </row>
        <row r="54">
          <cell r="A54" t="str">
            <v/>
          </cell>
          <cell r="B54" t="str">
            <v/>
          </cell>
          <cell r="C54" t="str">
            <v/>
          </cell>
          <cell r="D54" t="str">
            <v xml:space="preserve"> </v>
          </cell>
          <cell r="E54" t="b">
            <v>0</v>
          </cell>
          <cell r="F54" t="b">
            <v>0</v>
          </cell>
          <cell r="G54" t="b">
            <v>0</v>
          </cell>
          <cell r="I54">
            <v>1</v>
          </cell>
          <cell r="AG54">
            <v>0</v>
          </cell>
          <cell r="AM54">
            <v>0</v>
          </cell>
          <cell r="AO54">
            <v>0</v>
          </cell>
        </row>
        <row r="55">
          <cell r="A55" t="str">
            <v/>
          </cell>
          <cell r="B55" t="str">
            <v/>
          </cell>
          <cell r="C55" t="str">
            <v/>
          </cell>
          <cell r="D55" t="str">
            <v xml:space="preserve"> </v>
          </cell>
          <cell r="E55" t="b">
            <v>0</v>
          </cell>
          <cell r="F55" t="b">
            <v>0</v>
          </cell>
          <cell r="G55" t="b">
            <v>0</v>
          </cell>
          <cell r="I55">
            <v>1</v>
          </cell>
          <cell r="AG55">
            <v>0</v>
          </cell>
          <cell r="AM55">
            <v>0</v>
          </cell>
          <cell r="AO55">
            <v>0</v>
          </cell>
        </row>
        <row r="56">
          <cell r="A56" t="str">
            <v/>
          </cell>
          <cell r="B56" t="str">
            <v/>
          </cell>
          <cell r="C56" t="str">
            <v/>
          </cell>
          <cell r="D56" t="str">
            <v xml:space="preserve"> </v>
          </cell>
          <cell r="E56" t="b">
            <v>0</v>
          </cell>
          <cell r="F56" t="b">
            <v>0</v>
          </cell>
          <cell r="G56" t="b">
            <v>0</v>
          </cell>
          <cell r="I56">
            <v>1</v>
          </cell>
          <cell r="AG56">
            <v>0</v>
          </cell>
          <cell r="AM56">
            <v>0</v>
          </cell>
          <cell r="AO56">
            <v>0</v>
          </cell>
        </row>
        <row r="57">
          <cell r="A57" t="str">
            <v>View Additional Rows for More Entities</v>
          </cell>
          <cell r="D57" t="str">
            <v xml:space="preserve"> </v>
          </cell>
        </row>
        <row r="58">
          <cell r="B58" t="str">
            <v>Enter Other Compliance Services:</v>
          </cell>
          <cell r="D58" t="str">
            <v xml:space="preserve"> </v>
          </cell>
        </row>
        <row r="59">
          <cell r="A59" t="str">
            <v/>
          </cell>
          <cell r="B59" t="str">
            <v>Income Tax Extensions</v>
          </cell>
          <cell r="C59" t="str">
            <v>Prorated on Returns</v>
          </cell>
          <cell r="D59" t="str">
            <v xml:space="preserve"> </v>
          </cell>
          <cell r="E59" t="b">
            <v>0</v>
          </cell>
          <cell r="F59" t="b">
            <v>0</v>
          </cell>
          <cell r="G59" t="b">
            <v>0</v>
          </cell>
          <cell r="I59">
            <v>1</v>
          </cell>
          <cell r="AG59">
            <v>0</v>
          </cell>
          <cell r="AM59">
            <v>0</v>
          </cell>
          <cell r="AO59">
            <v>2000</v>
          </cell>
        </row>
        <row r="60">
          <cell r="A60" t="str">
            <v/>
          </cell>
          <cell r="B60" t="str">
            <v>Quarterly Estimated Tax Calculations</v>
          </cell>
          <cell r="C60" t="str">
            <v>Prorated on Returns</v>
          </cell>
          <cell r="D60" t="str">
            <v xml:space="preserve"> </v>
          </cell>
          <cell r="E60" t="b">
            <v>0</v>
          </cell>
          <cell r="F60" t="b">
            <v>0</v>
          </cell>
          <cell r="G60" t="b">
            <v>0</v>
          </cell>
          <cell r="I60">
            <v>1</v>
          </cell>
          <cell r="AG60">
            <v>0</v>
          </cell>
          <cell r="AM60">
            <v>0</v>
          </cell>
          <cell r="AO60">
            <v>0</v>
          </cell>
        </row>
        <row r="61">
          <cell r="A61" t="str">
            <v/>
          </cell>
          <cell r="B61" t="str">
            <v>Tax Provisions &amp; Memo</v>
          </cell>
          <cell r="C61" t="str">
            <v>Prorated on Returns</v>
          </cell>
          <cell r="D61" t="str">
            <v xml:space="preserve"> </v>
          </cell>
          <cell r="E61" t="b">
            <v>0</v>
          </cell>
          <cell r="F61" t="b">
            <v>0</v>
          </cell>
          <cell r="G61" t="b">
            <v>0</v>
          </cell>
          <cell r="I61">
            <v>1</v>
          </cell>
          <cell r="AG61">
            <v>0</v>
          </cell>
          <cell r="AM61">
            <v>0</v>
          </cell>
          <cell r="AO61">
            <v>20000</v>
          </cell>
        </row>
        <row r="62">
          <cell r="A62" t="str">
            <v/>
          </cell>
          <cell r="B62" t="str">
            <v>Partner Withdrawals / Redemptions / Step Ups</v>
          </cell>
          <cell r="C62" t="str">
            <v>Prorated on Returns</v>
          </cell>
          <cell r="D62" t="str">
            <v xml:space="preserve"> </v>
          </cell>
          <cell r="E62" t="b">
            <v>0</v>
          </cell>
          <cell r="F62" t="b">
            <v>0</v>
          </cell>
          <cell r="G62" t="b">
            <v>0</v>
          </cell>
          <cell r="I62">
            <v>1</v>
          </cell>
          <cell r="AG62">
            <v>0</v>
          </cell>
          <cell r="AM62">
            <v>0</v>
          </cell>
          <cell r="AO62">
            <v>0</v>
          </cell>
        </row>
        <row r="63">
          <cell r="A63" t="str">
            <v/>
          </cell>
          <cell r="B63" t="str">
            <v>199A Deduction and Analysis</v>
          </cell>
          <cell r="C63" t="str">
            <v>Prorated on Returns</v>
          </cell>
          <cell r="D63" t="str">
            <v xml:space="preserve"> </v>
          </cell>
          <cell r="E63" t="b">
            <v>0</v>
          </cell>
          <cell r="F63" t="b">
            <v>0</v>
          </cell>
          <cell r="G63" t="b">
            <v>0</v>
          </cell>
          <cell r="I63">
            <v>1</v>
          </cell>
          <cell r="AG63">
            <v>0</v>
          </cell>
          <cell r="AM63">
            <v>0</v>
          </cell>
          <cell r="AO63">
            <v>0</v>
          </cell>
        </row>
        <row r="64">
          <cell r="A64" t="str">
            <v/>
          </cell>
          <cell r="B64" t="str">
            <v>K-1 delivery to investors using preferred delivery methodology</v>
          </cell>
          <cell r="C64" t="str">
            <v>Prorated on Returns</v>
          </cell>
          <cell r="D64" t="str">
            <v xml:space="preserve"> </v>
          </cell>
          <cell r="E64" t="b">
            <v>0</v>
          </cell>
          <cell r="F64" t="b">
            <v>0</v>
          </cell>
          <cell r="G64" t="b">
            <v>0</v>
          </cell>
          <cell r="I64">
            <v>1</v>
          </cell>
          <cell r="AG64">
            <v>0</v>
          </cell>
          <cell r="AM64">
            <v>0</v>
          </cell>
          <cell r="AO64">
            <v>0</v>
          </cell>
        </row>
        <row r="65">
          <cell r="A65" t="str">
            <v/>
          </cell>
          <cell r="B65" t="str">
            <v>Estimated K-1s for investors</v>
          </cell>
          <cell r="C65" t="str">
            <v>Prorated on Returns</v>
          </cell>
          <cell r="D65" t="str">
            <v xml:space="preserve"> </v>
          </cell>
          <cell r="E65" t="b">
            <v>0</v>
          </cell>
          <cell r="F65" t="b">
            <v>0</v>
          </cell>
          <cell r="G65" t="b">
            <v>0</v>
          </cell>
          <cell r="I65">
            <v>1</v>
          </cell>
          <cell r="AG65">
            <v>0</v>
          </cell>
          <cell r="AM65">
            <v>0</v>
          </cell>
          <cell r="AO65">
            <v>0</v>
          </cell>
        </row>
        <row r="66">
          <cell r="A66" t="str">
            <v/>
          </cell>
          <cell r="B66" t="str">
            <v>Special Allocations</v>
          </cell>
          <cell r="C66" t="str">
            <v>Prorated on Returns</v>
          </cell>
          <cell r="D66" t="str">
            <v xml:space="preserve"> </v>
          </cell>
          <cell r="E66" t="b">
            <v>0</v>
          </cell>
          <cell r="F66" t="b">
            <v>0</v>
          </cell>
          <cell r="G66" t="b">
            <v>0</v>
          </cell>
          <cell r="I66">
            <v>1</v>
          </cell>
          <cell r="AG66">
            <v>0</v>
          </cell>
          <cell r="AM66">
            <v>0</v>
          </cell>
          <cell r="AO66">
            <v>0</v>
          </cell>
        </row>
        <row r="67">
          <cell r="A67" t="str">
            <v/>
          </cell>
          <cell r="B67" t="str">
            <v>Partner Returns</v>
          </cell>
          <cell r="C67" t="str">
            <v>Prorated on Returns</v>
          </cell>
          <cell r="D67" t="str">
            <v xml:space="preserve"> </v>
          </cell>
          <cell r="E67" t="b">
            <v>0</v>
          </cell>
          <cell r="F67" t="b">
            <v>0</v>
          </cell>
          <cell r="G67" t="b">
            <v>0</v>
          </cell>
          <cell r="I67">
            <v>1</v>
          </cell>
          <cell r="AG67">
            <v>0</v>
          </cell>
          <cell r="AM67">
            <v>0</v>
          </cell>
          <cell r="AO67">
            <v>0</v>
          </cell>
        </row>
        <row r="68">
          <cell r="A68" t="str">
            <v/>
          </cell>
          <cell r="B68" t="str">
            <v>Depreciation Work (no details)</v>
          </cell>
          <cell r="C68" t="str">
            <v>Prorated on Returns</v>
          </cell>
          <cell r="D68" t="str">
            <v xml:space="preserve"> </v>
          </cell>
          <cell r="E68" t="b">
            <v>0</v>
          </cell>
          <cell r="F68" t="b">
            <v>0</v>
          </cell>
          <cell r="G68" t="b">
            <v>0</v>
          </cell>
          <cell r="I68">
            <v>1</v>
          </cell>
          <cell r="AG68">
            <v>0</v>
          </cell>
          <cell r="AM68">
            <v>0</v>
          </cell>
          <cell r="AO68">
            <v>0</v>
          </cell>
        </row>
        <row r="69">
          <cell r="A69" t="str">
            <v/>
          </cell>
          <cell r="B69" t="str">
            <v>1031 Exchange (Real Estate)</v>
          </cell>
          <cell r="C69" t="str">
            <v>Prorated on Returns</v>
          </cell>
          <cell r="D69" t="str">
            <v xml:space="preserve"> </v>
          </cell>
          <cell r="E69" t="b">
            <v>0</v>
          </cell>
          <cell r="F69" t="b">
            <v>0</v>
          </cell>
          <cell r="G69" t="b">
            <v>0</v>
          </cell>
          <cell r="I69">
            <v>1</v>
          </cell>
          <cell r="AG69">
            <v>0</v>
          </cell>
          <cell r="AM69">
            <v>0</v>
          </cell>
          <cell r="AO69">
            <v>0</v>
          </cell>
        </row>
        <row r="70">
          <cell r="A70" t="str">
            <v/>
          </cell>
          <cell r="B70" t="str">
            <v>1042 Filings (PE)</v>
          </cell>
          <cell r="C70" t="str">
            <v>Prorated on Returns</v>
          </cell>
          <cell r="D70" t="str">
            <v xml:space="preserve"> </v>
          </cell>
          <cell r="E70" t="b">
            <v>0</v>
          </cell>
          <cell r="F70" t="b">
            <v>0</v>
          </cell>
          <cell r="G70" t="b">
            <v>0</v>
          </cell>
          <cell r="I70">
            <v>1</v>
          </cell>
          <cell r="AG70">
            <v>0</v>
          </cell>
          <cell r="AM70">
            <v>0</v>
          </cell>
          <cell r="AO70">
            <v>0</v>
          </cell>
        </row>
        <row r="71">
          <cell r="A71" t="str">
            <v/>
          </cell>
          <cell r="B71" t="str">
            <v>International Activity K3s (PE)</v>
          </cell>
          <cell r="C71" t="str">
            <v>Prorated on Returns</v>
          </cell>
          <cell r="D71" t="str">
            <v xml:space="preserve"> </v>
          </cell>
          <cell r="E71" t="b">
            <v>0</v>
          </cell>
          <cell r="F71" t="b">
            <v>0</v>
          </cell>
          <cell r="G71" t="b">
            <v>0</v>
          </cell>
          <cell r="I71">
            <v>1</v>
          </cell>
          <cell r="AG71">
            <v>0</v>
          </cell>
          <cell r="AM71">
            <v>0</v>
          </cell>
          <cell r="AO71">
            <v>0</v>
          </cell>
        </row>
        <row r="72">
          <cell r="A72" t="str">
            <v/>
          </cell>
          <cell r="C72" t="str">
            <v>Prorated on Returns</v>
          </cell>
          <cell r="D72" t="str">
            <v xml:space="preserve"> </v>
          </cell>
          <cell r="E72" t="b">
            <v>0</v>
          </cell>
          <cell r="F72" t="b">
            <v>0</v>
          </cell>
          <cell r="G72" t="b">
            <v>0</v>
          </cell>
          <cell r="I72">
            <v>1</v>
          </cell>
          <cell r="AG72">
            <v>0</v>
          </cell>
          <cell r="AM72">
            <v>0</v>
          </cell>
          <cell r="AO72">
            <v>0</v>
          </cell>
        </row>
        <row r="73">
          <cell r="A73" t="str">
            <v/>
          </cell>
          <cell r="C73" t="str">
            <v>Prorated on Returns</v>
          </cell>
          <cell r="D73" t="str">
            <v xml:space="preserve"> </v>
          </cell>
          <cell r="E73" t="b">
            <v>0</v>
          </cell>
          <cell r="F73" t="b">
            <v>0</v>
          </cell>
          <cell r="G73" t="b">
            <v>0</v>
          </cell>
          <cell r="I73">
            <v>1</v>
          </cell>
          <cell r="AG73">
            <v>0</v>
          </cell>
          <cell r="AM73">
            <v>0</v>
          </cell>
          <cell r="AO73">
            <v>0</v>
          </cell>
        </row>
        <row r="74">
          <cell r="A74" t="str">
            <v/>
          </cell>
          <cell r="C74" t="str">
            <v>Prorated on Returns</v>
          </cell>
          <cell r="D74" t="str">
            <v xml:space="preserve"> </v>
          </cell>
          <cell r="E74" t="b">
            <v>0</v>
          </cell>
          <cell r="F74" t="b">
            <v>0</v>
          </cell>
          <cell r="G74" t="b">
            <v>0</v>
          </cell>
          <cell r="I74">
            <v>1</v>
          </cell>
          <cell r="AG74">
            <v>0</v>
          </cell>
          <cell r="AM74">
            <v>0</v>
          </cell>
          <cell r="AO74">
            <v>0</v>
          </cell>
        </row>
        <row r="75">
          <cell r="A75" t="str">
            <v/>
          </cell>
          <cell r="C75" t="str">
            <v>Prorated on Returns</v>
          </cell>
          <cell r="D75" t="str">
            <v xml:space="preserve"> </v>
          </cell>
          <cell r="E75" t="b">
            <v>0</v>
          </cell>
          <cell r="F75" t="b">
            <v>0</v>
          </cell>
          <cell r="G75" t="b">
            <v>0</v>
          </cell>
          <cell r="I75">
            <v>1</v>
          </cell>
          <cell r="AG75">
            <v>0</v>
          </cell>
          <cell r="AM75">
            <v>0</v>
          </cell>
          <cell r="AO75">
            <v>0</v>
          </cell>
        </row>
        <row r="76">
          <cell r="A76" t="str">
            <v/>
          </cell>
          <cell r="C76" t="str">
            <v>Prorated on Returns</v>
          </cell>
          <cell r="D76" t="str">
            <v xml:space="preserve"> </v>
          </cell>
          <cell r="E76" t="b">
            <v>0</v>
          </cell>
          <cell r="F76" t="b">
            <v>0</v>
          </cell>
          <cell r="G76" t="b">
            <v>0</v>
          </cell>
          <cell r="I76">
            <v>1</v>
          </cell>
          <cell r="AG76">
            <v>0</v>
          </cell>
          <cell r="AM76">
            <v>0</v>
          </cell>
          <cell r="AO76">
            <v>0</v>
          </cell>
        </row>
        <row r="77">
          <cell r="A77" t="str">
            <v/>
          </cell>
          <cell r="C77" t="str">
            <v>Prorated on Returns</v>
          </cell>
          <cell r="D77" t="str">
            <v xml:space="preserve"> </v>
          </cell>
          <cell r="E77" t="b">
            <v>0</v>
          </cell>
          <cell r="F77" t="b">
            <v>0</v>
          </cell>
          <cell r="G77" t="b">
            <v>0</v>
          </cell>
          <cell r="I77">
            <v>1</v>
          </cell>
          <cell r="AG77">
            <v>0</v>
          </cell>
          <cell r="AM77">
            <v>0</v>
          </cell>
          <cell r="AO77">
            <v>0</v>
          </cell>
        </row>
        <row r="78">
          <cell r="A78" t="str">
            <v/>
          </cell>
          <cell r="C78" t="str">
            <v>Prorated on Returns</v>
          </cell>
          <cell r="D78" t="str">
            <v xml:space="preserve"> </v>
          </cell>
          <cell r="E78" t="b">
            <v>0</v>
          </cell>
          <cell r="F78" t="b">
            <v>0</v>
          </cell>
          <cell r="G78" t="b">
            <v>0</v>
          </cell>
          <cell r="I78">
            <v>1</v>
          </cell>
          <cell r="AG78">
            <v>0</v>
          </cell>
          <cell r="AM78">
            <v>0</v>
          </cell>
          <cell r="AO78">
            <v>0</v>
          </cell>
        </row>
        <row r="79">
          <cell r="A79" t="str">
            <v/>
          </cell>
          <cell r="C79" t="str">
            <v>Prorated on Returns</v>
          </cell>
          <cell r="D79" t="str">
            <v xml:space="preserve"> </v>
          </cell>
          <cell r="E79" t="b">
            <v>0</v>
          </cell>
          <cell r="F79" t="b">
            <v>0</v>
          </cell>
          <cell r="G79" t="b">
            <v>0</v>
          </cell>
          <cell r="I79">
            <v>1</v>
          </cell>
          <cell r="AG79">
            <v>0</v>
          </cell>
          <cell r="AM79">
            <v>0</v>
          </cell>
          <cell r="AO79">
            <v>0</v>
          </cell>
        </row>
        <row r="80">
          <cell r="A80" t="str">
            <v/>
          </cell>
          <cell r="C80" t="str">
            <v>Prorated on Returns</v>
          </cell>
          <cell r="D80" t="str">
            <v xml:space="preserve"> </v>
          </cell>
          <cell r="E80" t="b">
            <v>0</v>
          </cell>
          <cell r="F80" t="b">
            <v>0</v>
          </cell>
          <cell r="G80" t="b">
            <v>0</v>
          </cell>
          <cell r="I80">
            <v>1</v>
          </cell>
          <cell r="AG80">
            <v>0</v>
          </cell>
          <cell r="AM80">
            <v>0</v>
          </cell>
          <cell r="AO80">
            <v>0</v>
          </cell>
        </row>
        <row r="81">
          <cell r="A81" t="str">
            <v/>
          </cell>
          <cell r="C81" t="str">
            <v>Prorated on Returns</v>
          </cell>
          <cell r="D81" t="str">
            <v xml:space="preserve"> </v>
          </cell>
          <cell r="E81" t="b">
            <v>0</v>
          </cell>
          <cell r="F81" t="b">
            <v>0</v>
          </cell>
          <cell r="G81" t="b">
            <v>0</v>
          </cell>
          <cell r="I81">
            <v>1</v>
          </cell>
          <cell r="AG81">
            <v>0</v>
          </cell>
          <cell r="AM81">
            <v>0</v>
          </cell>
          <cell r="AO81">
            <v>0</v>
          </cell>
        </row>
        <row r="82">
          <cell r="A82" t="str">
            <v/>
          </cell>
          <cell r="C82" t="str">
            <v>Prorated on Returns</v>
          </cell>
          <cell r="D82" t="str">
            <v xml:space="preserve"> </v>
          </cell>
          <cell r="E82" t="b">
            <v>0</v>
          </cell>
          <cell r="F82" t="b">
            <v>0</v>
          </cell>
          <cell r="G82" t="b">
            <v>0</v>
          </cell>
          <cell r="I82">
            <v>1</v>
          </cell>
          <cell r="AG82">
            <v>0</v>
          </cell>
          <cell r="AM82">
            <v>0</v>
          </cell>
          <cell r="AO82">
            <v>0</v>
          </cell>
        </row>
        <row r="83">
          <cell r="A83" t="str">
            <v/>
          </cell>
          <cell r="C83" t="str">
            <v>Prorated on Returns</v>
          </cell>
          <cell r="D83" t="str">
            <v xml:space="preserve"> </v>
          </cell>
          <cell r="E83" t="b">
            <v>0</v>
          </cell>
          <cell r="F83" t="b">
            <v>0</v>
          </cell>
          <cell r="G83" t="b">
            <v>0</v>
          </cell>
          <cell r="I83">
            <v>1</v>
          </cell>
          <cell r="AG83">
            <v>0</v>
          </cell>
          <cell r="AM83">
            <v>0</v>
          </cell>
          <cell r="AO83">
            <v>0</v>
          </cell>
        </row>
        <row r="84">
          <cell r="A84" t="str">
            <v/>
          </cell>
          <cell r="C84" t="str">
            <v>Prorated on Returns</v>
          </cell>
          <cell r="D84" t="str">
            <v xml:space="preserve"> </v>
          </cell>
          <cell r="E84" t="b">
            <v>0</v>
          </cell>
          <cell r="F84" t="b">
            <v>0</v>
          </cell>
          <cell r="G84" t="b">
            <v>0</v>
          </cell>
          <cell r="I84">
            <v>1</v>
          </cell>
          <cell r="AG84">
            <v>0</v>
          </cell>
          <cell r="AM84">
            <v>0</v>
          </cell>
          <cell r="AO84">
            <v>0</v>
          </cell>
        </row>
        <row r="85">
          <cell r="A85" t="str">
            <v/>
          </cell>
          <cell r="C85" t="str">
            <v>Prorated on Returns</v>
          </cell>
          <cell r="D85" t="str">
            <v xml:space="preserve"> </v>
          </cell>
          <cell r="E85" t="b">
            <v>0</v>
          </cell>
          <cell r="F85" t="b">
            <v>0</v>
          </cell>
          <cell r="G85" t="b">
            <v>0</v>
          </cell>
          <cell r="I85">
            <v>1</v>
          </cell>
          <cell r="AG85">
            <v>0</v>
          </cell>
          <cell r="AM85">
            <v>0</v>
          </cell>
          <cell r="AO85">
            <v>0</v>
          </cell>
        </row>
        <row r="86">
          <cell r="A86" t="str">
            <v/>
          </cell>
          <cell r="C86" t="str">
            <v>Prorated on Returns</v>
          </cell>
          <cell r="D86" t="str">
            <v xml:space="preserve"> </v>
          </cell>
          <cell r="E86" t="b">
            <v>0</v>
          </cell>
          <cell r="F86" t="b">
            <v>0</v>
          </cell>
          <cell r="G86" t="b">
            <v>0</v>
          </cell>
          <cell r="I86">
            <v>1</v>
          </cell>
          <cell r="AG86">
            <v>0</v>
          </cell>
          <cell r="AM86">
            <v>0</v>
          </cell>
          <cell r="AO86">
            <v>0</v>
          </cell>
        </row>
        <row r="87">
          <cell r="A87" t="str">
            <v/>
          </cell>
          <cell r="C87" t="str">
            <v>Prorated on Returns</v>
          </cell>
          <cell r="D87" t="str">
            <v xml:space="preserve"> </v>
          </cell>
          <cell r="E87" t="b">
            <v>0</v>
          </cell>
          <cell r="F87" t="b">
            <v>0</v>
          </cell>
          <cell r="G87" t="b">
            <v>0</v>
          </cell>
          <cell r="I87">
            <v>1</v>
          </cell>
          <cell r="AG87">
            <v>0</v>
          </cell>
          <cell r="AM87">
            <v>0</v>
          </cell>
          <cell r="AO87">
            <v>0</v>
          </cell>
        </row>
        <row r="88">
          <cell r="A88" t="str">
            <v/>
          </cell>
          <cell r="C88" t="str">
            <v>Prorated on Returns</v>
          </cell>
          <cell r="D88" t="str">
            <v xml:space="preserve"> </v>
          </cell>
          <cell r="E88" t="b">
            <v>0</v>
          </cell>
          <cell r="F88" t="b">
            <v>0</v>
          </cell>
          <cell r="G88" t="b">
            <v>0</v>
          </cell>
          <cell r="I88">
            <v>1</v>
          </cell>
          <cell r="AG88">
            <v>0</v>
          </cell>
          <cell r="AM88">
            <v>0</v>
          </cell>
          <cell r="AO88">
            <v>0</v>
          </cell>
        </row>
        <row r="89">
          <cell r="A89" t="str">
            <v/>
          </cell>
          <cell r="C89" t="str">
            <v>Prorated on Returns</v>
          </cell>
          <cell r="D89" t="str">
            <v xml:space="preserve"> </v>
          </cell>
          <cell r="E89" t="b">
            <v>0</v>
          </cell>
          <cell r="F89" t="b">
            <v>0</v>
          </cell>
          <cell r="G89" t="b">
            <v>0</v>
          </cell>
          <cell r="I89">
            <v>1</v>
          </cell>
          <cell r="AG89">
            <v>0</v>
          </cell>
          <cell r="AM89">
            <v>0</v>
          </cell>
          <cell r="AO89">
            <v>0</v>
          </cell>
        </row>
        <row r="90">
          <cell r="A90" t="str">
            <v/>
          </cell>
          <cell r="C90" t="str">
            <v>Prorated on Returns</v>
          </cell>
          <cell r="D90" t="str">
            <v xml:space="preserve"> </v>
          </cell>
          <cell r="E90" t="b">
            <v>0</v>
          </cell>
          <cell r="F90" t="b">
            <v>0</v>
          </cell>
          <cell r="G90" t="b">
            <v>0</v>
          </cell>
          <cell r="I90">
            <v>1</v>
          </cell>
          <cell r="AG90">
            <v>0</v>
          </cell>
          <cell r="AM90">
            <v>0</v>
          </cell>
          <cell r="AO90">
            <v>0</v>
          </cell>
        </row>
        <row r="91">
          <cell r="A91" t="str">
            <v/>
          </cell>
          <cell r="C91" t="str">
            <v>Prorated on Returns</v>
          </cell>
          <cell r="D91" t="str">
            <v xml:space="preserve"> </v>
          </cell>
          <cell r="E91" t="b">
            <v>0</v>
          </cell>
          <cell r="F91" t="b">
            <v>0</v>
          </cell>
          <cell r="G91" t="b">
            <v>0</v>
          </cell>
          <cell r="I91">
            <v>1</v>
          </cell>
          <cell r="AG91">
            <v>0</v>
          </cell>
          <cell r="AM91">
            <v>0</v>
          </cell>
          <cell r="AO91">
            <v>0</v>
          </cell>
        </row>
        <row r="92">
          <cell r="A92" t="str">
            <v/>
          </cell>
          <cell r="C92" t="str">
            <v>Prorated on Returns</v>
          </cell>
          <cell r="D92" t="str">
            <v xml:space="preserve"> </v>
          </cell>
          <cell r="E92" t="b">
            <v>0</v>
          </cell>
          <cell r="F92" t="b">
            <v>0</v>
          </cell>
          <cell r="G92" t="b">
            <v>0</v>
          </cell>
          <cell r="I92">
            <v>1</v>
          </cell>
          <cell r="AG92">
            <v>0</v>
          </cell>
          <cell r="AM92">
            <v>0</v>
          </cell>
          <cell r="AO92">
            <v>0</v>
          </cell>
        </row>
        <row r="93">
          <cell r="A93" t="str">
            <v/>
          </cell>
          <cell r="C93" t="str">
            <v>Prorated on Returns</v>
          </cell>
          <cell r="D93" t="str">
            <v xml:space="preserve"> </v>
          </cell>
          <cell r="E93" t="b">
            <v>0</v>
          </cell>
          <cell r="F93" t="b">
            <v>0</v>
          </cell>
          <cell r="G93" t="b">
            <v>0</v>
          </cell>
          <cell r="I93">
            <v>1</v>
          </cell>
          <cell r="AG93">
            <v>0</v>
          </cell>
          <cell r="AM93">
            <v>0</v>
          </cell>
          <cell r="AO93">
            <v>0</v>
          </cell>
        </row>
        <row r="94">
          <cell r="A94" t="str">
            <v>View Additional Rows for More Entries</v>
          </cell>
          <cell r="D94" t="str">
            <v xml:space="preserve"> </v>
          </cell>
        </row>
        <row r="95">
          <cell r="B95" t="str">
            <v>Enter Non-Compliance Services:</v>
          </cell>
          <cell r="D95" t="str">
            <v xml:space="preserve"> </v>
          </cell>
        </row>
        <row r="96">
          <cell r="A96" t="str">
            <v/>
          </cell>
          <cell r="B96" t="str">
            <v>Year End Planning and PTET Considerations</v>
          </cell>
          <cell r="C96" t="str">
            <v>Prorated on Returns</v>
          </cell>
          <cell r="D96" t="str">
            <v xml:space="preserve"> </v>
          </cell>
          <cell r="E96" t="b">
            <v>0</v>
          </cell>
          <cell r="F96" t="b">
            <v>0</v>
          </cell>
          <cell r="G96" t="b">
            <v>0</v>
          </cell>
          <cell r="I96">
            <v>1</v>
          </cell>
          <cell r="AG96">
            <v>0</v>
          </cell>
          <cell r="AM96">
            <v>0</v>
          </cell>
          <cell r="AO96">
            <v>0</v>
          </cell>
        </row>
        <row r="97">
          <cell r="A97" t="str">
            <v/>
          </cell>
          <cell r="B97" t="str">
            <v>General Consulting</v>
          </cell>
          <cell r="C97" t="str">
            <v>Prorated on Returns</v>
          </cell>
          <cell r="D97" t="str">
            <v xml:space="preserve"> </v>
          </cell>
          <cell r="E97" t="b">
            <v>0</v>
          </cell>
          <cell r="F97" t="b">
            <v>0</v>
          </cell>
          <cell r="G97" t="b">
            <v>0</v>
          </cell>
          <cell r="I97">
            <v>1</v>
          </cell>
          <cell r="AG97">
            <v>0</v>
          </cell>
          <cell r="AM97">
            <v>0</v>
          </cell>
          <cell r="AO97">
            <v>0</v>
          </cell>
        </row>
        <row r="98">
          <cell r="A98" t="str">
            <v/>
          </cell>
          <cell r="B98" t="str">
            <v>Update Meetings - Quarterly</v>
          </cell>
          <cell r="C98" t="str">
            <v>Prorated on Returns</v>
          </cell>
          <cell r="D98" t="str">
            <v xml:space="preserve"> </v>
          </cell>
          <cell r="E98" t="b">
            <v>0</v>
          </cell>
          <cell r="F98" t="b">
            <v>0</v>
          </cell>
          <cell r="G98" t="b">
            <v>0</v>
          </cell>
          <cell r="I98">
            <v>4</v>
          </cell>
          <cell r="AG98">
            <v>0</v>
          </cell>
          <cell r="AM98">
            <v>0</v>
          </cell>
          <cell r="AO98">
            <v>0</v>
          </cell>
        </row>
        <row r="99">
          <cell r="A99" t="str">
            <v/>
          </cell>
          <cell r="B99" t="str">
            <v>Additional Update Meetings - Monthly</v>
          </cell>
          <cell r="C99" t="str">
            <v>Prorated on Returns</v>
          </cell>
          <cell r="D99" t="str">
            <v xml:space="preserve"> </v>
          </cell>
          <cell r="E99" t="b">
            <v>0</v>
          </cell>
          <cell r="F99" t="b">
            <v>0</v>
          </cell>
          <cell r="G99" t="b">
            <v>0</v>
          </cell>
          <cell r="I99">
            <v>8</v>
          </cell>
          <cell r="AG99">
            <v>0</v>
          </cell>
          <cell r="AM99">
            <v>0</v>
          </cell>
          <cell r="AO99">
            <v>0</v>
          </cell>
        </row>
        <row r="100">
          <cell r="A100" t="str">
            <v/>
          </cell>
          <cell r="B100" t="str">
            <v>Income / State Notice Review and Response</v>
          </cell>
          <cell r="C100" t="str">
            <v>Prorated on Returns</v>
          </cell>
          <cell r="D100" t="str">
            <v xml:space="preserve"> </v>
          </cell>
          <cell r="E100" t="b">
            <v>0</v>
          </cell>
          <cell r="F100" t="b">
            <v>0</v>
          </cell>
          <cell r="G100" t="b">
            <v>0</v>
          </cell>
          <cell r="I100">
            <v>1</v>
          </cell>
          <cell r="AG100">
            <v>0</v>
          </cell>
          <cell r="AM100">
            <v>0</v>
          </cell>
          <cell r="AO100">
            <v>0</v>
          </cell>
        </row>
        <row r="101">
          <cell r="A101" t="str">
            <v/>
          </cell>
          <cell r="B101" t="str">
            <v>Routine AJEs</v>
          </cell>
          <cell r="C101" t="str">
            <v>Prorated on Returns</v>
          </cell>
          <cell r="D101" t="str">
            <v xml:space="preserve"> </v>
          </cell>
          <cell r="E101" t="b">
            <v>0</v>
          </cell>
          <cell r="F101" t="b">
            <v>0</v>
          </cell>
          <cell r="G101" t="b">
            <v>0</v>
          </cell>
          <cell r="I101">
            <v>1</v>
          </cell>
          <cell r="AG101">
            <v>0</v>
          </cell>
          <cell r="AM101">
            <v>0</v>
          </cell>
          <cell r="AO101">
            <v>0</v>
          </cell>
        </row>
        <row r="102">
          <cell r="A102" t="str">
            <v/>
          </cell>
          <cell r="B102" t="str">
            <v>Account Clean Up</v>
          </cell>
          <cell r="C102" t="str">
            <v>Prorated on Returns</v>
          </cell>
          <cell r="D102" t="str">
            <v xml:space="preserve"> </v>
          </cell>
          <cell r="E102" t="b">
            <v>0</v>
          </cell>
          <cell r="F102" t="b">
            <v>0</v>
          </cell>
          <cell r="G102" t="b">
            <v>0</v>
          </cell>
          <cell r="I102">
            <v>1</v>
          </cell>
          <cell r="AG102">
            <v>0</v>
          </cell>
          <cell r="AM102">
            <v>0</v>
          </cell>
          <cell r="AO102">
            <v>0</v>
          </cell>
        </row>
        <row r="103">
          <cell r="A103" t="str">
            <v/>
          </cell>
          <cell r="B103" t="str">
            <v>Prior IRS / State Income Tax Notice Reviews</v>
          </cell>
          <cell r="C103" t="str">
            <v>Prorated on Returns</v>
          </cell>
          <cell r="D103" t="str">
            <v xml:space="preserve"> </v>
          </cell>
          <cell r="E103" t="b">
            <v>0</v>
          </cell>
          <cell r="F103" t="b">
            <v>0</v>
          </cell>
          <cell r="G103" t="b">
            <v>0</v>
          </cell>
          <cell r="I103">
            <v>1</v>
          </cell>
          <cell r="AG103">
            <v>0</v>
          </cell>
          <cell r="AM103">
            <v>0</v>
          </cell>
          <cell r="AO103">
            <v>0</v>
          </cell>
        </row>
        <row r="104">
          <cell r="A104" t="str">
            <v/>
          </cell>
          <cell r="B104" t="str">
            <v>Invitation to NextGenApp's 2025 Events &amp; Webinars</v>
          </cell>
          <cell r="C104" t="str">
            <v>Prorated on Returns</v>
          </cell>
          <cell r="D104" t="str">
            <v xml:space="preserve"> </v>
          </cell>
          <cell r="E104" t="b">
            <v>0</v>
          </cell>
          <cell r="F104" t="b">
            <v>0</v>
          </cell>
          <cell r="G104" t="b">
            <v>0</v>
          </cell>
          <cell r="I104">
            <v>1</v>
          </cell>
          <cell r="AG104">
            <v>0</v>
          </cell>
          <cell r="AM104">
            <v>0</v>
          </cell>
          <cell r="AO104">
            <v>0</v>
          </cell>
        </row>
        <row r="105">
          <cell r="A105" t="str">
            <v/>
          </cell>
          <cell r="B105" t="str">
            <v>* Year Round Access for Calls and Emails</v>
          </cell>
          <cell r="C105" t="str">
            <v>Prorated on Returns</v>
          </cell>
          <cell r="D105" t="str">
            <v xml:space="preserve"> </v>
          </cell>
          <cell r="E105" t="b">
            <v>0</v>
          </cell>
          <cell r="F105" t="b">
            <v>0</v>
          </cell>
          <cell r="G105" t="b">
            <v>0</v>
          </cell>
          <cell r="I105">
            <v>1</v>
          </cell>
          <cell r="AG105">
            <v>0</v>
          </cell>
          <cell r="AM105">
            <v>0</v>
          </cell>
          <cell r="AO105">
            <v>0</v>
          </cell>
        </row>
        <row r="106">
          <cell r="A106" t="str">
            <v/>
          </cell>
          <cell r="C106" t="str">
            <v>Prorated on Returns</v>
          </cell>
          <cell r="D106" t="str">
            <v xml:space="preserve"> </v>
          </cell>
          <cell r="E106" t="b">
            <v>0</v>
          </cell>
          <cell r="F106" t="b">
            <v>0</v>
          </cell>
          <cell r="G106" t="b">
            <v>0</v>
          </cell>
          <cell r="I106">
            <v>1</v>
          </cell>
          <cell r="AG106">
            <v>0</v>
          </cell>
          <cell r="AM106">
            <v>0</v>
          </cell>
          <cell r="AO106">
            <v>0</v>
          </cell>
        </row>
        <row r="107">
          <cell r="A107" t="str">
            <v/>
          </cell>
          <cell r="C107" t="str">
            <v>Prorated on Returns</v>
          </cell>
          <cell r="D107" t="str">
            <v xml:space="preserve"> </v>
          </cell>
          <cell r="E107" t="b">
            <v>0</v>
          </cell>
          <cell r="F107" t="b">
            <v>0</v>
          </cell>
          <cell r="G107" t="b">
            <v>0</v>
          </cell>
          <cell r="I107">
            <v>1</v>
          </cell>
          <cell r="AG107">
            <v>0</v>
          </cell>
          <cell r="AM107">
            <v>0</v>
          </cell>
          <cell r="AO107">
            <v>0</v>
          </cell>
        </row>
        <row r="108">
          <cell r="A108" t="str">
            <v/>
          </cell>
          <cell r="C108" t="str">
            <v>Prorated on Returns</v>
          </cell>
          <cell r="D108" t="str">
            <v xml:space="preserve"> </v>
          </cell>
          <cell r="E108" t="b">
            <v>0</v>
          </cell>
          <cell r="F108" t="b">
            <v>0</v>
          </cell>
          <cell r="G108" t="b">
            <v>0</v>
          </cell>
          <cell r="I108">
            <v>1</v>
          </cell>
          <cell r="AG108">
            <v>0</v>
          </cell>
          <cell r="AM108">
            <v>0</v>
          </cell>
          <cell r="AO108">
            <v>0</v>
          </cell>
        </row>
        <row r="109">
          <cell r="A109" t="str">
            <v/>
          </cell>
          <cell r="C109" t="str">
            <v>Prorated on Returns</v>
          </cell>
          <cell r="D109" t="str">
            <v xml:space="preserve"> </v>
          </cell>
          <cell r="E109" t="b">
            <v>0</v>
          </cell>
          <cell r="F109" t="b">
            <v>0</v>
          </cell>
          <cell r="G109" t="b">
            <v>0</v>
          </cell>
          <cell r="I109">
            <v>1</v>
          </cell>
          <cell r="AG109">
            <v>0</v>
          </cell>
          <cell r="AM109">
            <v>0</v>
          </cell>
          <cell r="AO109">
            <v>0</v>
          </cell>
        </row>
        <row r="110">
          <cell r="A110" t="str">
            <v/>
          </cell>
          <cell r="C110" t="str">
            <v>Prorated on Returns</v>
          </cell>
          <cell r="D110" t="str">
            <v xml:space="preserve"> </v>
          </cell>
          <cell r="E110" t="b">
            <v>0</v>
          </cell>
          <cell r="F110" t="b">
            <v>0</v>
          </cell>
          <cell r="G110" t="b">
            <v>0</v>
          </cell>
          <cell r="I110">
            <v>1</v>
          </cell>
          <cell r="AG110">
            <v>0</v>
          </cell>
          <cell r="AM110">
            <v>0</v>
          </cell>
          <cell r="AO110">
            <v>0</v>
          </cell>
        </row>
        <row r="111">
          <cell r="A111" t="str">
            <v/>
          </cell>
          <cell r="C111" t="str">
            <v>Prorated on Returns</v>
          </cell>
          <cell r="D111" t="str">
            <v xml:space="preserve"> </v>
          </cell>
          <cell r="E111" t="b">
            <v>0</v>
          </cell>
          <cell r="F111" t="b">
            <v>0</v>
          </cell>
          <cell r="G111" t="b">
            <v>0</v>
          </cell>
          <cell r="I111">
            <v>1</v>
          </cell>
          <cell r="AG111">
            <v>0</v>
          </cell>
          <cell r="AM111">
            <v>0</v>
          </cell>
          <cell r="AO111">
            <v>0</v>
          </cell>
        </row>
        <row r="112">
          <cell r="A112" t="str">
            <v/>
          </cell>
          <cell r="C112" t="str">
            <v>Prorated on Returns</v>
          </cell>
          <cell r="D112" t="str">
            <v xml:space="preserve"> </v>
          </cell>
          <cell r="E112" t="b">
            <v>0</v>
          </cell>
          <cell r="F112" t="b">
            <v>0</v>
          </cell>
          <cell r="G112" t="b">
            <v>0</v>
          </cell>
          <cell r="I112">
            <v>1</v>
          </cell>
          <cell r="AG112">
            <v>0</v>
          </cell>
          <cell r="AM112">
            <v>0</v>
          </cell>
          <cell r="AO112">
            <v>0</v>
          </cell>
        </row>
        <row r="113">
          <cell r="A113" t="str">
            <v/>
          </cell>
          <cell r="C113" t="str">
            <v>Prorated on Returns</v>
          </cell>
          <cell r="D113" t="str">
            <v xml:space="preserve"> </v>
          </cell>
          <cell r="E113" t="b">
            <v>0</v>
          </cell>
          <cell r="F113" t="b">
            <v>0</v>
          </cell>
          <cell r="G113" t="b">
            <v>0</v>
          </cell>
          <cell r="I113">
            <v>1</v>
          </cell>
          <cell r="AG113">
            <v>0</v>
          </cell>
          <cell r="AM113">
            <v>0</v>
          </cell>
          <cell r="AO113">
            <v>0</v>
          </cell>
        </row>
        <row r="114">
          <cell r="A114" t="str">
            <v/>
          </cell>
          <cell r="C114" t="str">
            <v>Prorated on Returns</v>
          </cell>
          <cell r="D114" t="str">
            <v xml:space="preserve"> </v>
          </cell>
          <cell r="E114" t="b">
            <v>0</v>
          </cell>
          <cell r="F114" t="b">
            <v>0</v>
          </cell>
          <cell r="G114" t="b">
            <v>0</v>
          </cell>
          <cell r="I114">
            <v>1</v>
          </cell>
          <cell r="AG114">
            <v>0</v>
          </cell>
          <cell r="AM114">
            <v>0</v>
          </cell>
          <cell r="AO114">
            <v>0</v>
          </cell>
        </row>
        <row r="115">
          <cell r="A115" t="str">
            <v/>
          </cell>
          <cell r="C115" t="str">
            <v>Prorated on Returns</v>
          </cell>
          <cell r="D115" t="str">
            <v xml:space="preserve"> </v>
          </cell>
          <cell r="E115" t="b">
            <v>0</v>
          </cell>
          <cell r="F115" t="b">
            <v>0</v>
          </cell>
          <cell r="G115" t="b">
            <v>0</v>
          </cell>
          <cell r="I115">
            <v>1</v>
          </cell>
          <cell r="AG115">
            <v>0</v>
          </cell>
          <cell r="AM115">
            <v>0</v>
          </cell>
          <cell r="AO115">
            <v>0</v>
          </cell>
        </row>
        <row r="116">
          <cell r="A116" t="str">
            <v/>
          </cell>
          <cell r="C116" t="str">
            <v>Prorated on Returns</v>
          </cell>
          <cell r="D116" t="str">
            <v xml:space="preserve"> </v>
          </cell>
          <cell r="E116" t="b">
            <v>0</v>
          </cell>
          <cell r="F116" t="b">
            <v>0</v>
          </cell>
          <cell r="G116" t="b">
            <v>0</v>
          </cell>
          <cell r="I116">
            <v>1</v>
          </cell>
          <cell r="AG116">
            <v>0</v>
          </cell>
          <cell r="AM116">
            <v>0</v>
          </cell>
          <cell r="AO116">
            <v>0</v>
          </cell>
        </row>
        <row r="117">
          <cell r="A117" t="str">
            <v/>
          </cell>
          <cell r="C117" t="str">
            <v>Prorated on Returns</v>
          </cell>
          <cell r="D117" t="str">
            <v xml:space="preserve"> </v>
          </cell>
          <cell r="E117" t="b">
            <v>0</v>
          </cell>
          <cell r="F117" t="b">
            <v>0</v>
          </cell>
          <cell r="G117" t="b">
            <v>0</v>
          </cell>
          <cell r="I117">
            <v>1</v>
          </cell>
          <cell r="AG117">
            <v>0</v>
          </cell>
          <cell r="AM117">
            <v>0</v>
          </cell>
          <cell r="AO117">
            <v>0</v>
          </cell>
        </row>
        <row r="118">
          <cell r="A118" t="str">
            <v/>
          </cell>
          <cell r="C118" t="str">
            <v>Prorated on Returns</v>
          </cell>
          <cell r="D118" t="str">
            <v xml:space="preserve"> </v>
          </cell>
          <cell r="E118" t="b">
            <v>0</v>
          </cell>
          <cell r="F118" t="b">
            <v>0</v>
          </cell>
          <cell r="G118" t="b">
            <v>0</v>
          </cell>
          <cell r="I118">
            <v>1</v>
          </cell>
          <cell r="AG118">
            <v>0</v>
          </cell>
          <cell r="AM118">
            <v>0</v>
          </cell>
          <cell r="AO118">
            <v>0</v>
          </cell>
        </row>
        <row r="119">
          <cell r="A119" t="str">
            <v/>
          </cell>
          <cell r="C119" t="str">
            <v>Prorated on Returns</v>
          </cell>
          <cell r="D119" t="str">
            <v xml:space="preserve"> </v>
          </cell>
          <cell r="E119" t="b">
            <v>0</v>
          </cell>
          <cell r="F119" t="b">
            <v>0</v>
          </cell>
          <cell r="G119" t="b">
            <v>0</v>
          </cell>
          <cell r="I119">
            <v>1</v>
          </cell>
          <cell r="AG119">
            <v>0</v>
          </cell>
          <cell r="AM119">
            <v>0</v>
          </cell>
          <cell r="AO119">
            <v>0</v>
          </cell>
        </row>
        <row r="120">
          <cell r="A120" t="str">
            <v/>
          </cell>
          <cell r="C120" t="str">
            <v>Prorated on Returns</v>
          </cell>
          <cell r="D120" t="str">
            <v xml:space="preserve"> </v>
          </cell>
          <cell r="E120" t="b">
            <v>0</v>
          </cell>
          <cell r="F120" t="b">
            <v>0</v>
          </cell>
          <cell r="G120" t="b">
            <v>0</v>
          </cell>
          <cell r="I120">
            <v>1</v>
          </cell>
          <cell r="AG120">
            <v>0</v>
          </cell>
          <cell r="AM120">
            <v>0</v>
          </cell>
          <cell r="AO120">
            <v>0</v>
          </cell>
        </row>
        <row r="121">
          <cell r="A121" t="str">
            <v/>
          </cell>
          <cell r="C121" t="str">
            <v>Prorated on Returns</v>
          </cell>
          <cell r="D121" t="str">
            <v xml:space="preserve"> </v>
          </cell>
          <cell r="E121" t="b">
            <v>0</v>
          </cell>
          <cell r="F121" t="b">
            <v>0</v>
          </cell>
          <cell r="G121" t="b">
            <v>0</v>
          </cell>
          <cell r="I121">
            <v>1</v>
          </cell>
          <cell r="AG121">
            <v>0</v>
          </cell>
          <cell r="AM121">
            <v>0</v>
          </cell>
          <cell r="AO121">
            <v>0</v>
          </cell>
        </row>
        <row r="122">
          <cell r="A122" t="str">
            <v/>
          </cell>
          <cell r="C122" t="str">
            <v>Prorated on Returns</v>
          </cell>
          <cell r="D122" t="str">
            <v xml:space="preserve"> </v>
          </cell>
          <cell r="E122" t="b">
            <v>0</v>
          </cell>
          <cell r="F122" t="b">
            <v>0</v>
          </cell>
          <cell r="G122" t="b">
            <v>0</v>
          </cell>
          <cell r="I122">
            <v>1</v>
          </cell>
          <cell r="AG122">
            <v>0</v>
          </cell>
          <cell r="AM122">
            <v>0</v>
          </cell>
          <cell r="AO122">
            <v>0</v>
          </cell>
        </row>
        <row r="123">
          <cell r="A123" t="str">
            <v/>
          </cell>
          <cell r="C123" t="str">
            <v>Prorated on Returns</v>
          </cell>
          <cell r="D123" t="str">
            <v xml:space="preserve"> </v>
          </cell>
          <cell r="E123" t="b">
            <v>0</v>
          </cell>
          <cell r="F123" t="b">
            <v>0</v>
          </cell>
          <cell r="G123" t="b">
            <v>0</v>
          </cell>
          <cell r="I123">
            <v>1</v>
          </cell>
          <cell r="AG123">
            <v>0</v>
          </cell>
          <cell r="AM123">
            <v>0</v>
          </cell>
          <cell r="AO123">
            <v>0</v>
          </cell>
        </row>
        <row r="124">
          <cell r="A124" t="str">
            <v/>
          </cell>
          <cell r="C124" t="str">
            <v>Prorated on Returns</v>
          </cell>
          <cell r="D124" t="str">
            <v xml:space="preserve"> </v>
          </cell>
          <cell r="E124" t="b">
            <v>0</v>
          </cell>
          <cell r="F124" t="b">
            <v>0</v>
          </cell>
          <cell r="G124" t="b">
            <v>0</v>
          </cell>
          <cell r="I124">
            <v>1</v>
          </cell>
          <cell r="AG124">
            <v>0</v>
          </cell>
          <cell r="AM124">
            <v>0</v>
          </cell>
          <cell r="AO124">
            <v>0</v>
          </cell>
        </row>
        <row r="125">
          <cell r="A125" t="str">
            <v/>
          </cell>
          <cell r="C125" t="str">
            <v>Prorated on Returns</v>
          </cell>
          <cell r="D125" t="str">
            <v xml:space="preserve"> </v>
          </cell>
          <cell r="E125" t="b">
            <v>0</v>
          </cell>
          <cell r="F125" t="b">
            <v>0</v>
          </cell>
          <cell r="G125" t="b">
            <v>0</v>
          </cell>
          <cell r="I125">
            <v>1</v>
          </cell>
          <cell r="AG125">
            <v>0</v>
          </cell>
          <cell r="AM125">
            <v>0</v>
          </cell>
          <cell r="AO125">
            <v>0</v>
          </cell>
        </row>
        <row r="126">
          <cell r="A126" t="str">
            <v/>
          </cell>
          <cell r="C126" t="str">
            <v>Prorated on Returns</v>
          </cell>
          <cell r="D126" t="str">
            <v xml:space="preserve"> </v>
          </cell>
          <cell r="E126" t="b">
            <v>0</v>
          </cell>
          <cell r="F126" t="b">
            <v>0</v>
          </cell>
          <cell r="G126" t="b">
            <v>0</v>
          </cell>
          <cell r="I126">
            <v>1</v>
          </cell>
          <cell r="AG126">
            <v>0</v>
          </cell>
          <cell r="AM126">
            <v>0</v>
          </cell>
          <cell r="AO126">
            <v>0</v>
          </cell>
        </row>
        <row r="127">
          <cell r="A127" t="str">
            <v/>
          </cell>
          <cell r="C127" t="str">
            <v>Prorated on Returns</v>
          </cell>
          <cell r="D127" t="str">
            <v xml:space="preserve"> </v>
          </cell>
          <cell r="E127" t="b">
            <v>0</v>
          </cell>
          <cell r="F127" t="b">
            <v>0</v>
          </cell>
          <cell r="G127" t="b">
            <v>0</v>
          </cell>
          <cell r="I127">
            <v>1</v>
          </cell>
          <cell r="AG127">
            <v>0</v>
          </cell>
          <cell r="AM127">
            <v>0</v>
          </cell>
          <cell r="AO127">
            <v>0</v>
          </cell>
        </row>
        <row r="128">
          <cell r="A128" t="str">
            <v/>
          </cell>
          <cell r="C128" t="str">
            <v>Prorated on Returns</v>
          </cell>
          <cell r="D128" t="str">
            <v xml:space="preserve"> </v>
          </cell>
          <cell r="E128" t="b">
            <v>0</v>
          </cell>
          <cell r="F128" t="b">
            <v>0</v>
          </cell>
          <cell r="G128" t="b">
            <v>0</v>
          </cell>
          <cell r="I128">
            <v>1</v>
          </cell>
          <cell r="AG128">
            <v>0</v>
          </cell>
          <cell r="AM128">
            <v>0</v>
          </cell>
          <cell r="AO128">
            <v>0</v>
          </cell>
        </row>
        <row r="129">
          <cell r="A129" t="str">
            <v/>
          </cell>
          <cell r="C129" t="str">
            <v>Prorated on Returns</v>
          </cell>
          <cell r="D129" t="str">
            <v xml:space="preserve"> </v>
          </cell>
          <cell r="E129" t="b">
            <v>0</v>
          </cell>
          <cell r="F129" t="b">
            <v>0</v>
          </cell>
          <cell r="G129" t="b">
            <v>0</v>
          </cell>
          <cell r="I129">
            <v>1</v>
          </cell>
          <cell r="AG129">
            <v>0</v>
          </cell>
          <cell r="AM129">
            <v>0</v>
          </cell>
          <cell r="AO129">
            <v>0</v>
          </cell>
        </row>
        <row r="130">
          <cell r="A130" t="str">
            <v/>
          </cell>
          <cell r="C130" t="str">
            <v>Prorated on Returns</v>
          </cell>
          <cell r="D130" t="str">
            <v xml:space="preserve"> </v>
          </cell>
          <cell r="E130" t="b">
            <v>0</v>
          </cell>
          <cell r="F130" t="b">
            <v>0</v>
          </cell>
          <cell r="G130" t="b">
            <v>0</v>
          </cell>
          <cell r="I130">
            <v>1</v>
          </cell>
          <cell r="AG130">
            <v>0</v>
          </cell>
          <cell r="AM130">
            <v>0</v>
          </cell>
          <cell r="AO130">
            <v>0</v>
          </cell>
        </row>
        <row r="131">
          <cell r="A131" t="str">
            <v>View Additional Rows for More Entries</v>
          </cell>
          <cell r="D131" t="str">
            <v xml:space="preserve"> </v>
          </cell>
        </row>
        <row r="132">
          <cell r="B132" t="str">
            <v>Enter Freeform Tax Speciality Services (NOW):</v>
          </cell>
          <cell r="D132" t="str">
            <v xml:space="preserve"> </v>
          </cell>
        </row>
        <row r="133">
          <cell r="A133" t="str">
            <v/>
          </cell>
          <cell r="B133" t="str">
            <v>Section §174 Analysis for Capitalization of R&amp;D</v>
          </cell>
          <cell r="C133" t="str">
            <v>Prorated on Returns</v>
          </cell>
          <cell r="D133" t="str">
            <v xml:space="preserve"> </v>
          </cell>
          <cell r="E133" t="b">
            <v>0</v>
          </cell>
          <cell r="F133" t="b">
            <v>0</v>
          </cell>
          <cell r="G133" t="b">
            <v>0</v>
          </cell>
          <cell r="I133">
            <v>1</v>
          </cell>
          <cell r="AG133">
            <v>0</v>
          </cell>
          <cell r="AM133">
            <v>0</v>
          </cell>
          <cell r="AO133">
            <v>0</v>
          </cell>
        </row>
        <row r="134">
          <cell r="A134" t="str">
            <v/>
          </cell>
          <cell r="B134" t="str">
            <v>R&amp;D Credit Calculation</v>
          </cell>
          <cell r="C134" t="str">
            <v>Prorated on Returns</v>
          </cell>
          <cell r="D134" t="str">
            <v xml:space="preserve"> </v>
          </cell>
          <cell r="E134" t="b">
            <v>0</v>
          </cell>
          <cell r="F134" t="b">
            <v>0</v>
          </cell>
          <cell r="G134" t="b">
            <v>0</v>
          </cell>
          <cell r="I134">
            <v>1</v>
          </cell>
          <cell r="AG134">
            <v>0</v>
          </cell>
          <cell r="AM134">
            <v>0</v>
          </cell>
          <cell r="AO134">
            <v>0</v>
          </cell>
        </row>
        <row r="135">
          <cell r="A135" t="str">
            <v/>
          </cell>
          <cell r="B135" t="str">
            <v>PTET Considerations</v>
          </cell>
          <cell r="C135" t="str">
            <v>Prorated on Returns</v>
          </cell>
          <cell r="D135" t="str">
            <v xml:space="preserve"> </v>
          </cell>
          <cell r="E135" t="b">
            <v>0</v>
          </cell>
          <cell r="F135" t="b">
            <v>0</v>
          </cell>
          <cell r="G135" t="b">
            <v>0</v>
          </cell>
          <cell r="I135">
            <v>1</v>
          </cell>
          <cell r="AG135">
            <v>0</v>
          </cell>
          <cell r="AM135">
            <v>0</v>
          </cell>
          <cell r="AO135">
            <v>0</v>
          </cell>
        </row>
        <row r="136">
          <cell r="A136" t="str">
            <v/>
          </cell>
          <cell r="B136" t="str">
            <v>SALT Updates</v>
          </cell>
          <cell r="C136" t="str">
            <v>Prorated on Returns</v>
          </cell>
          <cell r="D136" t="str">
            <v xml:space="preserve"> </v>
          </cell>
          <cell r="E136" t="b">
            <v>0</v>
          </cell>
          <cell r="F136" t="b">
            <v>0</v>
          </cell>
          <cell r="G136" t="b">
            <v>0</v>
          </cell>
          <cell r="I136">
            <v>1</v>
          </cell>
          <cell r="AG136">
            <v>0</v>
          </cell>
          <cell r="AM136">
            <v>0</v>
          </cell>
          <cell r="AO136">
            <v>0</v>
          </cell>
        </row>
        <row r="137">
          <cell r="A137" t="str">
            <v/>
          </cell>
          <cell r="B137" t="str">
            <v>179D</v>
          </cell>
          <cell r="C137" t="str">
            <v>Prorated on Returns</v>
          </cell>
          <cell r="D137" t="str">
            <v xml:space="preserve"> </v>
          </cell>
          <cell r="E137" t="b">
            <v>0</v>
          </cell>
          <cell r="F137" t="b">
            <v>0</v>
          </cell>
          <cell r="G137" t="b">
            <v>0</v>
          </cell>
          <cell r="I137">
            <v>1</v>
          </cell>
          <cell r="AG137">
            <v>0</v>
          </cell>
          <cell r="AM137">
            <v>0</v>
          </cell>
          <cell r="AO137">
            <v>0</v>
          </cell>
        </row>
        <row r="138">
          <cell r="A138" t="str">
            <v/>
          </cell>
          <cell r="B138" t="str">
            <v>Nexus Studies</v>
          </cell>
          <cell r="C138" t="str">
            <v>Prorated on Returns</v>
          </cell>
          <cell r="D138" t="str">
            <v xml:space="preserve"> </v>
          </cell>
          <cell r="E138" t="b">
            <v>0</v>
          </cell>
          <cell r="F138" t="b">
            <v>0</v>
          </cell>
          <cell r="G138" t="b">
            <v>0</v>
          </cell>
          <cell r="I138">
            <v>1</v>
          </cell>
          <cell r="AG138">
            <v>0</v>
          </cell>
          <cell r="AM138">
            <v>0</v>
          </cell>
          <cell r="AO138">
            <v>0</v>
          </cell>
        </row>
        <row r="139">
          <cell r="A139" t="str">
            <v/>
          </cell>
          <cell r="B139" t="str">
            <v>Local Tax Returns</v>
          </cell>
          <cell r="C139" t="str">
            <v>Prorated on Returns</v>
          </cell>
          <cell r="D139" t="str">
            <v xml:space="preserve"> </v>
          </cell>
          <cell r="E139" t="b">
            <v>0</v>
          </cell>
          <cell r="F139" t="b">
            <v>0</v>
          </cell>
          <cell r="G139" t="b">
            <v>0</v>
          </cell>
          <cell r="I139">
            <v>1</v>
          </cell>
          <cell r="AG139">
            <v>0</v>
          </cell>
          <cell r="AM139">
            <v>0</v>
          </cell>
          <cell r="AO139">
            <v>0</v>
          </cell>
        </row>
        <row r="140">
          <cell r="A140" t="str">
            <v/>
          </cell>
          <cell r="B140" t="str">
            <v>San Francisco Studies</v>
          </cell>
          <cell r="C140" t="str">
            <v>Prorated on Returns</v>
          </cell>
          <cell r="D140" t="str">
            <v xml:space="preserve"> </v>
          </cell>
          <cell r="E140" t="b">
            <v>0</v>
          </cell>
          <cell r="F140" t="b">
            <v>0</v>
          </cell>
          <cell r="G140" t="b">
            <v>0</v>
          </cell>
          <cell r="I140">
            <v>1</v>
          </cell>
          <cell r="AG140">
            <v>0</v>
          </cell>
          <cell r="AM140">
            <v>0</v>
          </cell>
          <cell r="AO140">
            <v>0</v>
          </cell>
        </row>
        <row r="141">
          <cell r="A141" t="str">
            <v/>
          </cell>
          <cell r="B141" t="str">
            <v>Foreign Outbound: 5471 Standard</v>
          </cell>
          <cell r="C141" t="str">
            <v>Prorated on Returns</v>
          </cell>
          <cell r="D141" t="str">
            <v xml:space="preserve"> </v>
          </cell>
          <cell r="E141" t="b">
            <v>0</v>
          </cell>
          <cell r="F141" t="b">
            <v>0</v>
          </cell>
          <cell r="G141" t="b">
            <v>0</v>
          </cell>
          <cell r="I141">
            <v>1</v>
          </cell>
          <cell r="AG141">
            <v>0</v>
          </cell>
          <cell r="AM141">
            <v>0</v>
          </cell>
          <cell r="AO141">
            <v>0</v>
          </cell>
        </row>
        <row r="142">
          <cell r="A142" t="str">
            <v/>
          </cell>
          <cell r="B142" t="str">
            <v>Foreign Outbound: 5471 Simple</v>
          </cell>
          <cell r="C142" t="str">
            <v>Prorated on Returns</v>
          </cell>
          <cell r="D142" t="str">
            <v xml:space="preserve"> </v>
          </cell>
          <cell r="E142" t="b">
            <v>0</v>
          </cell>
          <cell r="F142" t="b">
            <v>0</v>
          </cell>
          <cell r="G142" t="b">
            <v>0</v>
          </cell>
          <cell r="I142">
            <v>1</v>
          </cell>
          <cell r="AG142">
            <v>0</v>
          </cell>
          <cell r="AM142">
            <v>0</v>
          </cell>
          <cell r="AO142">
            <v>0</v>
          </cell>
        </row>
        <row r="143">
          <cell r="A143" t="str">
            <v/>
          </cell>
          <cell r="B143" t="str">
            <v>Foreign Outbound: 5471 Limited Version</v>
          </cell>
          <cell r="C143" t="str">
            <v>Prorated on Returns</v>
          </cell>
          <cell r="D143" t="str">
            <v xml:space="preserve"> </v>
          </cell>
          <cell r="E143" t="b">
            <v>0</v>
          </cell>
          <cell r="F143" t="b">
            <v>0</v>
          </cell>
          <cell r="G143" t="b">
            <v>0</v>
          </cell>
          <cell r="I143">
            <v>1</v>
          </cell>
          <cell r="AG143">
            <v>0</v>
          </cell>
          <cell r="AM143">
            <v>0</v>
          </cell>
          <cell r="AO143">
            <v>0</v>
          </cell>
        </row>
        <row r="144">
          <cell r="A144" t="str">
            <v/>
          </cell>
          <cell r="B144" t="str">
            <v>Foreign Outbound: 5471 Real Estate</v>
          </cell>
          <cell r="C144" t="str">
            <v>Prorated on Returns</v>
          </cell>
          <cell r="D144" t="str">
            <v xml:space="preserve"> </v>
          </cell>
          <cell r="E144" t="b">
            <v>0</v>
          </cell>
          <cell r="F144" t="b">
            <v>0</v>
          </cell>
          <cell r="G144" t="b">
            <v>0</v>
          </cell>
          <cell r="I144">
            <v>1</v>
          </cell>
          <cell r="AG144">
            <v>0</v>
          </cell>
          <cell r="AM144">
            <v>0</v>
          </cell>
          <cell r="AO144">
            <v>0</v>
          </cell>
        </row>
        <row r="145">
          <cell r="A145" t="str">
            <v/>
          </cell>
          <cell r="B145" t="str">
            <v>Foreign Outbound: 5471 Dormant</v>
          </cell>
          <cell r="C145" t="str">
            <v>Prorated on Returns</v>
          </cell>
          <cell r="D145" t="str">
            <v xml:space="preserve"> </v>
          </cell>
          <cell r="E145" t="b">
            <v>0</v>
          </cell>
          <cell r="F145" t="b">
            <v>0</v>
          </cell>
          <cell r="G145" t="b">
            <v>0</v>
          </cell>
          <cell r="I145">
            <v>1</v>
          </cell>
          <cell r="AG145">
            <v>0</v>
          </cell>
          <cell r="AM145">
            <v>0</v>
          </cell>
          <cell r="AO145">
            <v>0</v>
          </cell>
        </row>
        <row r="146">
          <cell r="A146" t="str">
            <v/>
          </cell>
          <cell r="B146" t="str">
            <v>Foreign Outbound: 8858 Standard</v>
          </cell>
          <cell r="C146" t="str">
            <v>Prorated on Returns</v>
          </cell>
          <cell r="D146" t="str">
            <v xml:space="preserve"> </v>
          </cell>
          <cell r="E146" t="b">
            <v>0</v>
          </cell>
          <cell r="F146" t="b">
            <v>0</v>
          </cell>
          <cell r="G146" t="b">
            <v>0</v>
          </cell>
          <cell r="I146">
            <v>1</v>
          </cell>
          <cell r="AG146">
            <v>0</v>
          </cell>
          <cell r="AM146">
            <v>0</v>
          </cell>
          <cell r="AO146">
            <v>0</v>
          </cell>
        </row>
        <row r="147">
          <cell r="A147" t="str">
            <v/>
          </cell>
          <cell r="B147" t="str">
            <v>Foreign Outbound: 8858 Dormant</v>
          </cell>
          <cell r="C147" t="str">
            <v>Prorated on Returns</v>
          </cell>
          <cell r="D147" t="str">
            <v xml:space="preserve"> </v>
          </cell>
          <cell r="E147" t="b">
            <v>0</v>
          </cell>
          <cell r="F147" t="b">
            <v>0</v>
          </cell>
          <cell r="G147" t="b">
            <v>0</v>
          </cell>
          <cell r="I147">
            <v>1</v>
          </cell>
          <cell r="AG147">
            <v>0</v>
          </cell>
          <cell r="AM147">
            <v>0</v>
          </cell>
          <cell r="AO147">
            <v>0</v>
          </cell>
        </row>
        <row r="148">
          <cell r="A148" t="str">
            <v/>
          </cell>
          <cell r="B148" t="str">
            <v>Foreign Outbound: 8865 Standard</v>
          </cell>
          <cell r="C148" t="str">
            <v>Prorated on Returns</v>
          </cell>
          <cell r="D148" t="str">
            <v xml:space="preserve"> </v>
          </cell>
          <cell r="E148" t="b">
            <v>0</v>
          </cell>
          <cell r="F148" t="b">
            <v>0</v>
          </cell>
          <cell r="G148" t="b">
            <v>0</v>
          </cell>
          <cell r="I148">
            <v>1</v>
          </cell>
          <cell r="AG148">
            <v>0</v>
          </cell>
          <cell r="AM148">
            <v>0</v>
          </cell>
          <cell r="AO148">
            <v>0</v>
          </cell>
        </row>
        <row r="149">
          <cell r="A149" t="str">
            <v/>
          </cell>
          <cell r="B149" t="str">
            <v>Foreign Outbound: 8865 Dormant</v>
          </cell>
          <cell r="C149" t="str">
            <v>Prorated on Returns</v>
          </cell>
          <cell r="D149" t="str">
            <v xml:space="preserve"> </v>
          </cell>
          <cell r="E149" t="b">
            <v>0</v>
          </cell>
          <cell r="F149" t="b">
            <v>0</v>
          </cell>
          <cell r="G149" t="b">
            <v>0</v>
          </cell>
          <cell r="I149">
            <v>1</v>
          </cell>
          <cell r="AG149">
            <v>0</v>
          </cell>
          <cell r="AM149">
            <v>0</v>
          </cell>
          <cell r="AO149">
            <v>0</v>
          </cell>
        </row>
        <row r="150">
          <cell r="A150" t="str">
            <v/>
          </cell>
          <cell r="B150" t="str">
            <v xml:space="preserve">Foreign Outbound: Form 8865, Sch O </v>
          </cell>
          <cell r="C150" t="str">
            <v>Prorated on Returns</v>
          </cell>
          <cell r="D150" t="str">
            <v xml:space="preserve"> </v>
          </cell>
          <cell r="E150" t="b">
            <v>0</v>
          </cell>
          <cell r="F150" t="b">
            <v>0</v>
          </cell>
          <cell r="G150" t="b">
            <v>0</v>
          </cell>
          <cell r="I150">
            <v>1</v>
          </cell>
          <cell r="AG150">
            <v>0</v>
          </cell>
          <cell r="AM150">
            <v>0</v>
          </cell>
          <cell r="AO150">
            <v>0</v>
          </cell>
        </row>
        <row r="151">
          <cell r="A151" t="str">
            <v/>
          </cell>
          <cell r="B151" t="str">
            <v xml:space="preserve">Foreign Outbound: 8992 </v>
          </cell>
          <cell r="C151" t="str">
            <v>Prorated on Returns</v>
          </cell>
          <cell r="D151" t="str">
            <v xml:space="preserve"> </v>
          </cell>
          <cell r="E151" t="b">
            <v>0</v>
          </cell>
          <cell r="F151" t="b">
            <v>0</v>
          </cell>
          <cell r="G151" t="b">
            <v>0</v>
          </cell>
          <cell r="I151">
            <v>1</v>
          </cell>
          <cell r="AG151">
            <v>0</v>
          </cell>
          <cell r="AM151">
            <v>0</v>
          </cell>
          <cell r="AO151">
            <v>0</v>
          </cell>
        </row>
        <row r="152">
          <cell r="A152" t="str">
            <v/>
          </cell>
          <cell r="B152" t="str">
            <v xml:space="preserve">Foreign Outbound: 926 </v>
          </cell>
          <cell r="C152" t="str">
            <v>Prorated on Returns</v>
          </cell>
          <cell r="D152" t="str">
            <v xml:space="preserve"> </v>
          </cell>
          <cell r="E152" t="b">
            <v>0</v>
          </cell>
          <cell r="F152" t="b">
            <v>0</v>
          </cell>
          <cell r="G152" t="b">
            <v>0</v>
          </cell>
          <cell r="I152">
            <v>1</v>
          </cell>
          <cell r="AG152">
            <v>0</v>
          </cell>
          <cell r="AM152">
            <v>0</v>
          </cell>
          <cell r="AO152">
            <v>0</v>
          </cell>
        </row>
        <row r="153">
          <cell r="A153" t="str">
            <v/>
          </cell>
          <cell r="C153" t="str">
            <v>Prorated on Returns</v>
          </cell>
          <cell r="D153" t="str">
            <v xml:space="preserve"> </v>
          </cell>
          <cell r="E153" t="b">
            <v>0</v>
          </cell>
          <cell r="F153" t="b">
            <v>0</v>
          </cell>
          <cell r="G153" t="b">
            <v>0</v>
          </cell>
          <cell r="I153">
            <v>1</v>
          </cell>
          <cell r="AG153">
            <v>0</v>
          </cell>
          <cell r="AM153">
            <v>0</v>
          </cell>
          <cell r="AO153">
            <v>0</v>
          </cell>
        </row>
        <row r="154">
          <cell r="A154" t="str">
            <v/>
          </cell>
          <cell r="C154" t="str">
            <v>Prorated on Returns</v>
          </cell>
          <cell r="D154" t="str">
            <v xml:space="preserve"> </v>
          </cell>
          <cell r="E154" t="b">
            <v>0</v>
          </cell>
          <cell r="F154" t="b">
            <v>0</v>
          </cell>
          <cell r="G154" t="b">
            <v>0</v>
          </cell>
          <cell r="I154">
            <v>1</v>
          </cell>
          <cell r="AG154">
            <v>0</v>
          </cell>
          <cell r="AM154">
            <v>0</v>
          </cell>
          <cell r="AO154">
            <v>0</v>
          </cell>
        </row>
        <row r="155">
          <cell r="A155" t="str">
            <v/>
          </cell>
          <cell r="C155" t="str">
            <v>Prorated on Returns</v>
          </cell>
          <cell r="D155" t="str">
            <v xml:space="preserve"> </v>
          </cell>
          <cell r="E155" t="b">
            <v>0</v>
          </cell>
          <cell r="F155" t="b">
            <v>0</v>
          </cell>
          <cell r="G155" t="b">
            <v>0</v>
          </cell>
          <cell r="I155">
            <v>1</v>
          </cell>
          <cell r="AG155">
            <v>0</v>
          </cell>
          <cell r="AM155">
            <v>0</v>
          </cell>
          <cell r="AO155">
            <v>0</v>
          </cell>
        </row>
        <row r="156">
          <cell r="A156" t="str">
            <v/>
          </cell>
          <cell r="C156" t="str">
            <v>Prorated on Returns</v>
          </cell>
          <cell r="D156" t="str">
            <v xml:space="preserve"> </v>
          </cell>
          <cell r="E156" t="b">
            <v>0</v>
          </cell>
          <cell r="F156" t="b">
            <v>0</v>
          </cell>
          <cell r="G156" t="b">
            <v>0</v>
          </cell>
          <cell r="I156">
            <v>1</v>
          </cell>
          <cell r="AG156">
            <v>0</v>
          </cell>
          <cell r="AM156">
            <v>0</v>
          </cell>
          <cell r="AO156">
            <v>0</v>
          </cell>
        </row>
        <row r="157">
          <cell r="A157" t="str">
            <v/>
          </cell>
          <cell r="C157" t="str">
            <v>Prorated on Returns</v>
          </cell>
          <cell r="D157" t="str">
            <v xml:space="preserve"> </v>
          </cell>
          <cell r="E157" t="b">
            <v>0</v>
          </cell>
          <cell r="F157" t="b">
            <v>0</v>
          </cell>
          <cell r="G157" t="b">
            <v>0</v>
          </cell>
          <cell r="I157">
            <v>1</v>
          </cell>
          <cell r="AG157">
            <v>0</v>
          </cell>
          <cell r="AM157">
            <v>0</v>
          </cell>
          <cell r="AO157">
            <v>0</v>
          </cell>
        </row>
        <row r="158">
          <cell r="A158" t="str">
            <v/>
          </cell>
          <cell r="C158" t="str">
            <v>Prorated on Returns</v>
          </cell>
          <cell r="D158" t="str">
            <v xml:space="preserve"> </v>
          </cell>
          <cell r="E158" t="b">
            <v>0</v>
          </cell>
          <cell r="F158" t="b">
            <v>0</v>
          </cell>
          <cell r="G158" t="b">
            <v>0</v>
          </cell>
          <cell r="I158">
            <v>1</v>
          </cell>
          <cell r="AG158">
            <v>0</v>
          </cell>
          <cell r="AM158">
            <v>0</v>
          </cell>
          <cell r="AO158">
            <v>0</v>
          </cell>
        </row>
        <row r="159">
          <cell r="A159" t="str">
            <v/>
          </cell>
          <cell r="C159" t="str">
            <v>Prorated on Returns</v>
          </cell>
          <cell r="D159" t="str">
            <v xml:space="preserve"> </v>
          </cell>
          <cell r="E159" t="b">
            <v>0</v>
          </cell>
          <cell r="F159" t="b">
            <v>0</v>
          </cell>
          <cell r="G159" t="b">
            <v>0</v>
          </cell>
          <cell r="I159">
            <v>1</v>
          </cell>
          <cell r="AG159">
            <v>0</v>
          </cell>
          <cell r="AM159">
            <v>0</v>
          </cell>
          <cell r="AO159">
            <v>0</v>
          </cell>
        </row>
        <row r="160">
          <cell r="A160" t="str">
            <v/>
          </cell>
          <cell r="C160" t="str">
            <v>Prorated on Returns</v>
          </cell>
          <cell r="D160" t="str">
            <v xml:space="preserve"> </v>
          </cell>
          <cell r="E160" t="b">
            <v>0</v>
          </cell>
          <cell r="F160" t="b">
            <v>0</v>
          </cell>
          <cell r="G160" t="b">
            <v>0</v>
          </cell>
          <cell r="I160">
            <v>1</v>
          </cell>
          <cell r="AG160">
            <v>0</v>
          </cell>
          <cell r="AM160">
            <v>0</v>
          </cell>
          <cell r="AO160">
            <v>0</v>
          </cell>
        </row>
        <row r="161">
          <cell r="A161" t="str">
            <v/>
          </cell>
          <cell r="C161" t="str">
            <v>Prorated on Returns</v>
          </cell>
          <cell r="D161" t="str">
            <v xml:space="preserve"> </v>
          </cell>
          <cell r="E161" t="b">
            <v>0</v>
          </cell>
          <cell r="F161" t="b">
            <v>0</v>
          </cell>
          <cell r="G161" t="b">
            <v>0</v>
          </cell>
          <cell r="I161">
            <v>1</v>
          </cell>
          <cell r="AG161">
            <v>0</v>
          </cell>
          <cell r="AM161">
            <v>0</v>
          </cell>
          <cell r="AO161">
            <v>0</v>
          </cell>
        </row>
        <row r="162">
          <cell r="A162" t="str">
            <v/>
          </cell>
          <cell r="C162" t="str">
            <v>Prorated on Returns</v>
          </cell>
          <cell r="D162" t="str">
            <v xml:space="preserve"> </v>
          </cell>
          <cell r="E162" t="b">
            <v>0</v>
          </cell>
          <cell r="F162" t="b">
            <v>0</v>
          </cell>
          <cell r="G162" t="b">
            <v>0</v>
          </cell>
          <cell r="I162">
            <v>1</v>
          </cell>
          <cell r="AG162">
            <v>0</v>
          </cell>
          <cell r="AM162">
            <v>0</v>
          </cell>
          <cell r="AO162">
            <v>0</v>
          </cell>
        </row>
        <row r="163">
          <cell r="A163" t="str">
            <v/>
          </cell>
          <cell r="C163" t="str">
            <v>Prorated on Returns</v>
          </cell>
          <cell r="D163" t="str">
            <v xml:space="preserve"> </v>
          </cell>
          <cell r="E163" t="b">
            <v>0</v>
          </cell>
          <cell r="F163" t="b">
            <v>0</v>
          </cell>
          <cell r="G163" t="b">
            <v>0</v>
          </cell>
          <cell r="I163">
            <v>1</v>
          </cell>
          <cell r="AG163">
            <v>0</v>
          </cell>
          <cell r="AM163">
            <v>0</v>
          </cell>
          <cell r="AO163">
            <v>0</v>
          </cell>
        </row>
        <row r="164">
          <cell r="A164" t="str">
            <v/>
          </cell>
          <cell r="C164" t="str">
            <v>Prorated on Returns</v>
          </cell>
          <cell r="D164" t="str">
            <v xml:space="preserve"> </v>
          </cell>
          <cell r="E164" t="b">
            <v>0</v>
          </cell>
          <cell r="F164" t="b">
            <v>0</v>
          </cell>
          <cell r="G164" t="b">
            <v>0</v>
          </cell>
          <cell r="I164">
            <v>1</v>
          </cell>
          <cell r="AG164">
            <v>0</v>
          </cell>
          <cell r="AM164">
            <v>0</v>
          </cell>
          <cell r="AO164">
            <v>0</v>
          </cell>
        </row>
        <row r="165">
          <cell r="A165" t="str">
            <v/>
          </cell>
          <cell r="C165" t="str">
            <v>Prorated on Returns</v>
          </cell>
          <cell r="D165" t="str">
            <v xml:space="preserve"> </v>
          </cell>
          <cell r="E165" t="b">
            <v>0</v>
          </cell>
          <cell r="F165" t="b">
            <v>0</v>
          </cell>
          <cell r="G165" t="b">
            <v>0</v>
          </cell>
          <cell r="I165">
            <v>1</v>
          </cell>
          <cell r="AG165">
            <v>0</v>
          </cell>
          <cell r="AM165">
            <v>0</v>
          </cell>
          <cell r="AO165">
            <v>0</v>
          </cell>
        </row>
        <row r="166">
          <cell r="A166" t="str">
            <v/>
          </cell>
          <cell r="C166" t="str">
            <v>Prorated on Returns</v>
          </cell>
          <cell r="D166" t="str">
            <v xml:space="preserve"> </v>
          </cell>
          <cell r="E166" t="b">
            <v>0</v>
          </cell>
          <cell r="F166" t="b">
            <v>0</v>
          </cell>
          <cell r="G166" t="b">
            <v>0</v>
          </cell>
          <cell r="I166">
            <v>1</v>
          </cell>
          <cell r="AG166">
            <v>0</v>
          </cell>
          <cell r="AM166">
            <v>0</v>
          </cell>
          <cell r="AO166">
            <v>0</v>
          </cell>
        </row>
        <row r="167">
          <cell r="A167" t="str">
            <v/>
          </cell>
          <cell r="C167" t="str">
            <v>Prorated on Returns</v>
          </cell>
          <cell r="D167" t="str">
            <v xml:space="preserve"> </v>
          </cell>
          <cell r="E167" t="b">
            <v>0</v>
          </cell>
          <cell r="F167" t="b">
            <v>0</v>
          </cell>
          <cell r="G167" t="b">
            <v>0</v>
          </cell>
          <cell r="I167">
            <v>1</v>
          </cell>
          <cell r="AG167">
            <v>0</v>
          </cell>
          <cell r="AM167">
            <v>0</v>
          </cell>
          <cell r="AO167">
            <v>0</v>
          </cell>
        </row>
        <row r="168">
          <cell r="A168" t="str">
            <v/>
          </cell>
          <cell r="C168" t="str">
            <v>Prorated on Returns</v>
          </cell>
          <cell r="D168" t="str">
            <v xml:space="preserve"> </v>
          </cell>
          <cell r="E168" t="b">
            <v>0</v>
          </cell>
          <cell r="F168" t="b">
            <v>0</v>
          </cell>
          <cell r="G168" t="b">
            <v>0</v>
          </cell>
          <cell r="I168">
            <v>1</v>
          </cell>
          <cell r="AG168">
            <v>0</v>
          </cell>
          <cell r="AM168">
            <v>0</v>
          </cell>
          <cell r="AO168">
            <v>0</v>
          </cell>
        </row>
        <row r="169">
          <cell r="A169" t="str">
            <v/>
          </cell>
          <cell r="C169" t="str">
            <v>Prorated on Returns</v>
          </cell>
          <cell r="D169" t="str">
            <v xml:space="preserve"> </v>
          </cell>
          <cell r="E169" t="b">
            <v>0</v>
          </cell>
          <cell r="F169" t="b">
            <v>0</v>
          </cell>
          <cell r="G169" t="b">
            <v>0</v>
          </cell>
          <cell r="I169">
            <v>1</v>
          </cell>
          <cell r="AG169">
            <v>0</v>
          </cell>
          <cell r="AM169">
            <v>0</v>
          </cell>
          <cell r="AO169">
            <v>0</v>
          </cell>
        </row>
        <row r="170">
          <cell r="A170" t="str">
            <v/>
          </cell>
          <cell r="C170" t="str">
            <v>Prorated on Returns</v>
          </cell>
          <cell r="D170" t="str">
            <v xml:space="preserve"> </v>
          </cell>
          <cell r="E170" t="b">
            <v>0</v>
          </cell>
          <cell r="F170" t="b">
            <v>0</v>
          </cell>
          <cell r="G170" t="b">
            <v>0</v>
          </cell>
          <cell r="I170">
            <v>1</v>
          </cell>
          <cell r="AG170">
            <v>0</v>
          </cell>
          <cell r="AM170">
            <v>0</v>
          </cell>
          <cell r="AO170">
            <v>0</v>
          </cell>
        </row>
        <row r="171">
          <cell r="A171" t="str">
            <v/>
          </cell>
          <cell r="C171" t="str">
            <v>Prorated on Returns</v>
          </cell>
          <cell r="D171" t="str">
            <v xml:space="preserve"> </v>
          </cell>
          <cell r="E171" t="b">
            <v>0</v>
          </cell>
          <cell r="F171" t="b">
            <v>0</v>
          </cell>
          <cell r="G171" t="b">
            <v>0</v>
          </cell>
          <cell r="I171">
            <v>1</v>
          </cell>
          <cell r="AG171">
            <v>0</v>
          </cell>
          <cell r="AM171">
            <v>0</v>
          </cell>
          <cell r="AO171">
            <v>0</v>
          </cell>
        </row>
        <row r="172">
          <cell r="A172" t="str">
            <v/>
          </cell>
          <cell r="C172" t="str">
            <v>Prorated on Returns</v>
          </cell>
          <cell r="D172" t="str">
            <v xml:space="preserve"> </v>
          </cell>
          <cell r="E172" t="b">
            <v>0</v>
          </cell>
          <cell r="F172" t="b">
            <v>0</v>
          </cell>
          <cell r="G172" t="b">
            <v>0</v>
          </cell>
          <cell r="I172">
            <v>1</v>
          </cell>
          <cell r="AG172">
            <v>0</v>
          </cell>
          <cell r="AM172">
            <v>0</v>
          </cell>
          <cell r="AO172">
            <v>0</v>
          </cell>
        </row>
        <row r="173">
          <cell r="A173" t="str">
            <v/>
          </cell>
          <cell r="C173" t="str">
            <v>Prorated on Returns</v>
          </cell>
          <cell r="D173" t="str">
            <v xml:space="preserve"> </v>
          </cell>
          <cell r="E173" t="b">
            <v>0</v>
          </cell>
          <cell r="F173" t="b">
            <v>0</v>
          </cell>
          <cell r="G173" t="b">
            <v>0</v>
          </cell>
          <cell r="I173">
            <v>1</v>
          </cell>
          <cell r="AG173">
            <v>0</v>
          </cell>
          <cell r="AM173">
            <v>0</v>
          </cell>
          <cell r="AO173">
            <v>0</v>
          </cell>
        </row>
        <row r="174">
          <cell r="A174" t="str">
            <v/>
          </cell>
          <cell r="C174" t="str">
            <v>Prorated on Returns</v>
          </cell>
          <cell r="D174" t="str">
            <v xml:space="preserve"> </v>
          </cell>
          <cell r="E174" t="b">
            <v>0</v>
          </cell>
          <cell r="F174" t="b">
            <v>0</v>
          </cell>
          <cell r="G174" t="b">
            <v>0</v>
          </cell>
          <cell r="I174">
            <v>1</v>
          </cell>
          <cell r="AG174">
            <v>0</v>
          </cell>
          <cell r="AM174">
            <v>0</v>
          </cell>
          <cell r="AO174">
            <v>0</v>
          </cell>
        </row>
        <row r="175">
          <cell r="A175" t="str">
            <v/>
          </cell>
          <cell r="C175" t="str">
            <v>Prorated on Returns</v>
          </cell>
          <cell r="D175" t="str">
            <v xml:space="preserve"> </v>
          </cell>
          <cell r="E175" t="b">
            <v>0</v>
          </cell>
          <cell r="F175" t="b">
            <v>0</v>
          </cell>
          <cell r="G175" t="b">
            <v>0</v>
          </cell>
          <cell r="I175">
            <v>1</v>
          </cell>
          <cell r="AG175">
            <v>0</v>
          </cell>
          <cell r="AM175">
            <v>0</v>
          </cell>
          <cell r="AO175">
            <v>0</v>
          </cell>
        </row>
        <row r="176">
          <cell r="A176" t="str">
            <v/>
          </cell>
          <cell r="C176" t="str">
            <v>Prorated on Returns</v>
          </cell>
          <cell r="D176" t="str">
            <v xml:space="preserve"> </v>
          </cell>
          <cell r="E176" t="b">
            <v>0</v>
          </cell>
          <cell r="F176" t="b">
            <v>0</v>
          </cell>
          <cell r="G176" t="b">
            <v>0</v>
          </cell>
          <cell r="I176">
            <v>1</v>
          </cell>
          <cell r="AG176">
            <v>0</v>
          </cell>
          <cell r="AM176">
            <v>0</v>
          </cell>
          <cell r="AO176">
            <v>0</v>
          </cell>
        </row>
        <row r="177">
          <cell r="A177" t="str">
            <v/>
          </cell>
          <cell r="C177" t="str">
            <v>Prorated on Returns</v>
          </cell>
          <cell r="D177" t="str">
            <v xml:space="preserve"> </v>
          </cell>
          <cell r="E177" t="b">
            <v>0</v>
          </cell>
          <cell r="F177" t="b">
            <v>0</v>
          </cell>
          <cell r="G177" t="b">
            <v>0</v>
          </cell>
          <cell r="I177">
            <v>1</v>
          </cell>
          <cell r="AG177">
            <v>0</v>
          </cell>
          <cell r="AM177">
            <v>0</v>
          </cell>
          <cell r="AO177">
            <v>0</v>
          </cell>
        </row>
        <row r="178">
          <cell r="A178" t="str">
            <v/>
          </cell>
          <cell r="C178" t="str">
            <v>Prorated on Returns</v>
          </cell>
          <cell r="D178" t="str">
            <v xml:space="preserve"> </v>
          </cell>
          <cell r="E178" t="b">
            <v>0</v>
          </cell>
          <cell r="F178" t="b">
            <v>0</v>
          </cell>
          <cell r="G178" t="b">
            <v>0</v>
          </cell>
          <cell r="I178">
            <v>1</v>
          </cell>
          <cell r="AG178">
            <v>0</v>
          </cell>
          <cell r="AM178">
            <v>0</v>
          </cell>
          <cell r="AO178">
            <v>0</v>
          </cell>
        </row>
        <row r="179">
          <cell r="A179" t="str">
            <v/>
          </cell>
          <cell r="C179" t="str">
            <v>Prorated on Returns</v>
          </cell>
          <cell r="D179" t="str">
            <v xml:space="preserve"> </v>
          </cell>
          <cell r="E179" t="b">
            <v>0</v>
          </cell>
          <cell r="F179" t="b">
            <v>0</v>
          </cell>
          <cell r="G179" t="b">
            <v>0</v>
          </cell>
          <cell r="I179">
            <v>1</v>
          </cell>
          <cell r="AG179">
            <v>0</v>
          </cell>
          <cell r="AM179">
            <v>0</v>
          </cell>
          <cell r="AO179">
            <v>0</v>
          </cell>
        </row>
        <row r="180">
          <cell r="A180" t="str">
            <v/>
          </cell>
          <cell r="C180" t="str">
            <v>Prorated on Returns</v>
          </cell>
          <cell r="D180" t="str">
            <v xml:space="preserve"> </v>
          </cell>
          <cell r="E180" t="b">
            <v>0</v>
          </cell>
          <cell r="F180" t="b">
            <v>0</v>
          </cell>
          <cell r="G180" t="b">
            <v>0</v>
          </cell>
          <cell r="I180">
            <v>1</v>
          </cell>
          <cell r="AG180">
            <v>0</v>
          </cell>
          <cell r="AM180">
            <v>0</v>
          </cell>
          <cell r="AO180">
            <v>0</v>
          </cell>
        </row>
        <row r="181">
          <cell r="A181" t="str">
            <v/>
          </cell>
          <cell r="C181" t="str">
            <v>Prorated on Returns</v>
          </cell>
          <cell r="D181" t="str">
            <v xml:space="preserve"> </v>
          </cell>
          <cell r="E181" t="b">
            <v>0</v>
          </cell>
          <cell r="F181" t="b">
            <v>0</v>
          </cell>
          <cell r="G181" t="b">
            <v>0</v>
          </cell>
          <cell r="I181">
            <v>1</v>
          </cell>
          <cell r="AG181">
            <v>0</v>
          </cell>
          <cell r="AM181">
            <v>0</v>
          </cell>
          <cell r="AO181">
            <v>0</v>
          </cell>
        </row>
        <row r="182">
          <cell r="A182" t="str">
            <v/>
          </cell>
          <cell r="C182" t="str">
            <v>Prorated on Returns</v>
          </cell>
          <cell r="D182" t="str">
            <v xml:space="preserve"> </v>
          </cell>
          <cell r="E182" t="b">
            <v>0</v>
          </cell>
          <cell r="F182" t="b">
            <v>0</v>
          </cell>
          <cell r="G182" t="b">
            <v>0</v>
          </cell>
          <cell r="I182">
            <v>1</v>
          </cell>
          <cell r="AG182">
            <v>0</v>
          </cell>
          <cell r="AM182">
            <v>0</v>
          </cell>
          <cell r="AO182">
            <v>0</v>
          </cell>
        </row>
        <row r="183">
          <cell r="A183" t="str">
            <v/>
          </cell>
          <cell r="C183" t="str">
            <v>Prorated on Returns</v>
          </cell>
          <cell r="D183" t="str">
            <v xml:space="preserve"> </v>
          </cell>
          <cell r="E183" t="b">
            <v>0</v>
          </cell>
          <cell r="F183" t="b">
            <v>0</v>
          </cell>
          <cell r="G183" t="b">
            <v>0</v>
          </cell>
          <cell r="I183">
            <v>1</v>
          </cell>
          <cell r="AG183">
            <v>0</v>
          </cell>
          <cell r="AM183">
            <v>0</v>
          </cell>
          <cell r="AO183">
            <v>0</v>
          </cell>
        </row>
        <row r="184">
          <cell r="A184" t="str">
            <v/>
          </cell>
          <cell r="C184" t="str">
            <v>Prorated on Returns</v>
          </cell>
          <cell r="D184" t="str">
            <v xml:space="preserve"> </v>
          </cell>
          <cell r="E184" t="b">
            <v>0</v>
          </cell>
          <cell r="F184" t="b">
            <v>0</v>
          </cell>
          <cell r="G184" t="b">
            <v>0</v>
          </cell>
          <cell r="I184">
            <v>1</v>
          </cell>
          <cell r="AG184">
            <v>0</v>
          </cell>
          <cell r="AM184">
            <v>0</v>
          </cell>
          <cell r="AO184">
            <v>0</v>
          </cell>
        </row>
        <row r="185">
          <cell r="A185" t="str">
            <v/>
          </cell>
          <cell r="C185" t="str">
            <v>Prorated on Returns</v>
          </cell>
          <cell r="D185" t="str">
            <v xml:space="preserve"> </v>
          </cell>
          <cell r="E185" t="b">
            <v>0</v>
          </cell>
          <cell r="F185" t="b">
            <v>0</v>
          </cell>
          <cell r="G185" t="b">
            <v>0</v>
          </cell>
          <cell r="I185">
            <v>1</v>
          </cell>
          <cell r="AG185">
            <v>0</v>
          </cell>
          <cell r="AM185">
            <v>0</v>
          </cell>
          <cell r="AO185">
            <v>0</v>
          </cell>
        </row>
        <row r="186">
          <cell r="A186" t="str">
            <v/>
          </cell>
          <cell r="C186" t="str">
            <v>Prorated on Returns</v>
          </cell>
          <cell r="D186" t="str">
            <v xml:space="preserve"> </v>
          </cell>
          <cell r="E186" t="b">
            <v>0</v>
          </cell>
          <cell r="F186" t="b">
            <v>0</v>
          </cell>
          <cell r="G186" t="b">
            <v>0</v>
          </cell>
          <cell r="I186">
            <v>1</v>
          </cell>
          <cell r="AG186">
            <v>0</v>
          </cell>
          <cell r="AM186">
            <v>0</v>
          </cell>
          <cell r="AO186">
            <v>0</v>
          </cell>
        </row>
        <row r="187">
          <cell r="A187" t="str">
            <v/>
          </cell>
          <cell r="C187" t="str">
            <v>Prorated on Returns</v>
          </cell>
          <cell r="D187" t="str">
            <v xml:space="preserve"> </v>
          </cell>
          <cell r="E187" t="b">
            <v>0</v>
          </cell>
          <cell r="F187" t="b">
            <v>0</v>
          </cell>
          <cell r="G187" t="b">
            <v>0</v>
          </cell>
          <cell r="I187">
            <v>1</v>
          </cell>
          <cell r="AG187">
            <v>0</v>
          </cell>
          <cell r="AM187">
            <v>0</v>
          </cell>
          <cell r="AO187">
            <v>0</v>
          </cell>
        </row>
        <row r="192">
          <cell r="BT192">
            <v>23100</v>
          </cell>
          <cell r="BY192">
            <v>23100</v>
          </cell>
          <cell r="CD192">
            <v>23100</v>
          </cell>
        </row>
        <row r="196">
          <cell r="AZ196">
            <v>23000</v>
          </cell>
          <cell r="BA196">
            <v>23000</v>
          </cell>
          <cell r="BB196">
            <v>23000</v>
          </cell>
          <cell r="BD196">
            <v>40</v>
          </cell>
          <cell r="BE196">
            <v>23000</v>
          </cell>
          <cell r="BF196">
            <v>18720</v>
          </cell>
          <cell r="BI196">
            <v>40</v>
          </cell>
          <cell r="BJ196">
            <v>23000</v>
          </cell>
          <cell r="BK196">
            <v>18720</v>
          </cell>
          <cell r="BN196">
            <v>40</v>
          </cell>
          <cell r="BO196">
            <v>23000</v>
          </cell>
          <cell r="BP196">
            <v>18720</v>
          </cell>
          <cell r="BS196">
            <v>40</v>
          </cell>
          <cell r="BT196">
            <v>23100</v>
          </cell>
          <cell r="BU196">
            <v>18820</v>
          </cell>
          <cell r="BX196">
            <v>40</v>
          </cell>
          <cell r="BY196">
            <v>23100</v>
          </cell>
          <cell r="BZ196">
            <v>18820</v>
          </cell>
          <cell r="CC196">
            <v>40</v>
          </cell>
          <cell r="CD196">
            <v>23100</v>
          </cell>
          <cell r="CE196">
            <v>18820</v>
          </cell>
        </row>
        <row r="200">
          <cell r="BE200">
            <v>24610</v>
          </cell>
          <cell r="BJ200">
            <v>24610</v>
          </cell>
          <cell r="BO200">
            <v>24610</v>
          </cell>
          <cell r="BT200">
            <v>24717</v>
          </cell>
          <cell r="BY200">
            <v>24717</v>
          </cell>
          <cell r="CD200">
            <v>24717</v>
          </cell>
        </row>
        <row r="209">
          <cell r="BS209">
            <v>40</v>
          </cell>
          <cell r="BT209">
            <v>23000</v>
          </cell>
          <cell r="BU209">
            <v>18720</v>
          </cell>
          <cell r="BX209">
            <v>40</v>
          </cell>
          <cell r="BY209">
            <v>23000</v>
          </cell>
          <cell r="BZ209">
            <v>18720</v>
          </cell>
          <cell r="CC209">
            <v>40</v>
          </cell>
          <cell r="CD209">
            <v>23000</v>
          </cell>
          <cell r="CE209">
            <v>18720</v>
          </cell>
        </row>
        <row r="213">
          <cell r="BT213">
            <v>24610</v>
          </cell>
          <cell r="BY213">
            <v>24610</v>
          </cell>
          <cell r="CD213">
            <v>24610</v>
          </cell>
        </row>
      </sheetData>
      <sheetData sheetId="2">
        <row r="2">
          <cell r="P2" t="str">
            <v>Ultimate</v>
          </cell>
          <cell r="R2" t="str">
            <v>Enhanced</v>
          </cell>
          <cell r="X2" t="str">
            <v xml:space="preserve">Comparison Data - Alacon Investors, LLC Partnership LLC Return 2024/12 (PRJ000162919)
</v>
          </cell>
        </row>
        <row r="4">
          <cell r="B4" t="str">
            <v>No</v>
          </cell>
        </row>
        <row r="6">
          <cell r="P6">
            <v>23000</v>
          </cell>
          <cell r="R6">
            <v>23000</v>
          </cell>
          <cell r="T6">
            <v>23000</v>
          </cell>
        </row>
        <row r="14">
          <cell r="D14">
            <v>23000</v>
          </cell>
          <cell r="F14">
            <v>23000</v>
          </cell>
          <cell r="H14">
            <v>23000</v>
          </cell>
          <cell r="J14">
            <v>23100</v>
          </cell>
          <cell r="L14">
            <v>23100</v>
          </cell>
          <cell r="N14">
            <v>23100</v>
          </cell>
          <cell r="P14">
            <v>23000</v>
          </cell>
          <cell r="R14">
            <v>23000</v>
          </cell>
          <cell r="T14">
            <v>23000</v>
          </cell>
        </row>
        <row r="16">
          <cell r="D16">
            <v>24610</v>
          </cell>
          <cell r="F16">
            <v>24610</v>
          </cell>
          <cell r="H16">
            <v>24610</v>
          </cell>
          <cell r="J16">
            <v>24717</v>
          </cell>
          <cell r="L16">
            <v>24717</v>
          </cell>
          <cell r="N16">
            <v>24717</v>
          </cell>
          <cell r="P16">
            <v>24610</v>
          </cell>
          <cell r="R16">
            <v>24610</v>
          </cell>
          <cell r="T16">
            <v>24610</v>
          </cell>
        </row>
        <row r="20">
          <cell r="D20">
            <v>0.81391304347826088</v>
          </cell>
          <cell r="F20">
            <v>0.81391304347826088</v>
          </cell>
          <cell r="H20">
            <v>0.81391304347826088</v>
          </cell>
          <cell r="J20">
            <v>0.81471861471861473</v>
          </cell>
          <cell r="L20">
            <v>0.81471861471861473</v>
          </cell>
          <cell r="N20">
            <v>0.81471861471861473</v>
          </cell>
          <cell r="P20">
            <v>0.81391304347826088</v>
          </cell>
          <cell r="R20">
            <v>0.81391304347826088</v>
          </cell>
          <cell r="T20">
            <v>0.81391304347826088</v>
          </cell>
        </row>
        <row r="24">
          <cell r="D24">
            <v>1</v>
          </cell>
          <cell r="F24">
            <v>1</v>
          </cell>
          <cell r="H24">
            <v>1</v>
          </cell>
          <cell r="J24">
            <v>1.0043478260869565</v>
          </cell>
          <cell r="L24">
            <v>1.0043478260869565</v>
          </cell>
          <cell r="N24">
            <v>1.0043478260869565</v>
          </cell>
          <cell r="P24">
            <v>1</v>
          </cell>
          <cell r="R24">
            <v>1</v>
          </cell>
          <cell r="T24">
            <v>1</v>
          </cell>
        </row>
        <row r="31">
          <cell r="B31" t="str">
            <v>Fixed Fee</v>
          </cell>
        </row>
        <row r="33">
          <cell r="B33" t="str">
            <v>Ultimate</v>
          </cell>
        </row>
        <row r="35">
          <cell r="A35" t="str">
            <v>Margin Meets Benchmark - OK to Proceed</v>
          </cell>
        </row>
        <row r="39">
          <cell r="D39" t="str">
            <v>False</v>
          </cell>
          <cell r="F39" t="str">
            <v>False</v>
          </cell>
          <cell r="H39" t="str">
            <v>False</v>
          </cell>
          <cell r="J39" t="str">
            <v>False</v>
          </cell>
          <cell r="L39" t="str">
            <v>False</v>
          </cell>
          <cell r="N39" t="str">
            <v>False</v>
          </cell>
          <cell r="P39" t="str">
            <v>True</v>
          </cell>
          <cell r="R39" t="str">
            <v>False</v>
          </cell>
          <cell r="T39" t="str">
            <v>False</v>
          </cell>
        </row>
      </sheetData>
      <sheetData sheetId="3">
        <row r="11">
          <cell r="C11">
            <v>1</v>
          </cell>
        </row>
        <row r="12">
          <cell r="C12">
            <v>0.81391304347826088</v>
          </cell>
        </row>
        <row r="13">
          <cell r="C13">
            <v>7.0000000000000007E-2</v>
          </cell>
        </row>
        <row r="15">
          <cell r="B15" t="str">
            <v/>
          </cell>
        </row>
        <row r="71">
          <cell r="Z71">
            <v>10</v>
          </cell>
          <cell r="AE71">
            <v>5675.3246753246749</v>
          </cell>
        </row>
        <row r="72">
          <cell r="Z72">
            <v>10</v>
          </cell>
          <cell r="AE72">
            <v>5774.8917748917747</v>
          </cell>
        </row>
        <row r="73">
          <cell r="Z73">
            <v>10</v>
          </cell>
          <cell r="AE73">
            <v>5774.8917748917747</v>
          </cell>
        </row>
        <row r="74">
          <cell r="Z74">
            <v>10</v>
          </cell>
          <cell r="AE74">
            <v>5774.8917748917747</v>
          </cell>
        </row>
        <row r="75">
          <cell r="Z75">
            <v>0</v>
          </cell>
          <cell r="AE75">
            <v>0</v>
          </cell>
        </row>
        <row r="76">
          <cell r="Z76">
            <v>0</v>
          </cell>
          <cell r="AE76">
            <v>0</v>
          </cell>
        </row>
        <row r="77">
          <cell r="Z77">
            <v>0</v>
          </cell>
          <cell r="AE77">
            <v>0</v>
          </cell>
        </row>
        <row r="78">
          <cell r="Z78">
            <v>0</v>
          </cell>
          <cell r="AE78">
            <v>0</v>
          </cell>
        </row>
        <row r="79">
          <cell r="Z79">
            <v>0</v>
          </cell>
          <cell r="AE79">
            <v>0</v>
          </cell>
        </row>
        <row r="80">
          <cell r="Z80">
            <v>0</v>
          </cell>
          <cell r="AE80">
            <v>0</v>
          </cell>
        </row>
        <row r="81">
          <cell r="Z81">
            <v>0</v>
          </cell>
          <cell r="AE81">
            <v>0</v>
          </cell>
        </row>
        <row r="82">
          <cell r="Z82">
            <v>0</v>
          </cell>
          <cell r="AE82">
            <v>0</v>
          </cell>
        </row>
        <row r="83">
          <cell r="Z83">
            <v>0</v>
          </cell>
          <cell r="AE83">
            <v>0</v>
          </cell>
        </row>
        <row r="84">
          <cell r="Z84">
            <v>0</v>
          </cell>
          <cell r="AE84">
            <v>0</v>
          </cell>
        </row>
        <row r="85">
          <cell r="Z85">
            <v>0</v>
          </cell>
          <cell r="AE85">
            <v>0</v>
          </cell>
        </row>
        <row r="86">
          <cell r="Z86">
            <v>0</v>
          </cell>
          <cell r="AE86">
            <v>0</v>
          </cell>
        </row>
        <row r="87">
          <cell r="Z87">
            <v>0</v>
          </cell>
          <cell r="AE87">
            <v>0</v>
          </cell>
        </row>
        <row r="88">
          <cell r="Z88">
            <v>0</v>
          </cell>
          <cell r="AE88">
            <v>0</v>
          </cell>
        </row>
        <row r="89">
          <cell r="Z89">
            <v>0</v>
          </cell>
          <cell r="AE89">
            <v>0</v>
          </cell>
        </row>
        <row r="90">
          <cell r="Z90">
            <v>0</v>
          </cell>
          <cell r="AE90">
            <v>0</v>
          </cell>
        </row>
        <row r="91">
          <cell r="Z91">
            <v>0</v>
          </cell>
          <cell r="AE91">
            <v>0</v>
          </cell>
        </row>
        <row r="92">
          <cell r="Z92">
            <v>0</v>
          </cell>
          <cell r="AE92">
            <v>0</v>
          </cell>
        </row>
        <row r="93">
          <cell r="Z93">
            <v>0</v>
          </cell>
          <cell r="AE93">
            <v>0</v>
          </cell>
        </row>
        <row r="94">
          <cell r="Z94">
            <v>0</v>
          </cell>
          <cell r="AE94">
            <v>0</v>
          </cell>
        </row>
        <row r="95">
          <cell r="Z95">
            <v>0</v>
          </cell>
          <cell r="AE95">
            <v>0</v>
          </cell>
        </row>
        <row r="96">
          <cell r="Z96">
            <v>0</v>
          </cell>
          <cell r="AE96">
            <v>0</v>
          </cell>
        </row>
        <row r="97">
          <cell r="Z97">
            <v>0</v>
          </cell>
          <cell r="AE97">
            <v>0</v>
          </cell>
        </row>
        <row r="98">
          <cell r="Z98">
            <v>0</v>
          </cell>
          <cell r="AE98">
            <v>0</v>
          </cell>
        </row>
        <row r="99">
          <cell r="Z99">
            <v>0</v>
          </cell>
          <cell r="AE99">
            <v>0</v>
          </cell>
        </row>
        <row r="100">
          <cell r="Z100">
            <v>0</v>
          </cell>
          <cell r="AE100">
            <v>0</v>
          </cell>
        </row>
        <row r="101">
          <cell r="Z101">
            <v>0</v>
          </cell>
          <cell r="AE101">
            <v>0</v>
          </cell>
        </row>
        <row r="102">
          <cell r="Z102">
            <v>0</v>
          </cell>
          <cell r="AE102">
            <v>0</v>
          </cell>
        </row>
        <row r="103">
          <cell r="Z103">
            <v>0</v>
          </cell>
          <cell r="AE103">
            <v>0</v>
          </cell>
        </row>
        <row r="104">
          <cell r="Z104">
            <v>0</v>
          </cell>
          <cell r="AE104">
            <v>0</v>
          </cell>
        </row>
        <row r="105">
          <cell r="Z105">
            <v>0</v>
          </cell>
          <cell r="AE105">
            <v>0</v>
          </cell>
        </row>
        <row r="106">
          <cell r="Z106">
            <v>0</v>
          </cell>
          <cell r="AE106">
            <v>0</v>
          </cell>
        </row>
        <row r="107">
          <cell r="Z107">
            <v>0</v>
          </cell>
          <cell r="AE107">
            <v>0</v>
          </cell>
        </row>
        <row r="108">
          <cell r="Z108">
            <v>0</v>
          </cell>
          <cell r="AE108">
            <v>0</v>
          </cell>
        </row>
        <row r="109">
          <cell r="Z109">
            <v>0</v>
          </cell>
          <cell r="AE109">
            <v>0</v>
          </cell>
        </row>
        <row r="110">
          <cell r="Z110">
            <v>0</v>
          </cell>
          <cell r="AE110">
            <v>0</v>
          </cell>
        </row>
      </sheetData>
      <sheetData sheetId="4">
        <row r="185">
          <cell r="D185">
            <v>24610</v>
          </cell>
          <cell r="F185">
            <v>24610</v>
          </cell>
          <cell r="H185">
            <v>24610</v>
          </cell>
        </row>
      </sheetData>
      <sheetData sheetId="5">
        <row r="1">
          <cell r="B1" t="str">
            <v>Standard Rates US</v>
          </cell>
          <cell r="M1" t="str">
            <v>Standard Costs US</v>
          </cell>
          <cell r="X1" t="str">
            <v>Standard Rates India</v>
          </cell>
          <cell r="AI1" t="str">
            <v>Standard Costs India</v>
          </cell>
          <cell r="AT1" t="str">
            <v>Standard Rates Philipinnes</v>
          </cell>
          <cell r="BE1" t="str">
            <v>Standard Costs Philipinnes</v>
          </cell>
        </row>
        <row r="2">
          <cell r="A2" t="str">
            <v>Territory</v>
          </cell>
          <cell r="B2" t="str">
            <v>US</v>
          </cell>
          <cell r="C2" t="str">
            <v>US</v>
          </cell>
          <cell r="D2" t="str">
            <v>US</v>
          </cell>
          <cell r="E2" t="str">
            <v>US</v>
          </cell>
          <cell r="F2" t="str">
            <v>US</v>
          </cell>
          <cell r="G2" t="str">
            <v>US</v>
          </cell>
          <cell r="H2" t="str">
            <v>US</v>
          </cell>
          <cell r="I2" t="str">
            <v>US</v>
          </cell>
          <cell r="J2" t="str">
            <v>US</v>
          </cell>
          <cell r="L2" t="str">
            <v>Territory</v>
          </cell>
          <cell r="M2" t="str">
            <v>US</v>
          </cell>
          <cell r="N2" t="str">
            <v>US</v>
          </cell>
          <cell r="O2" t="str">
            <v>US</v>
          </cell>
          <cell r="P2" t="str">
            <v>US</v>
          </cell>
          <cell r="Q2" t="str">
            <v>US</v>
          </cell>
          <cell r="R2" t="str">
            <v>US</v>
          </cell>
          <cell r="S2" t="str">
            <v>US</v>
          </cell>
          <cell r="T2" t="str">
            <v>US</v>
          </cell>
          <cell r="W2" t="str">
            <v>Territory</v>
          </cell>
          <cell r="X2" t="str">
            <v>India</v>
          </cell>
          <cell r="Y2" t="str">
            <v>India</v>
          </cell>
          <cell r="Z2" t="str">
            <v>India</v>
          </cell>
          <cell r="AA2" t="str">
            <v>India</v>
          </cell>
          <cell r="AB2" t="str">
            <v>India</v>
          </cell>
          <cell r="AC2" t="str">
            <v>India</v>
          </cell>
          <cell r="AD2" t="str">
            <v>India</v>
          </cell>
          <cell r="AE2" t="str">
            <v>India</v>
          </cell>
          <cell r="AF2" t="str">
            <v>India</v>
          </cell>
          <cell r="AH2" t="str">
            <v>Territory</v>
          </cell>
          <cell r="AI2" t="str">
            <v>India</v>
          </cell>
          <cell r="AJ2" t="str">
            <v>India</v>
          </cell>
          <cell r="AK2" t="str">
            <v>India</v>
          </cell>
          <cell r="AL2" t="str">
            <v>India</v>
          </cell>
          <cell r="AM2" t="str">
            <v>India</v>
          </cell>
          <cell r="AN2" t="str">
            <v>India</v>
          </cell>
          <cell r="AO2" t="str">
            <v>India</v>
          </cell>
          <cell r="AP2" t="str">
            <v>India</v>
          </cell>
          <cell r="AS2" t="str">
            <v>Territory</v>
          </cell>
          <cell r="AT2" t="str">
            <v>Phillip</v>
          </cell>
          <cell r="AU2" t="str">
            <v>Phillip</v>
          </cell>
          <cell r="AV2" t="str">
            <v>Phillip</v>
          </cell>
          <cell r="AW2" t="str">
            <v>Phillip</v>
          </cell>
          <cell r="AX2" t="str">
            <v>Phillip</v>
          </cell>
          <cell r="AY2" t="str">
            <v>Phillip</v>
          </cell>
          <cell r="AZ2" t="str">
            <v>Phillip</v>
          </cell>
          <cell r="BA2" t="str">
            <v>Phillip</v>
          </cell>
          <cell r="BB2" t="str">
            <v>Phillip</v>
          </cell>
          <cell r="BD2" t="str">
            <v>Territory</v>
          </cell>
          <cell r="BE2" t="str">
            <v>Phillip</v>
          </cell>
          <cell r="BF2" t="str">
            <v>Phillip</v>
          </cell>
          <cell r="BG2" t="str">
            <v>Phillip</v>
          </cell>
          <cell r="BH2" t="str">
            <v>Phillip</v>
          </cell>
          <cell r="BI2" t="str">
            <v>Phillip</v>
          </cell>
          <cell r="BJ2" t="str">
            <v>Phillip</v>
          </cell>
          <cell r="BK2" t="str">
            <v>Phillip</v>
          </cell>
          <cell r="BL2" t="str">
            <v>Phillip</v>
          </cell>
        </row>
        <row r="3">
          <cell r="A3" t="str">
            <v>Service Line</v>
          </cell>
          <cell r="B3" t="str">
            <v>National</v>
          </cell>
          <cell r="C3" t="str">
            <v>Austin</v>
          </cell>
          <cell r="D3" t="str">
            <v>St. Louis</v>
          </cell>
          <cell r="E3" t="str">
            <v>Philly</v>
          </cell>
          <cell r="F3" t="str">
            <v>Dallas</v>
          </cell>
          <cell r="G3" t="str">
            <v>New York</v>
          </cell>
          <cell r="H3" t="str">
            <v>Denver</v>
          </cell>
          <cell r="I3" t="str">
            <v>SLC</v>
          </cell>
          <cell r="J3" t="str">
            <v>NOW</v>
          </cell>
          <cell r="L3" t="str">
            <v>Service Line</v>
          </cell>
          <cell r="M3" t="str">
            <v>National</v>
          </cell>
          <cell r="N3" t="str">
            <v>Austin</v>
          </cell>
          <cell r="O3" t="str">
            <v>St. Louis</v>
          </cell>
          <cell r="P3" t="str">
            <v>Philly</v>
          </cell>
          <cell r="Q3" t="str">
            <v>Dallas</v>
          </cell>
          <cell r="R3" t="str">
            <v>New York</v>
          </cell>
          <cell r="S3" t="str">
            <v>Denver</v>
          </cell>
          <cell r="T3" t="str">
            <v>SLC</v>
          </cell>
          <cell r="W3" t="str">
            <v>Service Line</v>
          </cell>
          <cell r="X3" t="str">
            <v>National</v>
          </cell>
          <cell r="Y3" t="str">
            <v>Austin</v>
          </cell>
          <cell r="Z3" t="str">
            <v>St. Louis</v>
          </cell>
          <cell r="AA3" t="str">
            <v>Philly</v>
          </cell>
          <cell r="AB3" t="str">
            <v>Dallas</v>
          </cell>
          <cell r="AC3" t="str">
            <v>New York</v>
          </cell>
          <cell r="AD3" t="str">
            <v>Denver</v>
          </cell>
          <cell r="AE3" t="str">
            <v>SLC</v>
          </cell>
          <cell r="AF3" t="str">
            <v>NOW</v>
          </cell>
          <cell r="AH3" t="str">
            <v>Service Line</v>
          </cell>
          <cell r="AI3" t="str">
            <v>National</v>
          </cell>
          <cell r="AJ3" t="str">
            <v>Austin</v>
          </cell>
          <cell r="AK3" t="str">
            <v>St. Louis</v>
          </cell>
          <cell r="AL3" t="str">
            <v>Philly</v>
          </cell>
          <cell r="AM3" t="str">
            <v>Dallas</v>
          </cell>
          <cell r="AN3" t="str">
            <v>New York</v>
          </cell>
          <cell r="AO3" t="str">
            <v>Denver</v>
          </cell>
          <cell r="AP3" t="str">
            <v>SLC</v>
          </cell>
          <cell r="AS3" t="str">
            <v>Service Line</v>
          </cell>
          <cell r="AT3" t="str">
            <v>National</v>
          </cell>
          <cell r="AU3" t="str">
            <v>Austin</v>
          </cell>
          <cell r="AV3" t="str">
            <v>St. Louis</v>
          </cell>
          <cell r="AW3" t="str">
            <v>Philly</v>
          </cell>
          <cell r="AX3" t="str">
            <v>Dallas</v>
          </cell>
          <cell r="AY3" t="str">
            <v>New York</v>
          </cell>
          <cell r="AZ3" t="str">
            <v>Denver</v>
          </cell>
          <cell r="BA3" t="str">
            <v>SLC</v>
          </cell>
          <cell r="BB3" t="str">
            <v>NOW</v>
          </cell>
          <cell r="BD3" t="str">
            <v>Service Line</v>
          </cell>
          <cell r="BE3" t="str">
            <v>National</v>
          </cell>
          <cell r="BF3" t="str">
            <v>Austin</v>
          </cell>
          <cell r="BG3" t="str">
            <v>St. Louis</v>
          </cell>
          <cell r="BH3" t="str">
            <v>Philly</v>
          </cell>
          <cell r="BI3" t="str">
            <v>Dallas</v>
          </cell>
          <cell r="BJ3" t="str">
            <v>New York</v>
          </cell>
          <cell r="BK3" t="str">
            <v>Denver</v>
          </cell>
          <cell r="BL3" t="str">
            <v>SLC</v>
          </cell>
        </row>
        <row r="4">
          <cell r="A4" t="str">
            <v>Job Group</v>
          </cell>
          <cell r="B4">
            <v>1</v>
          </cell>
          <cell r="C4">
            <v>2</v>
          </cell>
          <cell r="D4">
            <v>3</v>
          </cell>
          <cell r="E4">
            <v>4</v>
          </cell>
          <cell r="F4">
            <v>5</v>
          </cell>
          <cell r="G4">
            <v>6</v>
          </cell>
          <cell r="H4">
            <v>7</v>
          </cell>
          <cell r="I4">
            <v>8</v>
          </cell>
          <cell r="L4" t="str">
            <v>Job Group</v>
          </cell>
          <cell r="M4">
            <v>1</v>
          </cell>
          <cell r="N4">
            <v>2</v>
          </cell>
          <cell r="O4">
            <v>3</v>
          </cell>
          <cell r="P4">
            <v>4</v>
          </cell>
          <cell r="Q4">
            <v>5</v>
          </cell>
          <cell r="R4">
            <v>6</v>
          </cell>
          <cell r="S4">
            <v>7</v>
          </cell>
          <cell r="T4">
            <v>8</v>
          </cell>
          <cell r="W4" t="str">
            <v>Job Group</v>
          </cell>
          <cell r="X4">
            <v>1</v>
          </cell>
          <cell r="Y4">
            <v>2</v>
          </cell>
          <cell r="Z4">
            <v>3</v>
          </cell>
          <cell r="AA4">
            <v>4</v>
          </cell>
          <cell r="AB4">
            <v>5</v>
          </cell>
          <cell r="AC4">
            <v>6</v>
          </cell>
          <cell r="AD4">
            <v>7</v>
          </cell>
          <cell r="AE4">
            <v>8</v>
          </cell>
          <cell r="AH4" t="str">
            <v>Job Group</v>
          </cell>
          <cell r="AI4">
            <v>1</v>
          </cell>
          <cell r="AJ4">
            <v>2</v>
          </cell>
          <cell r="AK4">
            <v>3</v>
          </cell>
          <cell r="AL4">
            <v>4</v>
          </cell>
          <cell r="AM4">
            <v>5</v>
          </cell>
          <cell r="AN4">
            <v>6</v>
          </cell>
          <cell r="AO4">
            <v>7</v>
          </cell>
          <cell r="AP4">
            <v>8</v>
          </cell>
          <cell r="AS4" t="str">
            <v>Job Group</v>
          </cell>
          <cell r="AT4">
            <v>1</v>
          </cell>
          <cell r="AU4">
            <v>2</v>
          </cell>
          <cell r="AV4">
            <v>3</v>
          </cell>
          <cell r="AW4">
            <v>4</v>
          </cell>
          <cell r="AX4">
            <v>5</v>
          </cell>
          <cell r="AY4">
            <v>6</v>
          </cell>
          <cell r="AZ4">
            <v>7</v>
          </cell>
          <cell r="BA4">
            <v>8</v>
          </cell>
          <cell r="BD4" t="str">
            <v>Job Group</v>
          </cell>
          <cell r="BE4">
            <v>1</v>
          </cell>
          <cell r="BF4">
            <v>2</v>
          </cell>
          <cell r="BG4">
            <v>3</v>
          </cell>
          <cell r="BH4">
            <v>4</v>
          </cell>
          <cell r="BI4">
            <v>5</v>
          </cell>
          <cell r="BJ4">
            <v>6</v>
          </cell>
          <cell r="BK4">
            <v>7</v>
          </cell>
          <cell r="BL4">
            <v>8</v>
          </cell>
        </row>
        <row r="5">
          <cell r="A5" t="str">
            <v>Partner</v>
          </cell>
          <cell r="B5">
            <v>910</v>
          </cell>
          <cell r="C5">
            <v>685</v>
          </cell>
          <cell r="D5">
            <v>685</v>
          </cell>
          <cell r="E5">
            <v>730</v>
          </cell>
          <cell r="F5">
            <v>865</v>
          </cell>
          <cell r="G5">
            <v>820</v>
          </cell>
          <cell r="H5">
            <v>865</v>
          </cell>
          <cell r="I5">
            <v>455</v>
          </cell>
          <cell r="J5">
            <v>925</v>
          </cell>
          <cell r="L5" t="str">
            <v>Partner</v>
          </cell>
          <cell r="M5">
            <v>260</v>
          </cell>
          <cell r="N5">
            <v>260</v>
          </cell>
          <cell r="O5">
            <v>260</v>
          </cell>
          <cell r="P5">
            <v>260</v>
          </cell>
          <cell r="Q5">
            <v>260</v>
          </cell>
          <cell r="R5">
            <v>260</v>
          </cell>
          <cell r="S5">
            <v>260</v>
          </cell>
          <cell r="T5">
            <v>260</v>
          </cell>
          <cell r="W5" t="str">
            <v>Partner</v>
          </cell>
          <cell r="X5">
            <v>0</v>
          </cell>
          <cell r="Y5">
            <v>0</v>
          </cell>
          <cell r="Z5">
            <v>0</v>
          </cell>
          <cell r="AA5">
            <v>0</v>
          </cell>
          <cell r="AB5">
            <v>0</v>
          </cell>
          <cell r="AC5">
            <v>0</v>
          </cell>
          <cell r="AD5">
            <v>0</v>
          </cell>
          <cell r="AE5">
            <v>0</v>
          </cell>
          <cell r="AF5">
            <v>0</v>
          </cell>
          <cell r="AH5" t="str">
            <v>Partner</v>
          </cell>
          <cell r="AI5">
            <v>0</v>
          </cell>
          <cell r="AJ5">
            <v>0</v>
          </cell>
          <cell r="AK5">
            <v>0</v>
          </cell>
          <cell r="AL5">
            <v>0</v>
          </cell>
          <cell r="AM5">
            <v>0</v>
          </cell>
          <cell r="AN5">
            <v>0</v>
          </cell>
          <cell r="AO5">
            <v>0</v>
          </cell>
          <cell r="AP5">
            <v>0</v>
          </cell>
          <cell r="AS5" t="str">
            <v>Partner</v>
          </cell>
          <cell r="AT5">
            <v>0</v>
          </cell>
          <cell r="AU5">
            <v>0</v>
          </cell>
          <cell r="AV5">
            <v>0</v>
          </cell>
          <cell r="AW5">
            <v>0</v>
          </cell>
          <cell r="AX5">
            <v>0</v>
          </cell>
          <cell r="AY5">
            <v>0</v>
          </cell>
          <cell r="AZ5">
            <v>0</v>
          </cell>
          <cell r="BA5">
            <v>0</v>
          </cell>
          <cell r="BB5">
            <v>0</v>
          </cell>
          <cell r="BD5" t="str">
            <v>Partner</v>
          </cell>
          <cell r="BE5">
            <v>0</v>
          </cell>
          <cell r="BF5">
            <v>0</v>
          </cell>
          <cell r="BG5">
            <v>0</v>
          </cell>
          <cell r="BH5">
            <v>0</v>
          </cell>
          <cell r="BI5">
            <v>0</v>
          </cell>
          <cell r="BJ5">
            <v>0</v>
          </cell>
          <cell r="BK5">
            <v>0</v>
          </cell>
          <cell r="BL5">
            <v>0</v>
          </cell>
        </row>
        <row r="6">
          <cell r="A6" t="str">
            <v>Director</v>
          </cell>
          <cell r="B6">
            <v>695</v>
          </cell>
          <cell r="C6">
            <v>520</v>
          </cell>
          <cell r="D6">
            <v>520</v>
          </cell>
          <cell r="E6">
            <v>555</v>
          </cell>
          <cell r="F6">
            <v>660</v>
          </cell>
          <cell r="G6">
            <v>625</v>
          </cell>
          <cell r="H6">
            <v>660</v>
          </cell>
          <cell r="I6">
            <v>350</v>
          </cell>
          <cell r="J6">
            <v>695</v>
          </cell>
          <cell r="L6" t="str">
            <v>Director</v>
          </cell>
          <cell r="M6">
            <v>131</v>
          </cell>
          <cell r="N6">
            <v>131</v>
          </cell>
          <cell r="O6">
            <v>131</v>
          </cell>
          <cell r="P6">
            <v>131</v>
          </cell>
          <cell r="Q6">
            <v>131</v>
          </cell>
          <cell r="R6">
            <v>131</v>
          </cell>
          <cell r="S6">
            <v>131</v>
          </cell>
          <cell r="T6">
            <v>131</v>
          </cell>
          <cell r="W6" t="str">
            <v>Director</v>
          </cell>
          <cell r="X6">
            <v>520</v>
          </cell>
          <cell r="Y6">
            <v>390</v>
          </cell>
          <cell r="Z6">
            <v>390</v>
          </cell>
          <cell r="AA6">
            <v>415</v>
          </cell>
          <cell r="AB6">
            <v>495</v>
          </cell>
          <cell r="AC6">
            <v>470</v>
          </cell>
          <cell r="AD6">
            <v>495</v>
          </cell>
          <cell r="AE6">
            <v>260</v>
          </cell>
          <cell r="AF6">
            <v>695</v>
          </cell>
          <cell r="AH6" t="str">
            <v>Director</v>
          </cell>
          <cell r="AI6">
            <v>56</v>
          </cell>
          <cell r="AJ6">
            <v>56</v>
          </cell>
          <cell r="AK6">
            <v>56</v>
          </cell>
          <cell r="AL6">
            <v>56</v>
          </cell>
          <cell r="AM6">
            <v>56</v>
          </cell>
          <cell r="AN6">
            <v>56</v>
          </cell>
          <cell r="AO6">
            <v>56</v>
          </cell>
          <cell r="AP6">
            <v>56</v>
          </cell>
          <cell r="AS6" t="str">
            <v>Director</v>
          </cell>
          <cell r="AT6">
            <v>0</v>
          </cell>
          <cell r="AU6">
            <v>0</v>
          </cell>
          <cell r="AV6">
            <v>0</v>
          </cell>
          <cell r="AW6">
            <v>0</v>
          </cell>
          <cell r="AX6">
            <v>0</v>
          </cell>
          <cell r="AY6">
            <v>0</v>
          </cell>
          <cell r="AZ6">
            <v>0</v>
          </cell>
          <cell r="BA6">
            <v>0</v>
          </cell>
          <cell r="BB6">
            <v>0</v>
          </cell>
          <cell r="BD6" t="str">
            <v>Director</v>
          </cell>
          <cell r="BE6">
            <v>56</v>
          </cell>
          <cell r="BF6">
            <v>56</v>
          </cell>
          <cell r="BG6">
            <v>56</v>
          </cell>
          <cell r="BH6">
            <v>56</v>
          </cell>
          <cell r="BI6">
            <v>56</v>
          </cell>
          <cell r="BJ6">
            <v>56</v>
          </cell>
          <cell r="BK6">
            <v>56</v>
          </cell>
          <cell r="BL6">
            <v>56</v>
          </cell>
        </row>
        <row r="7">
          <cell r="A7" t="str">
            <v>Senior Manager</v>
          </cell>
          <cell r="B7">
            <v>575</v>
          </cell>
          <cell r="C7">
            <v>430</v>
          </cell>
          <cell r="D7">
            <v>430</v>
          </cell>
          <cell r="E7">
            <v>460</v>
          </cell>
          <cell r="F7">
            <v>545</v>
          </cell>
          <cell r="G7">
            <v>520</v>
          </cell>
          <cell r="H7">
            <v>545</v>
          </cell>
          <cell r="I7">
            <v>290</v>
          </cell>
          <cell r="J7">
            <v>605</v>
          </cell>
          <cell r="L7" t="str">
            <v>Senior Manager</v>
          </cell>
          <cell r="M7">
            <v>107</v>
          </cell>
          <cell r="N7">
            <v>107</v>
          </cell>
          <cell r="O7">
            <v>107</v>
          </cell>
          <cell r="P7">
            <v>107</v>
          </cell>
          <cell r="Q7">
            <v>107</v>
          </cell>
          <cell r="R7">
            <v>107</v>
          </cell>
          <cell r="S7">
            <v>107</v>
          </cell>
          <cell r="T7">
            <v>107</v>
          </cell>
          <cell r="W7" t="str">
            <v>Senior Manager</v>
          </cell>
          <cell r="X7">
            <v>430</v>
          </cell>
          <cell r="Y7">
            <v>325</v>
          </cell>
          <cell r="Z7">
            <v>325</v>
          </cell>
          <cell r="AA7">
            <v>345</v>
          </cell>
          <cell r="AB7">
            <v>410</v>
          </cell>
          <cell r="AC7">
            <v>385</v>
          </cell>
          <cell r="AD7">
            <v>410</v>
          </cell>
          <cell r="AE7">
            <v>215</v>
          </cell>
          <cell r="AF7">
            <v>605</v>
          </cell>
          <cell r="AH7" t="str">
            <v>Senior Manager</v>
          </cell>
          <cell r="AI7">
            <v>37</v>
          </cell>
          <cell r="AJ7">
            <v>37</v>
          </cell>
          <cell r="AK7">
            <v>37</v>
          </cell>
          <cell r="AL7">
            <v>37</v>
          </cell>
          <cell r="AM7">
            <v>37</v>
          </cell>
          <cell r="AN7">
            <v>37</v>
          </cell>
          <cell r="AO7">
            <v>37</v>
          </cell>
          <cell r="AP7">
            <v>37</v>
          </cell>
          <cell r="AS7" t="str">
            <v>Senior Manager</v>
          </cell>
          <cell r="AT7">
            <v>340</v>
          </cell>
          <cell r="AU7">
            <v>255</v>
          </cell>
          <cell r="AV7">
            <v>255</v>
          </cell>
          <cell r="AW7">
            <v>270</v>
          </cell>
          <cell r="AX7">
            <v>325</v>
          </cell>
          <cell r="AY7">
            <v>305</v>
          </cell>
          <cell r="AZ7">
            <v>325</v>
          </cell>
          <cell r="BA7">
            <v>170</v>
          </cell>
          <cell r="BB7">
            <v>390</v>
          </cell>
          <cell r="BD7" t="str">
            <v>Senior Manager</v>
          </cell>
          <cell r="BE7">
            <v>37</v>
          </cell>
          <cell r="BF7">
            <v>37</v>
          </cell>
          <cell r="BG7">
            <v>37</v>
          </cell>
          <cell r="BH7">
            <v>37</v>
          </cell>
          <cell r="BI7">
            <v>37</v>
          </cell>
          <cell r="BJ7">
            <v>37</v>
          </cell>
          <cell r="BK7">
            <v>37</v>
          </cell>
          <cell r="BL7">
            <v>37</v>
          </cell>
        </row>
        <row r="8">
          <cell r="A8" t="str">
            <v>Manager</v>
          </cell>
          <cell r="B8">
            <v>450</v>
          </cell>
          <cell r="C8">
            <v>340</v>
          </cell>
          <cell r="D8">
            <v>340</v>
          </cell>
          <cell r="E8">
            <v>360</v>
          </cell>
          <cell r="F8">
            <v>430</v>
          </cell>
          <cell r="G8">
            <v>405</v>
          </cell>
          <cell r="H8">
            <v>430</v>
          </cell>
          <cell r="I8">
            <v>225</v>
          </cell>
          <cell r="J8">
            <v>530</v>
          </cell>
          <cell r="L8" t="str">
            <v>Manager</v>
          </cell>
          <cell r="M8">
            <v>81</v>
          </cell>
          <cell r="N8">
            <v>81</v>
          </cell>
          <cell r="O8">
            <v>81</v>
          </cell>
          <cell r="P8">
            <v>81</v>
          </cell>
          <cell r="Q8">
            <v>81</v>
          </cell>
          <cell r="R8">
            <v>81</v>
          </cell>
          <cell r="S8">
            <v>81</v>
          </cell>
          <cell r="T8">
            <v>81</v>
          </cell>
          <cell r="W8" t="str">
            <v>Manager</v>
          </cell>
          <cell r="X8">
            <v>345</v>
          </cell>
          <cell r="Y8">
            <v>260</v>
          </cell>
          <cell r="Z8">
            <v>260</v>
          </cell>
          <cell r="AA8">
            <v>275</v>
          </cell>
          <cell r="AB8">
            <v>330</v>
          </cell>
          <cell r="AC8">
            <v>310</v>
          </cell>
          <cell r="AD8">
            <v>330</v>
          </cell>
          <cell r="AE8">
            <v>175</v>
          </cell>
          <cell r="AF8">
            <v>530</v>
          </cell>
          <cell r="AH8" t="str">
            <v>Manager</v>
          </cell>
          <cell r="AI8">
            <v>28</v>
          </cell>
          <cell r="AJ8">
            <v>28</v>
          </cell>
          <cell r="AK8">
            <v>28</v>
          </cell>
          <cell r="AL8">
            <v>28</v>
          </cell>
          <cell r="AM8">
            <v>28</v>
          </cell>
          <cell r="AN8">
            <v>28</v>
          </cell>
          <cell r="AO8">
            <v>28</v>
          </cell>
          <cell r="AP8">
            <v>28</v>
          </cell>
          <cell r="AS8" t="str">
            <v>Manager</v>
          </cell>
          <cell r="AT8">
            <v>340</v>
          </cell>
          <cell r="AU8">
            <v>255</v>
          </cell>
          <cell r="AV8">
            <v>255</v>
          </cell>
          <cell r="AW8">
            <v>270</v>
          </cell>
          <cell r="AX8">
            <v>325</v>
          </cell>
          <cell r="AY8">
            <v>305</v>
          </cell>
          <cell r="AZ8">
            <v>325</v>
          </cell>
          <cell r="BA8">
            <v>170</v>
          </cell>
          <cell r="BB8">
            <v>390</v>
          </cell>
          <cell r="BD8" t="str">
            <v>Manager</v>
          </cell>
          <cell r="BE8">
            <v>28</v>
          </cell>
          <cell r="BF8">
            <v>28</v>
          </cell>
          <cell r="BG8">
            <v>28</v>
          </cell>
          <cell r="BH8">
            <v>28</v>
          </cell>
          <cell r="BI8">
            <v>28</v>
          </cell>
          <cell r="BJ8">
            <v>28</v>
          </cell>
          <cell r="BK8">
            <v>28</v>
          </cell>
          <cell r="BL8">
            <v>28</v>
          </cell>
        </row>
        <row r="9">
          <cell r="A9" t="str">
            <v>Senior - Level Supervising</v>
          </cell>
          <cell r="B9">
            <v>395</v>
          </cell>
          <cell r="C9">
            <v>295</v>
          </cell>
          <cell r="D9">
            <v>295</v>
          </cell>
          <cell r="E9">
            <v>315</v>
          </cell>
          <cell r="F9">
            <v>375</v>
          </cell>
          <cell r="G9">
            <v>355</v>
          </cell>
          <cell r="H9">
            <v>375</v>
          </cell>
          <cell r="I9">
            <v>200</v>
          </cell>
          <cell r="J9">
            <v>450</v>
          </cell>
          <cell r="L9" t="str">
            <v>Senior - Level Supervising</v>
          </cell>
          <cell r="M9">
            <v>63</v>
          </cell>
          <cell r="N9">
            <v>63</v>
          </cell>
          <cell r="O9">
            <v>63</v>
          </cell>
          <cell r="P9">
            <v>63</v>
          </cell>
          <cell r="Q9">
            <v>63</v>
          </cell>
          <cell r="R9">
            <v>63</v>
          </cell>
          <cell r="S9">
            <v>63</v>
          </cell>
          <cell r="T9">
            <v>63</v>
          </cell>
          <cell r="W9" t="str">
            <v>Senior - Level Supervising</v>
          </cell>
          <cell r="X9">
            <v>295</v>
          </cell>
          <cell r="Y9">
            <v>220</v>
          </cell>
          <cell r="Z9">
            <v>220</v>
          </cell>
          <cell r="AA9">
            <v>235</v>
          </cell>
          <cell r="AB9">
            <v>280</v>
          </cell>
          <cell r="AC9">
            <v>265</v>
          </cell>
          <cell r="AD9">
            <v>280</v>
          </cell>
          <cell r="AE9">
            <v>150</v>
          </cell>
          <cell r="AF9">
            <v>450</v>
          </cell>
          <cell r="AH9" t="str">
            <v>Senior - Level Supervising</v>
          </cell>
          <cell r="AI9">
            <v>14</v>
          </cell>
          <cell r="AJ9">
            <v>14</v>
          </cell>
          <cell r="AK9">
            <v>14</v>
          </cell>
          <cell r="AL9">
            <v>14</v>
          </cell>
          <cell r="AM9">
            <v>14</v>
          </cell>
          <cell r="AN9">
            <v>14</v>
          </cell>
          <cell r="AO9">
            <v>14</v>
          </cell>
          <cell r="AP9">
            <v>14</v>
          </cell>
          <cell r="AS9" t="str">
            <v>Senior - Level Supervising</v>
          </cell>
          <cell r="AT9">
            <v>275</v>
          </cell>
          <cell r="AU9">
            <v>205</v>
          </cell>
          <cell r="AV9">
            <v>205</v>
          </cell>
          <cell r="AW9">
            <v>220</v>
          </cell>
          <cell r="AX9">
            <v>260</v>
          </cell>
          <cell r="AY9">
            <v>250</v>
          </cell>
          <cell r="AZ9">
            <v>260</v>
          </cell>
          <cell r="BA9">
            <v>140</v>
          </cell>
          <cell r="BB9">
            <v>335</v>
          </cell>
          <cell r="BD9" t="str">
            <v>Senior - Level Supervising</v>
          </cell>
          <cell r="BE9">
            <v>14</v>
          </cell>
          <cell r="BF9">
            <v>14</v>
          </cell>
          <cell r="BG9">
            <v>14</v>
          </cell>
          <cell r="BH9">
            <v>14</v>
          </cell>
          <cell r="BI9">
            <v>14</v>
          </cell>
          <cell r="BJ9">
            <v>14</v>
          </cell>
          <cell r="BK9">
            <v>14</v>
          </cell>
          <cell r="BL9">
            <v>14</v>
          </cell>
        </row>
        <row r="10">
          <cell r="A10" t="str">
            <v>Senior - Level 1</v>
          </cell>
          <cell r="B10">
            <v>365</v>
          </cell>
          <cell r="C10">
            <v>275</v>
          </cell>
          <cell r="D10">
            <v>275</v>
          </cell>
          <cell r="E10">
            <v>290</v>
          </cell>
          <cell r="F10">
            <v>345</v>
          </cell>
          <cell r="G10">
            <v>330</v>
          </cell>
          <cell r="H10">
            <v>345</v>
          </cell>
          <cell r="I10">
            <v>185</v>
          </cell>
          <cell r="J10">
            <v>450</v>
          </cell>
          <cell r="L10" t="str">
            <v>Senior - Level 1</v>
          </cell>
          <cell r="M10">
            <v>63</v>
          </cell>
          <cell r="N10">
            <v>63</v>
          </cell>
          <cell r="O10">
            <v>63</v>
          </cell>
          <cell r="P10">
            <v>63</v>
          </cell>
          <cell r="Q10">
            <v>63</v>
          </cell>
          <cell r="R10">
            <v>63</v>
          </cell>
          <cell r="S10">
            <v>63</v>
          </cell>
          <cell r="T10">
            <v>63</v>
          </cell>
          <cell r="W10" t="str">
            <v>Senior - Level 1</v>
          </cell>
          <cell r="X10">
            <v>275</v>
          </cell>
          <cell r="Y10">
            <v>205</v>
          </cell>
          <cell r="Z10">
            <v>205</v>
          </cell>
          <cell r="AA10">
            <v>220</v>
          </cell>
          <cell r="AB10">
            <v>260</v>
          </cell>
          <cell r="AC10">
            <v>250</v>
          </cell>
          <cell r="AD10">
            <v>260</v>
          </cell>
          <cell r="AE10">
            <v>140</v>
          </cell>
          <cell r="AF10">
            <v>450</v>
          </cell>
          <cell r="AH10" t="str">
            <v>Senior - Level 1</v>
          </cell>
          <cell r="AI10">
            <v>14</v>
          </cell>
          <cell r="AJ10">
            <v>14</v>
          </cell>
          <cell r="AK10">
            <v>14</v>
          </cell>
          <cell r="AL10">
            <v>14</v>
          </cell>
          <cell r="AM10">
            <v>14</v>
          </cell>
          <cell r="AN10">
            <v>14</v>
          </cell>
          <cell r="AO10">
            <v>14</v>
          </cell>
          <cell r="AP10">
            <v>14</v>
          </cell>
          <cell r="AS10" t="str">
            <v>Senior - Level 1</v>
          </cell>
          <cell r="AT10">
            <v>275</v>
          </cell>
          <cell r="AU10">
            <v>205</v>
          </cell>
          <cell r="AV10">
            <v>205</v>
          </cell>
          <cell r="AW10">
            <v>220</v>
          </cell>
          <cell r="AX10">
            <v>260</v>
          </cell>
          <cell r="AY10">
            <v>250</v>
          </cell>
          <cell r="AZ10">
            <v>260</v>
          </cell>
          <cell r="BA10">
            <v>140</v>
          </cell>
          <cell r="BB10">
            <v>335</v>
          </cell>
          <cell r="BD10" t="str">
            <v>Senior - Level 1</v>
          </cell>
          <cell r="BE10">
            <v>14</v>
          </cell>
          <cell r="BF10">
            <v>14</v>
          </cell>
          <cell r="BG10">
            <v>14</v>
          </cell>
          <cell r="BH10">
            <v>14</v>
          </cell>
          <cell r="BI10">
            <v>14</v>
          </cell>
          <cell r="BJ10">
            <v>14</v>
          </cell>
          <cell r="BK10">
            <v>14</v>
          </cell>
          <cell r="BL10">
            <v>14</v>
          </cell>
        </row>
        <row r="11">
          <cell r="A11" t="str">
            <v>Staff - Level 2</v>
          </cell>
          <cell r="B11">
            <v>300</v>
          </cell>
          <cell r="C11">
            <v>225</v>
          </cell>
          <cell r="D11">
            <v>225</v>
          </cell>
          <cell r="E11">
            <v>240</v>
          </cell>
          <cell r="F11">
            <v>285</v>
          </cell>
          <cell r="G11">
            <v>270</v>
          </cell>
          <cell r="H11">
            <v>285</v>
          </cell>
          <cell r="I11">
            <v>150</v>
          </cell>
          <cell r="J11">
            <v>345</v>
          </cell>
          <cell r="L11" t="str">
            <v>Staff - Level 2</v>
          </cell>
          <cell r="M11">
            <v>45</v>
          </cell>
          <cell r="N11">
            <v>45</v>
          </cell>
          <cell r="O11">
            <v>45</v>
          </cell>
          <cell r="P11">
            <v>45</v>
          </cell>
          <cell r="Q11">
            <v>45</v>
          </cell>
          <cell r="R11">
            <v>45</v>
          </cell>
          <cell r="S11">
            <v>45</v>
          </cell>
          <cell r="T11">
            <v>45</v>
          </cell>
          <cell r="W11" t="str">
            <v>Staff - Level 2</v>
          </cell>
          <cell r="X11">
            <v>230</v>
          </cell>
          <cell r="Y11">
            <v>175</v>
          </cell>
          <cell r="Z11">
            <v>175</v>
          </cell>
          <cell r="AA11">
            <v>185</v>
          </cell>
          <cell r="AB11">
            <v>220</v>
          </cell>
          <cell r="AC11">
            <v>205</v>
          </cell>
          <cell r="AD11">
            <v>220</v>
          </cell>
          <cell r="AE11">
            <v>115</v>
          </cell>
          <cell r="AF11">
            <v>345</v>
          </cell>
          <cell r="AH11" t="str">
            <v>Staff - Level 2</v>
          </cell>
          <cell r="AI11">
            <v>7</v>
          </cell>
          <cell r="AJ11">
            <v>7</v>
          </cell>
          <cell r="AK11">
            <v>7</v>
          </cell>
          <cell r="AL11">
            <v>7</v>
          </cell>
          <cell r="AM11">
            <v>7</v>
          </cell>
          <cell r="AN11">
            <v>7</v>
          </cell>
          <cell r="AO11">
            <v>7</v>
          </cell>
          <cell r="AP11">
            <v>7</v>
          </cell>
          <cell r="AS11" t="str">
            <v>Staff - Level 2</v>
          </cell>
          <cell r="AT11">
            <v>230</v>
          </cell>
          <cell r="AU11">
            <v>175</v>
          </cell>
          <cell r="AV11">
            <v>175</v>
          </cell>
          <cell r="AW11">
            <v>185</v>
          </cell>
          <cell r="AX11">
            <v>220</v>
          </cell>
          <cell r="AY11">
            <v>205</v>
          </cell>
          <cell r="AZ11">
            <v>220</v>
          </cell>
          <cell r="BA11">
            <v>115</v>
          </cell>
          <cell r="BB11">
            <v>250</v>
          </cell>
          <cell r="BD11" t="str">
            <v>Staff - Level 2</v>
          </cell>
          <cell r="BE11">
            <v>7</v>
          </cell>
          <cell r="BF11">
            <v>7</v>
          </cell>
          <cell r="BG11">
            <v>7</v>
          </cell>
          <cell r="BH11">
            <v>7</v>
          </cell>
          <cell r="BI11">
            <v>7</v>
          </cell>
          <cell r="BJ11">
            <v>7</v>
          </cell>
          <cell r="BK11">
            <v>7</v>
          </cell>
          <cell r="BL11">
            <v>7</v>
          </cell>
        </row>
        <row r="12">
          <cell r="A12" t="str">
            <v>Staff - Level 1</v>
          </cell>
          <cell r="B12">
            <v>275</v>
          </cell>
          <cell r="C12">
            <v>205</v>
          </cell>
          <cell r="D12">
            <v>205</v>
          </cell>
          <cell r="E12">
            <v>220</v>
          </cell>
          <cell r="F12">
            <v>260</v>
          </cell>
          <cell r="G12">
            <v>250</v>
          </cell>
          <cell r="H12">
            <v>260</v>
          </cell>
          <cell r="I12">
            <v>140</v>
          </cell>
          <cell r="J12">
            <v>345</v>
          </cell>
          <cell r="L12" t="str">
            <v>Staff - Level 1</v>
          </cell>
          <cell r="M12">
            <v>45</v>
          </cell>
          <cell r="N12">
            <v>45</v>
          </cell>
          <cell r="O12">
            <v>45</v>
          </cell>
          <cell r="P12">
            <v>45</v>
          </cell>
          <cell r="Q12">
            <v>45</v>
          </cell>
          <cell r="R12">
            <v>45</v>
          </cell>
          <cell r="S12">
            <v>45</v>
          </cell>
          <cell r="T12">
            <v>45</v>
          </cell>
          <cell r="W12" t="str">
            <v>Staff - Level 1</v>
          </cell>
          <cell r="X12">
            <v>210</v>
          </cell>
          <cell r="Y12">
            <v>160</v>
          </cell>
          <cell r="Z12">
            <v>160</v>
          </cell>
          <cell r="AA12">
            <v>170</v>
          </cell>
          <cell r="AB12">
            <v>200</v>
          </cell>
          <cell r="AC12">
            <v>190</v>
          </cell>
          <cell r="AD12">
            <v>200</v>
          </cell>
          <cell r="AE12">
            <v>105</v>
          </cell>
          <cell r="AF12">
            <v>345</v>
          </cell>
          <cell r="AH12" t="str">
            <v>Staff - Level 1</v>
          </cell>
          <cell r="AI12">
            <v>7</v>
          </cell>
          <cell r="AJ12">
            <v>7</v>
          </cell>
          <cell r="AK12">
            <v>7</v>
          </cell>
          <cell r="AL12">
            <v>7</v>
          </cell>
          <cell r="AM12">
            <v>7</v>
          </cell>
          <cell r="AN12">
            <v>7</v>
          </cell>
          <cell r="AO12">
            <v>7</v>
          </cell>
          <cell r="AP12">
            <v>7</v>
          </cell>
          <cell r="AS12" t="str">
            <v>Staff - Level 1</v>
          </cell>
          <cell r="AT12">
            <v>210</v>
          </cell>
          <cell r="AU12">
            <v>160</v>
          </cell>
          <cell r="AV12">
            <v>160</v>
          </cell>
          <cell r="AW12">
            <v>170</v>
          </cell>
          <cell r="AX12">
            <v>200</v>
          </cell>
          <cell r="AY12">
            <v>190</v>
          </cell>
          <cell r="AZ12">
            <v>200</v>
          </cell>
          <cell r="BA12">
            <v>105</v>
          </cell>
          <cell r="BB12">
            <v>250</v>
          </cell>
          <cell r="BD12" t="str">
            <v>Staff - Level 1</v>
          </cell>
          <cell r="BE12">
            <v>7</v>
          </cell>
          <cell r="BF12">
            <v>7</v>
          </cell>
          <cell r="BG12">
            <v>7</v>
          </cell>
          <cell r="BH12">
            <v>7</v>
          </cell>
          <cell r="BI12">
            <v>7</v>
          </cell>
          <cell r="BJ12">
            <v>7</v>
          </cell>
          <cell r="BK12">
            <v>7</v>
          </cell>
          <cell r="BL12">
            <v>7</v>
          </cell>
        </row>
        <row r="13">
          <cell r="A13" t="str">
            <v>Intern</v>
          </cell>
          <cell r="B13">
            <v>215</v>
          </cell>
          <cell r="C13">
            <v>160</v>
          </cell>
          <cell r="D13">
            <v>160</v>
          </cell>
          <cell r="E13">
            <v>170</v>
          </cell>
          <cell r="F13">
            <v>205</v>
          </cell>
          <cell r="G13">
            <v>195</v>
          </cell>
          <cell r="H13">
            <v>205</v>
          </cell>
          <cell r="I13">
            <v>110</v>
          </cell>
          <cell r="J13">
            <v>215</v>
          </cell>
          <cell r="L13" t="str">
            <v>Intern</v>
          </cell>
          <cell r="M13">
            <v>38</v>
          </cell>
          <cell r="N13">
            <v>38</v>
          </cell>
          <cell r="O13">
            <v>38</v>
          </cell>
          <cell r="P13">
            <v>38</v>
          </cell>
          <cell r="Q13">
            <v>38</v>
          </cell>
          <cell r="R13">
            <v>38</v>
          </cell>
          <cell r="S13">
            <v>38</v>
          </cell>
          <cell r="T13">
            <v>38</v>
          </cell>
          <cell r="W13" t="str">
            <v>Intern</v>
          </cell>
          <cell r="X13">
            <v>0</v>
          </cell>
          <cell r="Y13">
            <v>0</v>
          </cell>
          <cell r="Z13">
            <v>0</v>
          </cell>
          <cell r="AA13">
            <v>0</v>
          </cell>
          <cell r="AB13">
            <v>0</v>
          </cell>
          <cell r="AC13">
            <v>0</v>
          </cell>
          <cell r="AD13">
            <v>0</v>
          </cell>
          <cell r="AE13">
            <v>0</v>
          </cell>
          <cell r="AF13">
            <v>0</v>
          </cell>
          <cell r="AH13" t="str">
            <v>Intern</v>
          </cell>
          <cell r="AI13">
            <v>0</v>
          </cell>
          <cell r="AJ13">
            <v>0</v>
          </cell>
          <cell r="AK13">
            <v>0</v>
          </cell>
          <cell r="AL13">
            <v>0</v>
          </cell>
          <cell r="AM13">
            <v>0</v>
          </cell>
          <cell r="AN13">
            <v>0</v>
          </cell>
          <cell r="AO13">
            <v>0</v>
          </cell>
          <cell r="AP13">
            <v>0</v>
          </cell>
          <cell r="AS13" t="str">
            <v>Intern</v>
          </cell>
          <cell r="AT13">
            <v>0</v>
          </cell>
          <cell r="AU13">
            <v>0</v>
          </cell>
          <cell r="AV13">
            <v>0</v>
          </cell>
          <cell r="AW13">
            <v>0</v>
          </cell>
          <cell r="AX13">
            <v>0</v>
          </cell>
          <cell r="AY13">
            <v>0</v>
          </cell>
          <cell r="AZ13">
            <v>0</v>
          </cell>
          <cell r="BA13">
            <v>0</v>
          </cell>
          <cell r="BB13">
            <v>0</v>
          </cell>
          <cell r="BD13" t="str">
            <v>Intern</v>
          </cell>
          <cell r="BE13">
            <v>0</v>
          </cell>
          <cell r="BF13">
            <v>0</v>
          </cell>
          <cell r="BG13">
            <v>0</v>
          </cell>
          <cell r="BH13">
            <v>0</v>
          </cell>
          <cell r="BI13">
            <v>0</v>
          </cell>
          <cell r="BJ13">
            <v>0</v>
          </cell>
          <cell r="BK13">
            <v>0</v>
          </cell>
          <cell r="BL13">
            <v>0</v>
          </cell>
        </row>
        <row r="14">
          <cell r="A14" t="str">
            <v>Administration</v>
          </cell>
          <cell r="B14">
            <v>155</v>
          </cell>
          <cell r="C14">
            <v>115</v>
          </cell>
          <cell r="D14">
            <v>115</v>
          </cell>
          <cell r="E14">
            <v>125</v>
          </cell>
          <cell r="F14">
            <v>145</v>
          </cell>
          <cell r="G14">
            <v>140</v>
          </cell>
          <cell r="H14">
            <v>145</v>
          </cell>
          <cell r="I14">
            <v>80</v>
          </cell>
          <cell r="J14">
            <v>155</v>
          </cell>
          <cell r="L14" t="str">
            <v>Administration</v>
          </cell>
          <cell r="M14">
            <v>46</v>
          </cell>
          <cell r="N14">
            <v>46</v>
          </cell>
          <cell r="O14">
            <v>46</v>
          </cell>
          <cell r="P14">
            <v>46</v>
          </cell>
          <cell r="Q14">
            <v>46</v>
          </cell>
          <cell r="R14">
            <v>46</v>
          </cell>
          <cell r="S14">
            <v>46</v>
          </cell>
          <cell r="T14">
            <v>46</v>
          </cell>
          <cell r="W14" t="str">
            <v>Administration</v>
          </cell>
          <cell r="X14">
            <v>0</v>
          </cell>
          <cell r="Y14">
            <v>0</v>
          </cell>
          <cell r="Z14">
            <v>0</v>
          </cell>
          <cell r="AA14">
            <v>0</v>
          </cell>
          <cell r="AB14">
            <v>0</v>
          </cell>
          <cell r="AC14">
            <v>0</v>
          </cell>
          <cell r="AD14">
            <v>0</v>
          </cell>
          <cell r="AE14">
            <v>0</v>
          </cell>
          <cell r="AF14">
            <v>0</v>
          </cell>
          <cell r="AH14" t="str">
            <v>Administration</v>
          </cell>
          <cell r="AI14">
            <v>6</v>
          </cell>
          <cell r="AJ14">
            <v>6</v>
          </cell>
          <cell r="AK14">
            <v>6</v>
          </cell>
          <cell r="AL14">
            <v>6</v>
          </cell>
          <cell r="AM14">
            <v>6</v>
          </cell>
          <cell r="AN14">
            <v>6</v>
          </cell>
          <cell r="AO14">
            <v>6</v>
          </cell>
          <cell r="AP14">
            <v>6</v>
          </cell>
          <cell r="AS14" t="str">
            <v>Administration</v>
          </cell>
          <cell r="AT14">
            <v>155</v>
          </cell>
          <cell r="AU14">
            <v>155</v>
          </cell>
          <cell r="AV14">
            <v>155</v>
          </cell>
          <cell r="AW14">
            <v>155</v>
          </cell>
          <cell r="AX14">
            <v>155</v>
          </cell>
          <cell r="AY14">
            <v>155</v>
          </cell>
          <cell r="AZ14">
            <v>155</v>
          </cell>
          <cell r="BA14">
            <v>155</v>
          </cell>
          <cell r="BB14">
            <v>155</v>
          </cell>
          <cell r="BD14" t="str">
            <v>Administration</v>
          </cell>
          <cell r="BE14">
            <v>6</v>
          </cell>
          <cell r="BF14">
            <v>6</v>
          </cell>
          <cell r="BG14">
            <v>6</v>
          </cell>
          <cell r="BH14">
            <v>6</v>
          </cell>
          <cell r="BI14">
            <v>6</v>
          </cell>
          <cell r="BJ14">
            <v>6</v>
          </cell>
          <cell r="BK14">
            <v>6</v>
          </cell>
          <cell r="BL14">
            <v>6</v>
          </cell>
        </row>
        <row r="15">
          <cell r="A15" t="str">
            <v>CEC</v>
          </cell>
          <cell r="B15">
            <v>0</v>
          </cell>
          <cell r="C15">
            <v>0</v>
          </cell>
          <cell r="D15">
            <v>0</v>
          </cell>
          <cell r="E15">
            <v>0</v>
          </cell>
          <cell r="F15">
            <v>0</v>
          </cell>
          <cell r="G15">
            <v>0</v>
          </cell>
          <cell r="H15">
            <v>0</v>
          </cell>
          <cell r="I15">
            <v>0</v>
          </cell>
          <cell r="J15">
            <v>0</v>
          </cell>
          <cell r="L15" t="str">
            <v>CEC</v>
          </cell>
          <cell r="M15">
            <v>0</v>
          </cell>
          <cell r="N15">
            <v>0</v>
          </cell>
          <cell r="O15">
            <v>0</v>
          </cell>
          <cell r="P15">
            <v>0</v>
          </cell>
          <cell r="Q15">
            <v>0</v>
          </cell>
          <cell r="R15">
            <v>0</v>
          </cell>
          <cell r="S15">
            <v>0</v>
          </cell>
          <cell r="T15">
            <v>0</v>
          </cell>
          <cell r="W15" t="str">
            <v>CEC</v>
          </cell>
          <cell r="X15">
            <v>0</v>
          </cell>
          <cell r="Y15">
            <v>0</v>
          </cell>
          <cell r="Z15">
            <v>0</v>
          </cell>
          <cell r="AA15">
            <v>0</v>
          </cell>
          <cell r="AB15">
            <v>0</v>
          </cell>
          <cell r="AC15">
            <v>0</v>
          </cell>
          <cell r="AD15">
            <v>0</v>
          </cell>
          <cell r="AE15">
            <v>0</v>
          </cell>
          <cell r="AF15">
            <v>0</v>
          </cell>
          <cell r="AH15" t="str">
            <v>CEC</v>
          </cell>
          <cell r="AI15">
            <v>0</v>
          </cell>
          <cell r="AJ15">
            <v>0</v>
          </cell>
          <cell r="AK15">
            <v>0</v>
          </cell>
          <cell r="AL15">
            <v>0</v>
          </cell>
          <cell r="AM15">
            <v>0</v>
          </cell>
          <cell r="AN15">
            <v>0</v>
          </cell>
          <cell r="AO15">
            <v>0</v>
          </cell>
          <cell r="AP15">
            <v>0</v>
          </cell>
          <cell r="AS15" t="str">
            <v>CEC</v>
          </cell>
          <cell r="AT15">
            <v>0</v>
          </cell>
          <cell r="AU15">
            <v>0</v>
          </cell>
          <cell r="AV15">
            <v>0</v>
          </cell>
          <cell r="AW15">
            <v>0</v>
          </cell>
          <cell r="AX15">
            <v>0</v>
          </cell>
          <cell r="AY15">
            <v>0</v>
          </cell>
          <cell r="AZ15">
            <v>0</v>
          </cell>
          <cell r="BA15">
            <v>0</v>
          </cell>
          <cell r="BB15">
            <v>0</v>
          </cell>
          <cell r="BD15" t="str">
            <v>CEC</v>
          </cell>
          <cell r="BE15">
            <v>0</v>
          </cell>
          <cell r="BF15">
            <v>0</v>
          </cell>
          <cell r="BG15">
            <v>0</v>
          </cell>
          <cell r="BH15">
            <v>0</v>
          </cell>
          <cell r="BI15">
            <v>0</v>
          </cell>
          <cell r="BJ15">
            <v>0</v>
          </cell>
          <cell r="BK15">
            <v>0</v>
          </cell>
          <cell r="BL15">
            <v>0</v>
          </cell>
        </row>
        <row r="16">
          <cell r="A16" t="str">
            <v/>
          </cell>
          <cell r="B16">
            <v>0</v>
          </cell>
          <cell r="C16">
            <v>0</v>
          </cell>
          <cell r="D16">
            <v>0</v>
          </cell>
          <cell r="E16">
            <v>0</v>
          </cell>
          <cell r="F16">
            <v>0</v>
          </cell>
          <cell r="G16">
            <v>0</v>
          </cell>
          <cell r="H16">
            <v>0</v>
          </cell>
          <cell r="I16">
            <v>0</v>
          </cell>
          <cell r="J16">
            <v>0</v>
          </cell>
          <cell r="L16" t="str">
            <v/>
          </cell>
          <cell r="M16">
            <v>0</v>
          </cell>
          <cell r="N16">
            <v>0</v>
          </cell>
          <cell r="O16">
            <v>0</v>
          </cell>
          <cell r="P16">
            <v>0</v>
          </cell>
          <cell r="Q16">
            <v>0</v>
          </cell>
          <cell r="R16">
            <v>0</v>
          </cell>
          <cell r="S16">
            <v>0</v>
          </cell>
          <cell r="T16">
            <v>0</v>
          </cell>
          <cell r="W16" t="str">
            <v/>
          </cell>
          <cell r="X16">
            <v>0</v>
          </cell>
          <cell r="Y16">
            <v>0</v>
          </cell>
          <cell r="Z16">
            <v>0</v>
          </cell>
          <cell r="AA16">
            <v>0</v>
          </cell>
          <cell r="AB16">
            <v>0</v>
          </cell>
          <cell r="AC16">
            <v>0</v>
          </cell>
          <cell r="AD16">
            <v>0</v>
          </cell>
          <cell r="AE16">
            <v>0</v>
          </cell>
          <cell r="AF16">
            <v>0</v>
          </cell>
          <cell r="AH16" t="str">
            <v/>
          </cell>
          <cell r="AI16">
            <v>0</v>
          </cell>
          <cell r="AJ16">
            <v>0</v>
          </cell>
          <cell r="AK16">
            <v>0</v>
          </cell>
          <cell r="AL16">
            <v>0</v>
          </cell>
          <cell r="AM16">
            <v>0</v>
          </cell>
          <cell r="AN16">
            <v>0</v>
          </cell>
          <cell r="AO16">
            <v>0</v>
          </cell>
          <cell r="AP16">
            <v>0</v>
          </cell>
          <cell r="AS16" t="str">
            <v/>
          </cell>
          <cell r="AT16">
            <v>0</v>
          </cell>
          <cell r="AU16">
            <v>0</v>
          </cell>
          <cell r="AV16">
            <v>0</v>
          </cell>
          <cell r="AW16">
            <v>0</v>
          </cell>
          <cell r="AX16">
            <v>0</v>
          </cell>
          <cell r="AY16">
            <v>0</v>
          </cell>
          <cell r="AZ16">
            <v>0</v>
          </cell>
          <cell r="BA16">
            <v>0</v>
          </cell>
          <cell r="BB16">
            <v>0</v>
          </cell>
          <cell r="BD16" t="str">
            <v/>
          </cell>
          <cell r="BE16">
            <v>0</v>
          </cell>
          <cell r="BF16">
            <v>0</v>
          </cell>
          <cell r="BG16">
            <v>0</v>
          </cell>
          <cell r="BH16">
            <v>0</v>
          </cell>
          <cell r="BI16">
            <v>0</v>
          </cell>
          <cell r="BJ16">
            <v>0</v>
          </cell>
          <cell r="BK16">
            <v>0</v>
          </cell>
          <cell r="BL16">
            <v>0</v>
          </cell>
        </row>
        <row r="18">
          <cell r="A18" t="str">
            <v>2025:</v>
          </cell>
        </row>
        <row r="19">
          <cell r="A19" t="str">
            <v>Partner</v>
          </cell>
          <cell r="B19">
            <v>875</v>
          </cell>
          <cell r="C19">
            <v>595</v>
          </cell>
          <cell r="D19">
            <v>565</v>
          </cell>
          <cell r="E19">
            <v>675</v>
          </cell>
          <cell r="F19">
            <v>745</v>
          </cell>
          <cell r="G19">
            <v>740</v>
          </cell>
          <cell r="H19">
            <v>745</v>
          </cell>
          <cell r="I19">
            <v>745</v>
          </cell>
          <cell r="J19">
            <v>890</v>
          </cell>
          <cell r="L19" t="str">
            <v>Partner</v>
          </cell>
          <cell r="M19">
            <v>250</v>
          </cell>
          <cell r="N19">
            <v>250</v>
          </cell>
          <cell r="O19">
            <v>250</v>
          </cell>
          <cell r="P19">
            <v>250</v>
          </cell>
          <cell r="Q19">
            <v>250</v>
          </cell>
          <cell r="R19">
            <v>250</v>
          </cell>
          <cell r="S19">
            <v>250</v>
          </cell>
          <cell r="T19">
            <v>250</v>
          </cell>
          <cell r="W19" t="str">
            <v>Partner</v>
          </cell>
          <cell r="AH19" t="str">
            <v>Partner</v>
          </cell>
          <cell r="AS19" t="str">
            <v>Partner</v>
          </cell>
          <cell r="BD19" t="str">
            <v>Partner</v>
          </cell>
        </row>
        <row r="20">
          <cell r="A20" t="str">
            <v>Director</v>
          </cell>
          <cell r="B20">
            <v>670</v>
          </cell>
          <cell r="C20">
            <v>470</v>
          </cell>
          <cell r="D20">
            <v>460</v>
          </cell>
          <cell r="E20">
            <v>515</v>
          </cell>
          <cell r="F20">
            <v>590</v>
          </cell>
          <cell r="G20">
            <v>550</v>
          </cell>
          <cell r="H20">
            <v>590</v>
          </cell>
          <cell r="I20">
            <v>590</v>
          </cell>
          <cell r="J20">
            <v>670</v>
          </cell>
          <cell r="L20" t="str">
            <v>Director</v>
          </cell>
          <cell r="M20">
            <v>126</v>
          </cell>
          <cell r="N20">
            <v>126</v>
          </cell>
          <cell r="O20">
            <v>126</v>
          </cell>
          <cell r="P20">
            <v>126</v>
          </cell>
          <cell r="Q20">
            <v>126</v>
          </cell>
          <cell r="R20">
            <v>126</v>
          </cell>
          <cell r="S20">
            <v>126</v>
          </cell>
          <cell r="T20">
            <v>126</v>
          </cell>
          <cell r="W20" t="str">
            <v>Director</v>
          </cell>
          <cell r="X20">
            <v>500</v>
          </cell>
          <cell r="Y20">
            <v>350</v>
          </cell>
          <cell r="Z20">
            <v>345</v>
          </cell>
          <cell r="AA20">
            <v>385</v>
          </cell>
          <cell r="AB20">
            <v>445</v>
          </cell>
          <cell r="AC20">
            <v>415</v>
          </cell>
          <cell r="AD20">
            <v>445</v>
          </cell>
          <cell r="AE20">
            <v>445</v>
          </cell>
          <cell r="AF20">
            <v>670</v>
          </cell>
          <cell r="AH20" t="str">
            <v>Director</v>
          </cell>
          <cell r="AI20">
            <v>54</v>
          </cell>
          <cell r="AJ20">
            <v>54</v>
          </cell>
          <cell r="AK20">
            <v>54</v>
          </cell>
          <cell r="AL20">
            <v>54</v>
          </cell>
          <cell r="AM20">
            <v>54</v>
          </cell>
          <cell r="AN20">
            <v>54</v>
          </cell>
          <cell r="AO20">
            <v>54</v>
          </cell>
          <cell r="AP20">
            <v>54</v>
          </cell>
          <cell r="AS20" t="str">
            <v>Director</v>
          </cell>
          <cell r="BD20" t="str">
            <v>Director</v>
          </cell>
          <cell r="BE20">
            <v>54</v>
          </cell>
          <cell r="BF20">
            <v>54</v>
          </cell>
          <cell r="BG20">
            <v>54</v>
          </cell>
          <cell r="BH20">
            <v>54</v>
          </cell>
          <cell r="BI20">
            <v>54</v>
          </cell>
          <cell r="BJ20">
            <v>54</v>
          </cell>
          <cell r="BK20">
            <v>54</v>
          </cell>
          <cell r="BL20">
            <v>54</v>
          </cell>
        </row>
        <row r="21">
          <cell r="A21" t="str">
            <v>Senior Manager</v>
          </cell>
          <cell r="B21">
            <v>555</v>
          </cell>
          <cell r="C21">
            <v>395</v>
          </cell>
          <cell r="D21">
            <v>425</v>
          </cell>
          <cell r="E21">
            <v>445</v>
          </cell>
          <cell r="F21">
            <v>525</v>
          </cell>
          <cell r="G21">
            <v>525</v>
          </cell>
          <cell r="H21">
            <v>525</v>
          </cell>
          <cell r="I21">
            <v>525</v>
          </cell>
          <cell r="J21">
            <v>580</v>
          </cell>
          <cell r="L21" t="str">
            <v>Senior Manager</v>
          </cell>
          <cell r="M21">
            <v>103</v>
          </cell>
          <cell r="N21">
            <v>103</v>
          </cell>
          <cell r="O21">
            <v>103</v>
          </cell>
          <cell r="P21">
            <v>103</v>
          </cell>
          <cell r="Q21">
            <v>103</v>
          </cell>
          <cell r="R21">
            <v>103</v>
          </cell>
          <cell r="S21">
            <v>103</v>
          </cell>
          <cell r="T21">
            <v>103</v>
          </cell>
          <cell r="W21" t="str">
            <v>Senior Manager</v>
          </cell>
          <cell r="X21">
            <v>415</v>
          </cell>
          <cell r="Y21">
            <v>295</v>
          </cell>
          <cell r="Z21">
            <v>320</v>
          </cell>
          <cell r="AA21">
            <v>335</v>
          </cell>
          <cell r="AB21">
            <v>395</v>
          </cell>
          <cell r="AC21">
            <v>395</v>
          </cell>
          <cell r="AD21">
            <v>395</v>
          </cell>
          <cell r="AE21">
            <v>395</v>
          </cell>
          <cell r="AF21">
            <v>580</v>
          </cell>
          <cell r="AH21" t="str">
            <v>Senior Manager</v>
          </cell>
          <cell r="AI21">
            <v>36</v>
          </cell>
          <cell r="AJ21">
            <v>36</v>
          </cell>
          <cell r="AK21">
            <v>36</v>
          </cell>
          <cell r="AL21">
            <v>36</v>
          </cell>
          <cell r="AM21">
            <v>36</v>
          </cell>
          <cell r="AN21">
            <v>36</v>
          </cell>
          <cell r="AO21">
            <v>36</v>
          </cell>
          <cell r="AP21">
            <v>36</v>
          </cell>
          <cell r="AS21" t="str">
            <v>Senior Manager</v>
          </cell>
          <cell r="AT21">
            <v>325</v>
          </cell>
          <cell r="AU21">
            <v>245</v>
          </cell>
          <cell r="AV21">
            <v>270</v>
          </cell>
          <cell r="AW21">
            <v>275</v>
          </cell>
          <cell r="AX21">
            <v>325</v>
          </cell>
          <cell r="AY21">
            <v>325</v>
          </cell>
          <cell r="AZ21">
            <v>325</v>
          </cell>
          <cell r="BA21">
            <v>325</v>
          </cell>
          <cell r="BB21">
            <v>375</v>
          </cell>
          <cell r="BD21" t="str">
            <v>Senior Manager</v>
          </cell>
          <cell r="BE21">
            <v>36</v>
          </cell>
          <cell r="BF21">
            <v>36</v>
          </cell>
          <cell r="BG21">
            <v>36</v>
          </cell>
          <cell r="BH21">
            <v>36</v>
          </cell>
          <cell r="BI21">
            <v>36</v>
          </cell>
          <cell r="BJ21">
            <v>36</v>
          </cell>
          <cell r="BK21">
            <v>36</v>
          </cell>
          <cell r="BL21">
            <v>36</v>
          </cell>
        </row>
        <row r="22">
          <cell r="A22" t="str">
            <v>Manager</v>
          </cell>
          <cell r="B22">
            <v>435</v>
          </cell>
          <cell r="C22">
            <v>325</v>
          </cell>
          <cell r="D22">
            <v>360</v>
          </cell>
          <cell r="E22">
            <v>390</v>
          </cell>
          <cell r="F22">
            <v>435</v>
          </cell>
          <cell r="G22">
            <v>425</v>
          </cell>
          <cell r="H22">
            <v>435</v>
          </cell>
          <cell r="I22">
            <v>435</v>
          </cell>
          <cell r="J22">
            <v>510</v>
          </cell>
          <cell r="L22" t="str">
            <v>Manager</v>
          </cell>
          <cell r="M22">
            <v>78</v>
          </cell>
          <cell r="N22">
            <v>78</v>
          </cell>
          <cell r="O22">
            <v>78</v>
          </cell>
          <cell r="P22">
            <v>78</v>
          </cell>
          <cell r="Q22">
            <v>78</v>
          </cell>
          <cell r="R22">
            <v>78</v>
          </cell>
          <cell r="S22">
            <v>78</v>
          </cell>
          <cell r="T22">
            <v>78</v>
          </cell>
          <cell r="W22" t="str">
            <v>Manager</v>
          </cell>
          <cell r="X22">
            <v>330</v>
          </cell>
          <cell r="Y22">
            <v>245</v>
          </cell>
          <cell r="Z22">
            <v>270</v>
          </cell>
          <cell r="AA22">
            <v>290</v>
          </cell>
          <cell r="AB22">
            <v>330</v>
          </cell>
          <cell r="AC22">
            <v>320</v>
          </cell>
          <cell r="AD22">
            <v>330</v>
          </cell>
          <cell r="AE22">
            <v>330</v>
          </cell>
          <cell r="AF22">
            <v>510</v>
          </cell>
          <cell r="AH22" t="str">
            <v>Manager</v>
          </cell>
          <cell r="AI22">
            <v>27</v>
          </cell>
          <cell r="AJ22">
            <v>27</v>
          </cell>
          <cell r="AK22">
            <v>27</v>
          </cell>
          <cell r="AL22">
            <v>27</v>
          </cell>
          <cell r="AM22">
            <v>27</v>
          </cell>
          <cell r="AN22">
            <v>27</v>
          </cell>
          <cell r="AO22">
            <v>27</v>
          </cell>
          <cell r="AP22">
            <v>27</v>
          </cell>
          <cell r="AS22" t="str">
            <v>Manager</v>
          </cell>
          <cell r="AT22">
            <v>325</v>
          </cell>
          <cell r="AU22">
            <v>245</v>
          </cell>
          <cell r="AV22">
            <v>270</v>
          </cell>
          <cell r="AW22">
            <v>275</v>
          </cell>
          <cell r="AX22">
            <v>325</v>
          </cell>
          <cell r="AY22">
            <v>325</v>
          </cell>
          <cell r="AZ22">
            <v>325</v>
          </cell>
          <cell r="BA22">
            <v>325</v>
          </cell>
          <cell r="BB22">
            <v>375</v>
          </cell>
          <cell r="BD22" t="str">
            <v>Manager</v>
          </cell>
          <cell r="BE22">
            <v>27</v>
          </cell>
          <cell r="BF22">
            <v>27</v>
          </cell>
          <cell r="BG22">
            <v>27</v>
          </cell>
          <cell r="BH22">
            <v>27</v>
          </cell>
          <cell r="BI22">
            <v>27</v>
          </cell>
          <cell r="BJ22">
            <v>27</v>
          </cell>
          <cell r="BK22">
            <v>27</v>
          </cell>
          <cell r="BL22">
            <v>27</v>
          </cell>
        </row>
        <row r="23">
          <cell r="A23" t="str">
            <v>Senior - Level Supervising</v>
          </cell>
          <cell r="B23">
            <v>380</v>
          </cell>
          <cell r="C23">
            <v>270</v>
          </cell>
          <cell r="D23">
            <v>320</v>
          </cell>
          <cell r="E23">
            <v>320</v>
          </cell>
          <cell r="F23">
            <v>380</v>
          </cell>
          <cell r="G23">
            <v>380</v>
          </cell>
          <cell r="H23">
            <v>380</v>
          </cell>
          <cell r="I23">
            <v>380</v>
          </cell>
          <cell r="J23">
            <v>435</v>
          </cell>
          <cell r="L23" t="str">
            <v>Senior - Level Supervising</v>
          </cell>
          <cell r="M23">
            <v>61</v>
          </cell>
          <cell r="N23">
            <v>61</v>
          </cell>
          <cell r="O23">
            <v>61</v>
          </cell>
          <cell r="P23">
            <v>61</v>
          </cell>
          <cell r="Q23">
            <v>61</v>
          </cell>
          <cell r="R23">
            <v>61</v>
          </cell>
          <cell r="S23">
            <v>61</v>
          </cell>
          <cell r="T23">
            <v>61</v>
          </cell>
          <cell r="W23" t="str">
            <v>Senior - Level Supervising</v>
          </cell>
          <cell r="X23">
            <v>285</v>
          </cell>
          <cell r="Y23">
            <v>205</v>
          </cell>
          <cell r="Z23">
            <v>240</v>
          </cell>
          <cell r="AA23">
            <v>240</v>
          </cell>
          <cell r="AB23">
            <v>285</v>
          </cell>
          <cell r="AC23">
            <v>285</v>
          </cell>
          <cell r="AD23">
            <v>285</v>
          </cell>
          <cell r="AE23">
            <v>285</v>
          </cell>
          <cell r="AF23">
            <v>435</v>
          </cell>
          <cell r="AH23" t="str">
            <v>Senior - Level Supervising</v>
          </cell>
          <cell r="AI23">
            <v>13</v>
          </cell>
          <cell r="AJ23">
            <v>13</v>
          </cell>
          <cell r="AK23">
            <v>13</v>
          </cell>
          <cell r="AL23">
            <v>13</v>
          </cell>
          <cell r="AM23">
            <v>13</v>
          </cell>
          <cell r="AN23">
            <v>13</v>
          </cell>
          <cell r="AO23">
            <v>13</v>
          </cell>
          <cell r="AP23">
            <v>13</v>
          </cell>
          <cell r="AS23" t="str">
            <v>Senior - Level Supervising</v>
          </cell>
          <cell r="AT23">
            <v>265</v>
          </cell>
          <cell r="AU23">
            <v>205</v>
          </cell>
          <cell r="AV23">
            <v>205</v>
          </cell>
          <cell r="AW23">
            <v>240</v>
          </cell>
          <cell r="AX23">
            <v>265</v>
          </cell>
          <cell r="AY23">
            <v>265</v>
          </cell>
          <cell r="AZ23">
            <v>265</v>
          </cell>
          <cell r="BA23">
            <v>265</v>
          </cell>
          <cell r="BB23">
            <v>320</v>
          </cell>
          <cell r="BD23" t="str">
            <v>Senior - Level Supervising</v>
          </cell>
          <cell r="BE23">
            <v>13</v>
          </cell>
          <cell r="BF23">
            <v>13</v>
          </cell>
          <cell r="BG23">
            <v>13</v>
          </cell>
          <cell r="BH23">
            <v>13</v>
          </cell>
          <cell r="BI23">
            <v>13</v>
          </cell>
          <cell r="BJ23">
            <v>13</v>
          </cell>
          <cell r="BK23">
            <v>13</v>
          </cell>
          <cell r="BL23">
            <v>13</v>
          </cell>
        </row>
        <row r="24">
          <cell r="A24" t="str">
            <v>Senior - Level 1</v>
          </cell>
          <cell r="B24">
            <v>350</v>
          </cell>
          <cell r="C24">
            <v>270</v>
          </cell>
          <cell r="D24">
            <v>280</v>
          </cell>
          <cell r="E24">
            <v>275</v>
          </cell>
          <cell r="F24">
            <v>350</v>
          </cell>
          <cell r="G24">
            <v>320</v>
          </cell>
          <cell r="H24">
            <v>350</v>
          </cell>
          <cell r="I24">
            <v>350</v>
          </cell>
          <cell r="J24">
            <v>435</v>
          </cell>
          <cell r="L24" t="str">
            <v>Senior - Level 1</v>
          </cell>
          <cell r="M24">
            <v>61</v>
          </cell>
          <cell r="N24">
            <v>61</v>
          </cell>
          <cell r="O24">
            <v>61</v>
          </cell>
          <cell r="P24">
            <v>61</v>
          </cell>
          <cell r="Q24">
            <v>61</v>
          </cell>
          <cell r="R24">
            <v>61</v>
          </cell>
          <cell r="S24">
            <v>61</v>
          </cell>
          <cell r="T24">
            <v>61</v>
          </cell>
          <cell r="W24" t="str">
            <v>Senior - Level 1</v>
          </cell>
          <cell r="X24">
            <v>265</v>
          </cell>
          <cell r="Y24">
            <v>205</v>
          </cell>
          <cell r="Z24">
            <v>210</v>
          </cell>
          <cell r="AA24">
            <v>205</v>
          </cell>
          <cell r="AB24">
            <v>265</v>
          </cell>
          <cell r="AC24">
            <v>240</v>
          </cell>
          <cell r="AD24">
            <v>265</v>
          </cell>
          <cell r="AE24">
            <v>265</v>
          </cell>
          <cell r="AF24">
            <v>435</v>
          </cell>
          <cell r="AH24" t="str">
            <v>Senior - Level 1</v>
          </cell>
          <cell r="AI24">
            <v>13</v>
          </cell>
          <cell r="AJ24">
            <v>13</v>
          </cell>
          <cell r="AK24">
            <v>13</v>
          </cell>
          <cell r="AL24">
            <v>13</v>
          </cell>
          <cell r="AM24">
            <v>13</v>
          </cell>
          <cell r="AN24">
            <v>13</v>
          </cell>
          <cell r="AO24">
            <v>13</v>
          </cell>
          <cell r="AP24">
            <v>13</v>
          </cell>
          <cell r="AS24" t="str">
            <v>Senior - Level 1</v>
          </cell>
          <cell r="AT24">
            <v>265</v>
          </cell>
          <cell r="AU24">
            <v>205</v>
          </cell>
          <cell r="AV24">
            <v>205</v>
          </cell>
          <cell r="AW24">
            <v>240</v>
          </cell>
          <cell r="AX24">
            <v>265</v>
          </cell>
          <cell r="AY24">
            <v>265</v>
          </cell>
          <cell r="AZ24">
            <v>265</v>
          </cell>
          <cell r="BA24">
            <v>265</v>
          </cell>
          <cell r="BB24">
            <v>320</v>
          </cell>
          <cell r="BD24" t="str">
            <v>Senior - Level 1</v>
          </cell>
          <cell r="BE24">
            <v>13</v>
          </cell>
          <cell r="BF24">
            <v>13</v>
          </cell>
          <cell r="BG24">
            <v>13</v>
          </cell>
          <cell r="BH24">
            <v>13</v>
          </cell>
          <cell r="BI24">
            <v>13</v>
          </cell>
          <cell r="BJ24">
            <v>13</v>
          </cell>
          <cell r="BK24">
            <v>13</v>
          </cell>
          <cell r="BL24">
            <v>13</v>
          </cell>
        </row>
        <row r="25">
          <cell r="A25" t="str">
            <v>Staff - Level 2</v>
          </cell>
          <cell r="B25">
            <v>290</v>
          </cell>
          <cell r="C25">
            <v>245</v>
          </cell>
          <cell r="D25">
            <v>230</v>
          </cell>
          <cell r="E25">
            <v>240</v>
          </cell>
          <cell r="F25">
            <v>290</v>
          </cell>
          <cell r="G25">
            <v>290</v>
          </cell>
          <cell r="H25">
            <v>290</v>
          </cell>
          <cell r="I25">
            <v>290</v>
          </cell>
          <cell r="J25">
            <v>330</v>
          </cell>
          <cell r="L25" t="str">
            <v>Staff - Level 2</v>
          </cell>
          <cell r="M25">
            <v>43</v>
          </cell>
          <cell r="N25">
            <v>43</v>
          </cell>
          <cell r="O25">
            <v>43</v>
          </cell>
          <cell r="P25">
            <v>43</v>
          </cell>
          <cell r="Q25">
            <v>43</v>
          </cell>
          <cell r="R25">
            <v>43</v>
          </cell>
          <cell r="S25">
            <v>43</v>
          </cell>
          <cell r="T25">
            <v>43</v>
          </cell>
          <cell r="W25" t="str">
            <v>Staff - Level 2</v>
          </cell>
          <cell r="X25">
            <v>220</v>
          </cell>
          <cell r="Y25">
            <v>185</v>
          </cell>
          <cell r="Z25">
            <v>175</v>
          </cell>
          <cell r="AA25">
            <v>180</v>
          </cell>
          <cell r="AB25">
            <v>220</v>
          </cell>
          <cell r="AC25">
            <v>220</v>
          </cell>
          <cell r="AD25">
            <v>220</v>
          </cell>
          <cell r="AE25">
            <v>220</v>
          </cell>
          <cell r="AF25">
            <v>330</v>
          </cell>
          <cell r="AH25" t="str">
            <v>Staff - Level 2</v>
          </cell>
          <cell r="AI25">
            <v>7</v>
          </cell>
          <cell r="AJ25">
            <v>7</v>
          </cell>
          <cell r="AK25">
            <v>7</v>
          </cell>
          <cell r="AL25">
            <v>7</v>
          </cell>
          <cell r="AM25">
            <v>7</v>
          </cell>
          <cell r="AN25">
            <v>7</v>
          </cell>
          <cell r="AO25">
            <v>7</v>
          </cell>
          <cell r="AP25">
            <v>7</v>
          </cell>
          <cell r="AS25" t="str">
            <v>Staff - Level 2</v>
          </cell>
          <cell r="AT25">
            <v>220</v>
          </cell>
          <cell r="AU25">
            <v>190</v>
          </cell>
          <cell r="AV25">
            <v>165</v>
          </cell>
          <cell r="AW25">
            <v>205</v>
          </cell>
          <cell r="AX25">
            <v>220</v>
          </cell>
          <cell r="AY25">
            <v>220</v>
          </cell>
          <cell r="AZ25">
            <v>220</v>
          </cell>
          <cell r="BA25">
            <v>220</v>
          </cell>
          <cell r="BB25">
            <v>240</v>
          </cell>
          <cell r="BD25" t="str">
            <v>Staff - Level 2</v>
          </cell>
          <cell r="BE25">
            <v>7</v>
          </cell>
          <cell r="BF25">
            <v>7</v>
          </cell>
          <cell r="BG25">
            <v>7</v>
          </cell>
          <cell r="BH25">
            <v>7</v>
          </cell>
          <cell r="BI25">
            <v>7</v>
          </cell>
          <cell r="BJ25">
            <v>7</v>
          </cell>
          <cell r="BK25">
            <v>7</v>
          </cell>
          <cell r="BL25">
            <v>7</v>
          </cell>
        </row>
        <row r="26">
          <cell r="A26" t="str">
            <v>Staff - Level 1</v>
          </cell>
          <cell r="B26">
            <v>265</v>
          </cell>
          <cell r="C26">
            <v>230</v>
          </cell>
          <cell r="D26">
            <v>205</v>
          </cell>
          <cell r="E26">
            <v>205</v>
          </cell>
          <cell r="F26">
            <v>265</v>
          </cell>
          <cell r="G26">
            <v>265</v>
          </cell>
          <cell r="H26">
            <v>265</v>
          </cell>
          <cell r="I26">
            <v>265</v>
          </cell>
          <cell r="J26">
            <v>330</v>
          </cell>
          <cell r="L26" t="str">
            <v>Staff - Level 1</v>
          </cell>
          <cell r="M26">
            <v>43</v>
          </cell>
          <cell r="N26">
            <v>43</v>
          </cell>
          <cell r="O26">
            <v>43</v>
          </cell>
          <cell r="P26">
            <v>43</v>
          </cell>
          <cell r="Q26">
            <v>43</v>
          </cell>
          <cell r="R26">
            <v>43</v>
          </cell>
          <cell r="S26">
            <v>43</v>
          </cell>
          <cell r="T26">
            <v>43</v>
          </cell>
          <cell r="W26" t="str">
            <v>Staff - Level 1</v>
          </cell>
          <cell r="X26">
            <v>200</v>
          </cell>
          <cell r="Y26">
            <v>175</v>
          </cell>
          <cell r="Z26">
            <v>155</v>
          </cell>
          <cell r="AA26">
            <v>155</v>
          </cell>
          <cell r="AB26">
            <v>200</v>
          </cell>
          <cell r="AC26">
            <v>200</v>
          </cell>
          <cell r="AD26">
            <v>200</v>
          </cell>
          <cell r="AE26">
            <v>200</v>
          </cell>
          <cell r="AF26">
            <v>330</v>
          </cell>
          <cell r="AH26" t="str">
            <v>Staff - Level 1</v>
          </cell>
          <cell r="AI26">
            <v>7</v>
          </cell>
          <cell r="AJ26">
            <v>7</v>
          </cell>
          <cell r="AK26">
            <v>7</v>
          </cell>
          <cell r="AL26">
            <v>7</v>
          </cell>
          <cell r="AM26">
            <v>7</v>
          </cell>
          <cell r="AN26">
            <v>7</v>
          </cell>
          <cell r="AO26">
            <v>7</v>
          </cell>
          <cell r="AP26">
            <v>7</v>
          </cell>
          <cell r="AS26" t="str">
            <v>Staff - Level 1</v>
          </cell>
          <cell r="AT26">
            <v>200</v>
          </cell>
          <cell r="AU26">
            <v>175</v>
          </cell>
          <cell r="AV26">
            <v>150</v>
          </cell>
          <cell r="AW26">
            <v>190</v>
          </cell>
          <cell r="AX26">
            <v>200</v>
          </cell>
          <cell r="AY26">
            <v>200</v>
          </cell>
          <cell r="AZ26">
            <v>200</v>
          </cell>
          <cell r="BA26">
            <v>200</v>
          </cell>
          <cell r="BB26">
            <v>240</v>
          </cell>
          <cell r="BD26" t="str">
            <v>Staff - Level 1</v>
          </cell>
          <cell r="BE26">
            <v>7</v>
          </cell>
          <cell r="BF26">
            <v>7</v>
          </cell>
          <cell r="BG26">
            <v>7</v>
          </cell>
          <cell r="BH26">
            <v>7</v>
          </cell>
          <cell r="BI26">
            <v>7</v>
          </cell>
          <cell r="BJ26">
            <v>7</v>
          </cell>
          <cell r="BK26">
            <v>7</v>
          </cell>
          <cell r="BL26">
            <v>7</v>
          </cell>
        </row>
        <row r="27">
          <cell r="A27" t="str">
            <v>Intern</v>
          </cell>
          <cell r="B27">
            <v>205</v>
          </cell>
          <cell r="C27">
            <v>205</v>
          </cell>
          <cell r="D27">
            <v>185</v>
          </cell>
          <cell r="E27">
            <v>205</v>
          </cell>
          <cell r="F27">
            <v>205</v>
          </cell>
          <cell r="G27">
            <v>205</v>
          </cell>
          <cell r="H27">
            <v>205</v>
          </cell>
          <cell r="I27">
            <v>205</v>
          </cell>
          <cell r="J27">
            <v>205</v>
          </cell>
          <cell r="L27" t="str">
            <v>Intern</v>
          </cell>
          <cell r="M27">
            <v>37</v>
          </cell>
          <cell r="N27">
            <v>37</v>
          </cell>
          <cell r="O27">
            <v>37</v>
          </cell>
          <cell r="P27">
            <v>37</v>
          </cell>
          <cell r="Q27">
            <v>37</v>
          </cell>
          <cell r="R27">
            <v>37</v>
          </cell>
          <cell r="S27">
            <v>37</v>
          </cell>
          <cell r="T27">
            <v>37</v>
          </cell>
          <cell r="W27" t="str">
            <v>Intern</v>
          </cell>
          <cell r="AH27" t="str">
            <v>Intern</v>
          </cell>
          <cell r="AS27" t="str">
            <v>Intern</v>
          </cell>
          <cell r="BD27" t="str">
            <v>Intern</v>
          </cell>
        </row>
        <row r="28">
          <cell r="A28" t="str">
            <v>Administration</v>
          </cell>
          <cell r="B28">
            <v>150</v>
          </cell>
          <cell r="C28">
            <v>150</v>
          </cell>
          <cell r="D28">
            <v>150</v>
          </cell>
          <cell r="E28">
            <v>150</v>
          </cell>
          <cell r="F28">
            <v>150</v>
          </cell>
          <cell r="G28">
            <v>150</v>
          </cell>
          <cell r="H28">
            <v>150</v>
          </cell>
          <cell r="I28">
            <v>150</v>
          </cell>
          <cell r="J28">
            <v>150</v>
          </cell>
          <cell r="L28" t="str">
            <v>Administration</v>
          </cell>
          <cell r="M28">
            <v>44</v>
          </cell>
          <cell r="N28">
            <v>44</v>
          </cell>
          <cell r="O28">
            <v>44</v>
          </cell>
          <cell r="P28">
            <v>44</v>
          </cell>
          <cell r="Q28">
            <v>44</v>
          </cell>
          <cell r="R28">
            <v>44</v>
          </cell>
          <cell r="S28">
            <v>44</v>
          </cell>
          <cell r="T28">
            <v>44</v>
          </cell>
          <cell r="W28" t="str">
            <v>Administration</v>
          </cell>
          <cell r="AH28" t="str">
            <v>Administration</v>
          </cell>
          <cell r="AI28">
            <v>6</v>
          </cell>
          <cell r="AJ28">
            <v>6</v>
          </cell>
          <cell r="AK28">
            <v>6</v>
          </cell>
          <cell r="AL28">
            <v>6</v>
          </cell>
          <cell r="AM28">
            <v>6</v>
          </cell>
          <cell r="AN28">
            <v>6</v>
          </cell>
          <cell r="AO28">
            <v>6</v>
          </cell>
          <cell r="AP28">
            <v>6</v>
          </cell>
          <cell r="AS28" t="str">
            <v>Administration</v>
          </cell>
          <cell r="AT28">
            <v>150</v>
          </cell>
          <cell r="AU28">
            <v>150</v>
          </cell>
          <cell r="AV28">
            <v>150</v>
          </cell>
          <cell r="AW28">
            <v>150</v>
          </cell>
          <cell r="AX28">
            <v>150</v>
          </cell>
          <cell r="AY28">
            <v>150</v>
          </cell>
          <cell r="AZ28">
            <v>150</v>
          </cell>
          <cell r="BA28">
            <v>150</v>
          </cell>
          <cell r="BB28">
            <v>150</v>
          </cell>
          <cell r="BD28" t="str">
            <v>Administration</v>
          </cell>
          <cell r="BE28">
            <v>6</v>
          </cell>
          <cell r="BF28">
            <v>6</v>
          </cell>
          <cell r="BG28">
            <v>6</v>
          </cell>
          <cell r="BH28">
            <v>6</v>
          </cell>
          <cell r="BI28">
            <v>6</v>
          </cell>
          <cell r="BJ28">
            <v>6</v>
          </cell>
          <cell r="BK28">
            <v>6</v>
          </cell>
          <cell r="BL28">
            <v>6</v>
          </cell>
        </row>
        <row r="29">
          <cell r="A29" t="str">
            <v>CEC</v>
          </cell>
          <cell r="L29" t="str">
            <v>CEC</v>
          </cell>
          <cell r="W29" t="str">
            <v>CEC</v>
          </cell>
          <cell r="AH29" t="str">
            <v>CEC</v>
          </cell>
          <cell r="AS29" t="str">
            <v>CEC</v>
          </cell>
          <cell r="BD29" t="str">
            <v>CEC</v>
          </cell>
        </row>
        <row r="30">
          <cell r="A30" t="str">
            <v/>
          </cell>
          <cell r="L30" t="str">
            <v/>
          </cell>
          <cell r="W30" t="str">
            <v/>
          </cell>
          <cell r="AH30" t="str">
            <v/>
          </cell>
          <cell r="AS30" t="str">
            <v/>
          </cell>
          <cell r="BD30" t="str">
            <v/>
          </cell>
        </row>
        <row r="32">
          <cell r="A32" t="str">
            <v>2026</v>
          </cell>
        </row>
        <row r="33">
          <cell r="A33" t="str">
            <v>Partner</v>
          </cell>
          <cell r="B33">
            <v>910</v>
          </cell>
          <cell r="C33">
            <v>685</v>
          </cell>
          <cell r="D33">
            <v>685</v>
          </cell>
          <cell r="E33">
            <v>730</v>
          </cell>
          <cell r="F33">
            <v>865</v>
          </cell>
          <cell r="G33">
            <v>820</v>
          </cell>
          <cell r="H33">
            <v>865</v>
          </cell>
          <cell r="I33">
            <v>455</v>
          </cell>
          <cell r="J33">
            <v>925</v>
          </cell>
          <cell r="L33" t="str">
            <v>Partner</v>
          </cell>
          <cell r="M33">
            <v>260</v>
          </cell>
          <cell r="N33">
            <v>260</v>
          </cell>
          <cell r="O33">
            <v>260</v>
          </cell>
          <cell r="P33">
            <v>260</v>
          </cell>
          <cell r="Q33">
            <v>260</v>
          </cell>
          <cell r="R33">
            <v>260</v>
          </cell>
          <cell r="S33">
            <v>260</v>
          </cell>
          <cell r="T33">
            <v>260</v>
          </cell>
          <cell r="W33" t="str">
            <v>Partner</v>
          </cell>
          <cell r="AH33" t="str">
            <v>Partner</v>
          </cell>
          <cell r="AS33" t="str">
            <v>Partner</v>
          </cell>
          <cell r="BD33" t="str">
            <v>Partner</v>
          </cell>
        </row>
        <row r="34">
          <cell r="A34" t="str">
            <v>Director</v>
          </cell>
          <cell r="B34">
            <v>695</v>
          </cell>
          <cell r="C34">
            <v>520</v>
          </cell>
          <cell r="D34">
            <v>520</v>
          </cell>
          <cell r="E34">
            <v>555</v>
          </cell>
          <cell r="F34">
            <v>660</v>
          </cell>
          <cell r="G34">
            <v>625</v>
          </cell>
          <cell r="H34">
            <v>660</v>
          </cell>
          <cell r="I34">
            <v>350</v>
          </cell>
          <cell r="J34">
            <v>695</v>
          </cell>
          <cell r="L34" t="str">
            <v>Director</v>
          </cell>
          <cell r="M34">
            <v>131</v>
          </cell>
          <cell r="N34">
            <v>131</v>
          </cell>
          <cell r="O34">
            <v>131</v>
          </cell>
          <cell r="P34">
            <v>131</v>
          </cell>
          <cell r="Q34">
            <v>131</v>
          </cell>
          <cell r="R34">
            <v>131</v>
          </cell>
          <cell r="S34">
            <v>131</v>
          </cell>
          <cell r="T34">
            <v>131</v>
          </cell>
          <cell r="W34" t="str">
            <v>Director</v>
          </cell>
          <cell r="X34">
            <v>520</v>
          </cell>
          <cell r="Y34">
            <v>390</v>
          </cell>
          <cell r="Z34">
            <v>390</v>
          </cell>
          <cell r="AA34">
            <v>415</v>
          </cell>
          <cell r="AB34">
            <v>495</v>
          </cell>
          <cell r="AC34">
            <v>470</v>
          </cell>
          <cell r="AD34">
            <v>495</v>
          </cell>
          <cell r="AE34">
            <v>260</v>
          </cell>
          <cell r="AF34">
            <v>695</v>
          </cell>
          <cell r="AH34" t="str">
            <v>Director</v>
          </cell>
          <cell r="AI34">
            <v>56</v>
          </cell>
          <cell r="AJ34">
            <v>56</v>
          </cell>
          <cell r="AK34">
            <v>56</v>
          </cell>
          <cell r="AL34">
            <v>56</v>
          </cell>
          <cell r="AM34">
            <v>56</v>
          </cell>
          <cell r="AN34">
            <v>56</v>
          </cell>
          <cell r="AO34">
            <v>56</v>
          </cell>
          <cell r="AP34">
            <v>56</v>
          </cell>
          <cell r="AS34" t="str">
            <v>Director</v>
          </cell>
          <cell r="AT34">
            <v>0</v>
          </cell>
          <cell r="AU34">
            <v>0</v>
          </cell>
          <cell r="AV34">
            <v>0</v>
          </cell>
          <cell r="AW34">
            <v>0</v>
          </cell>
          <cell r="AX34">
            <v>0</v>
          </cell>
          <cell r="AY34">
            <v>0</v>
          </cell>
          <cell r="AZ34">
            <v>0</v>
          </cell>
          <cell r="BA34">
            <v>0</v>
          </cell>
          <cell r="BB34">
            <v>0</v>
          </cell>
          <cell r="BD34" t="str">
            <v>Director</v>
          </cell>
          <cell r="BE34">
            <v>56</v>
          </cell>
          <cell r="BF34">
            <v>56</v>
          </cell>
          <cell r="BG34">
            <v>56</v>
          </cell>
          <cell r="BH34">
            <v>56</v>
          </cell>
          <cell r="BI34">
            <v>56</v>
          </cell>
          <cell r="BJ34">
            <v>56</v>
          </cell>
          <cell r="BK34">
            <v>56</v>
          </cell>
          <cell r="BL34">
            <v>56</v>
          </cell>
        </row>
        <row r="35">
          <cell r="A35" t="str">
            <v>Senior Manager</v>
          </cell>
          <cell r="B35">
            <v>575</v>
          </cell>
          <cell r="C35">
            <v>430</v>
          </cell>
          <cell r="D35">
            <v>430</v>
          </cell>
          <cell r="E35">
            <v>460</v>
          </cell>
          <cell r="F35">
            <v>545</v>
          </cell>
          <cell r="G35">
            <v>520</v>
          </cell>
          <cell r="H35">
            <v>545</v>
          </cell>
          <cell r="I35">
            <v>290</v>
          </cell>
          <cell r="J35">
            <v>605</v>
          </cell>
          <cell r="L35" t="str">
            <v>Senior Manager</v>
          </cell>
          <cell r="M35">
            <v>107</v>
          </cell>
          <cell r="N35">
            <v>107</v>
          </cell>
          <cell r="O35">
            <v>107</v>
          </cell>
          <cell r="P35">
            <v>107</v>
          </cell>
          <cell r="Q35">
            <v>107</v>
          </cell>
          <cell r="R35">
            <v>107</v>
          </cell>
          <cell r="S35">
            <v>107</v>
          </cell>
          <cell r="T35">
            <v>107</v>
          </cell>
          <cell r="W35" t="str">
            <v>Senior Manager</v>
          </cell>
          <cell r="X35">
            <v>430</v>
          </cell>
          <cell r="Y35">
            <v>325</v>
          </cell>
          <cell r="Z35">
            <v>325</v>
          </cell>
          <cell r="AA35">
            <v>345</v>
          </cell>
          <cell r="AB35">
            <v>410</v>
          </cell>
          <cell r="AC35">
            <v>385</v>
          </cell>
          <cell r="AD35">
            <v>410</v>
          </cell>
          <cell r="AE35">
            <v>215</v>
          </cell>
          <cell r="AF35">
            <v>605</v>
          </cell>
          <cell r="AH35" t="str">
            <v>Senior Manager</v>
          </cell>
          <cell r="AI35">
            <v>37</v>
          </cell>
          <cell r="AJ35">
            <v>37</v>
          </cell>
          <cell r="AK35">
            <v>37</v>
          </cell>
          <cell r="AL35">
            <v>37</v>
          </cell>
          <cell r="AM35">
            <v>37</v>
          </cell>
          <cell r="AN35">
            <v>37</v>
          </cell>
          <cell r="AO35">
            <v>37</v>
          </cell>
          <cell r="AP35">
            <v>37</v>
          </cell>
          <cell r="AS35" t="str">
            <v>Senior Manager</v>
          </cell>
          <cell r="AT35">
            <v>340</v>
          </cell>
          <cell r="AU35">
            <v>255</v>
          </cell>
          <cell r="AV35">
            <v>255</v>
          </cell>
          <cell r="AW35">
            <v>270</v>
          </cell>
          <cell r="AX35">
            <v>325</v>
          </cell>
          <cell r="AY35">
            <v>305</v>
          </cell>
          <cell r="AZ35">
            <v>325</v>
          </cell>
          <cell r="BA35">
            <v>170</v>
          </cell>
          <cell r="BB35">
            <v>390</v>
          </cell>
          <cell r="BD35" t="str">
            <v>Senior Manager</v>
          </cell>
          <cell r="BE35">
            <v>37</v>
          </cell>
          <cell r="BF35">
            <v>37</v>
          </cell>
          <cell r="BG35">
            <v>37</v>
          </cell>
          <cell r="BH35">
            <v>37</v>
          </cell>
          <cell r="BI35">
            <v>37</v>
          </cell>
          <cell r="BJ35">
            <v>37</v>
          </cell>
          <cell r="BK35">
            <v>37</v>
          </cell>
          <cell r="BL35">
            <v>37</v>
          </cell>
        </row>
        <row r="36">
          <cell r="A36" t="str">
            <v>Manager</v>
          </cell>
          <cell r="B36">
            <v>450</v>
          </cell>
          <cell r="C36">
            <v>340</v>
          </cell>
          <cell r="D36">
            <v>340</v>
          </cell>
          <cell r="E36">
            <v>360</v>
          </cell>
          <cell r="F36">
            <v>430</v>
          </cell>
          <cell r="G36">
            <v>405</v>
          </cell>
          <cell r="H36">
            <v>430</v>
          </cell>
          <cell r="I36">
            <v>225</v>
          </cell>
          <cell r="J36">
            <v>530</v>
          </cell>
          <cell r="L36" t="str">
            <v>Manager</v>
          </cell>
          <cell r="M36">
            <v>81</v>
          </cell>
          <cell r="N36">
            <v>81</v>
          </cell>
          <cell r="O36">
            <v>81</v>
          </cell>
          <cell r="P36">
            <v>81</v>
          </cell>
          <cell r="Q36">
            <v>81</v>
          </cell>
          <cell r="R36">
            <v>81</v>
          </cell>
          <cell r="S36">
            <v>81</v>
          </cell>
          <cell r="T36">
            <v>81</v>
          </cell>
          <cell r="W36" t="str">
            <v>Manager</v>
          </cell>
          <cell r="X36">
            <v>345</v>
          </cell>
          <cell r="Y36">
            <v>260</v>
          </cell>
          <cell r="Z36">
            <v>260</v>
          </cell>
          <cell r="AA36">
            <v>275</v>
          </cell>
          <cell r="AB36">
            <v>330</v>
          </cell>
          <cell r="AC36">
            <v>310</v>
          </cell>
          <cell r="AD36">
            <v>330</v>
          </cell>
          <cell r="AE36">
            <v>175</v>
          </cell>
          <cell r="AF36">
            <v>530</v>
          </cell>
          <cell r="AH36" t="str">
            <v>Manager</v>
          </cell>
          <cell r="AI36">
            <v>28</v>
          </cell>
          <cell r="AJ36">
            <v>28</v>
          </cell>
          <cell r="AK36">
            <v>28</v>
          </cell>
          <cell r="AL36">
            <v>28</v>
          </cell>
          <cell r="AM36">
            <v>28</v>
          </cell>
          <cell r="AN36">
            <v>28</v>
          </cell>
          <cell r="AO36">
            <v>28</v>
          </cell>
          <cell r="AP36">
            <v>28</v>
          </cell>
          <cell r="AS36" t="str">
            <v>Manager</v>
          </cell>
          <cell r="AT36">
            <v>340</v>
          </cell>
          <cell r="AU36">
            <v>255</v>
          </cell>
          <cell r="AV36">
            <v>255</v>
          </cell>
          <cell r="AW36">
            <v>270</v>
          </cell>
          <cell r="AX36">
            <v>325</v>
          </cell>
          <cell r="AY36">
            <v>305</v>
          </cell>
          <cell r="AZ36">
            <v>325</v>
          </cell>
          <cell r="BA36">
            <v>170</v>
          </cell>
          <cell r="BB36">
            <v>390</v>
          </cell>
          <cell r="BD36" t="str">
            <v>Manager</v>
          </cell>
          <cell r="BE36">
            <v>28</v>
          </cell>
          <cell r="BF36">
            <v>28</v>
          </cell>
          <cell r="BG36">
            <v>28</v>
          </cell>
          <cell r="BH36">
            <v>28</v>
          </cell>
          <cell r="BI36">
            <v>28</v>
          </cell>
          <cell r="BJ36">
            <v>28</v>
          </cell>
          <cell r="BK36">
            <v>28</v>
          </cell>
          <cell r="BL36">
            <v>28</v>
          </cell>
        </row>
        <row r="37">
          <cell r="A37" t="str">
            <v>Senior - Level Supervising</v>
          </cell>
          <cell r="B37">
            <v>395</v>
          </cell>
          <cell r="C37">
            <v>295</v>
          </cell>
          <cell r="D37">
            <v>295</v>
          </cell>
          <cell r="E37">
            <v>315</v>
          </cell>
          <cell r="F37">
            <v>375</v>
          </cell>
          <cell r="G37">
            <v>355</v>
          </cell>
          <cell r="H37">
            <v>375</v>
          </cell>
          <cell r="I37">
            <v>200</v>
          </cell>
          <cell r="J37">
            <v>450</v>
          </cell>
          <cell r="L37" t="str">
            <v>Senior - Level Supervising</v>
          </cell>
          <cell r="M37">
            <v>63</v>
          </cell>
          <cell r="N37">
            <v>63</v>
          </cell>
          <cell r="O37">
            <v>63</v>
          </cell>
          <cell r="P37">
            <v>63</v>
          </cell>
          <cell r="Q37">
            <v>63</v>
          </cell>
          <cell r="R37">
            <v>63</v>
          </cell>
          <cell r="S37">
            <v>63</v>
          </cell>
          <cell r="T37">
            <v>63</v>
          </cell>
          <cell r="W37" t="str">
            <v>Senior - Level Supervising</v>
          </cell>
          <cell r="X37">
            <v>295</v>
          </cell>
          <cell r="Y37">
            <v>220</v>
          </cell>
          <cell r="Z37">
            <v>220</v>
          </cell>
          <cell r="AA37">
            <v>235</v>
          </cell>
          <cell r="AB37">
            <v>280</v>
          </cell>
          <cell r="AC37">
            <v>265</v>
          </cell>
          <cell r="AD37">
            <v>280</v>
          </cell>
          <cell r="AE37">
            <v>150</v>
          </cell>
          <cell r="AF37">
            <v>450</v>
          </cell>
          <cell r="AH37" t="str">
            <v>Senior - Level Supervising</v>
          </cell>
          <cell r="AI37">
            <v>14</v>
          </cell>
          <cell r="AJ37">
            <v>14</v>
          </cell>
          <cell r="AK37">
            <v>14</v>
          </cell>
          <cell r="AL37">
            <v>14</v>
          </cell>
          <cell r="AM37">
            <v>14</v>
          </cell>
          <cell r="AN37">
            <v>14</v>
          </cell>
          <cell r="AO37">
            <v>14</v>
          </cell>
          <cell r="AP37">
            <v>14</v>
          </cell>
          <cell r="AS37" t="str">
            <v>Senior - Level Supervising</v>
          </cell>
          <cell r="AT37">
            <v>275</v>
          </cell>
          <cell r="AU37">
            <v>205</v>
          </cell>
          <cell r="AV37">
            <v>205</v>
          </cell>
          <cell r="AW37">
            <v>220</v>
          </cell>
          <cell r="AX37">
            <v>260</v>
          </cell>
          <cell r="AY37">
            <v>250</v>
          </cell>
          <cell r="AZ37">
            <v>260</v>
          </cell>
          <cell r="BA37">
            <v>140</v>
          </cell>
          <cell r="BB37">
            <v>335</v>
          </cell>
          <cell r="BD37" t="str">
            <v>Senior - Level Supervising</v>
          </cell>
          <cell r="BE37">
            <v>14</v>
          </cell>
          <cell r="BF37">
            <v>14</v>
          </cell>
          <cell r="BG37">
            <v>14</v>
          </cell>
          <cell r="BH37">
            <v>14</v>
          </cell>
          <cell r="BI37">
            <v>14</v>
          </cell>
          <cell r="BJ37">
            <v>14</v>
          </cell>
          <cell r="BK37">
            <v>14</v>
          </cell>
          <cell r="BL37">
            <v>14</v>
          </cell>
        </row>
        <row r="38">
          <cell r="A38" t="str">
            <v>Senior - Level 1</v>
          </cell>
          <cell r="B38">
            <v>365</v>
          </cell>
          <cell r="C38">
            <v>275</v>
          </cell>
          <cell r="D38">
            <v>275</v>
          </cell>
          <cell r="E38">
            <v>290</v>
          </cell>
          <cell r="F38">
            <v>345</v>
          </cell>
          <cell r="G38">
            <v>330</v>
          </cell>
          <cell r="H38">
            <v>345</v>
          </cell>
          <cell r="I38">
            <v>185</v>
          </cell>
          <cell r="J38">
            <v>450</v>
          </cell>
          <cell r="L38" t="str">
            <v>Senior - Level 1</v>
          </cell>
          <cell r="M38">
            <v>63</v>
          </cell>
          <cell r="N38">
            <v>63</v>
          </cell>
          <cell r="O38">
            <v>63</v>
          </cell>
          <cell r="P38">
            <v>63</v>
          </cell>
          <cell r="Q38">
            <v>63</v>
          </cell>
          <cell r="R38">
            <v>63</v>
          </cell>
          <cell r="S38">
            <v>63</v>
          </cell>
          <cell r="T38">
            <v>63</v>
          </cell>
          <cell r="W38" t="str">
            <v>Senior - Level 1</v>
          </cell>
          <cell r="X38">
            <v>275</v>
          </cell>
          <cell r="Y38">
            <v>205</v>
          </cell>
          <cell r="Z38">
            <v>205</v>
          </cell>
          <cell r="AA38">
            <v>220</v>
          </cell>
          <cell r="AB38">
            <v>260</v>
          </cell>
          <cell r="AC38">
            <v>250</v>
          </cell>
          <cell r="AD38">
            <v>260</v>
          </cell>
          <cell r="AE38">
            <v>140</v>
          </cell>
          <cell r="AF38">
            <v>450</v>
          </cell>
          <cell r="AH38" t="str">
            <v>Senior - Level 1</v>
          </cell>
          <cell r="AI38">
            <v>14</v>
          </cell>
          <cell r="AJ38">
            <v>14</v>
          </cell>
          <cell r="AK38">
            <v>14</v>
          </cell>
          <cell r="AL38">
            <v>14</v>
          </cell>
          <cell r="AM38">
            <v>14</v>
          </cell>
          <cell r="AN38">
            <v>14</v>
          </cell>
          <cell r="AO38">
            <v>14</v>
          </cell>
          <cell r="AP38">
            <v>14</v>
          </cell>
          <cell r="AS38" t="str">
            <v>Senior - Level 1</v>
          </cell>
          <cell r="AT38">
            <v>275</v>
          </cell>
          <cell r="AU38">
            <v>205</v>
          </cell>
          <cell r="AV38">
            <v>205</v>
          </cell>
          <cell r="AW38">
            <v>220</v>
          </cell>
          <cell r="AX38">
            <v>260</v>
          </cell>
          <cell r="AY38">
            <v>250</v>
          </cell>
          <cell r="AZ38">
            <v>260</v>
          </cell>
          <cell r="BA38">
            <v>140</v>
          </cell>
          <cell r="BB38">
            <v>335</v>
          </cell>
          <cell r="BD38" t="str">
            <v>Senior - Level 1</v>
          </cell>
          <cell r="BE38">
            <v>14</v>
          </cell>
          <cell r="BF38">
            <v>14</v>
          </cell>
          <cell r="BG38">
            <v>14</v>
          </cell>
          <cell r="BH38">
            <v>14</v>
          </cell>
          <cell r="BI38">
            <v>14</v>
          </cell>
          <cell r="BJ38">
            <v>14</v>
          </cell>
          <cell r="BK38">
            <v>14</v>
          </cell>
          <cell r="BL38">
            <v>14</v>
          </cell>
        </row>
        <row r="39">
          <cell r="A39" t="str">
            <v>Staff - Level 2</v>
          </cell>
          <cell r="B39">
            <v>300</v>
          </cell>
          <cell r="C39">
            <v>225</v>
          </cell>
          <cell r="D39">
            <v>225</v>
          </cell>
          <cell r="E39">
            <v>240</v>
          </cell>
          <cell r="F39">
            <v>285</v>
          </cell>
          <cell r="G39">
            <v>270</v>
          </cell>
          <cell r="H39">
            <v>285</v>
          </cell>
          <cell r="I39">
            <v>150</v>
          </cell>
          <cell r="J39">
            <v>345</v>
          </cell>
          <cell r="L39" t="str">
            <v>Staff - Level 2</v>
          </cell>
          <cell r="M39">
            <v>45</v>
          </cell>
          <cell r="N39">
            <v>45</v>
          </cell>
          <cell r="O39">
            <v>45</v>
          </cell>
          <cell r="P39">
            <v>45</v>
          </cell>
          <cell r="Q39">
            <v>45</v>
          </cell>
          <cell r="R39">
            <v>45</v>
          </cell>
          <cell r="S39">
            <v>45</v>
          </cell>
          <cell r="T39">
            <v>45</v>
          </cell>
          <cell r="W39" t="str">
            <v>Staff - Level 2</v>
          </cell>
          <cell r="X39">
            <v>230</v>
          </cell>
          <cell r="Y39">
            <v>175</v>
          </cell>
          <cell r="Z39">
            <v>175</v>
          </cell>
          <cell r="AA39">
            <v>185</v>
          </cell>
          <cell r="AB39">
            <v>220</v>
          </cell>
          <cell r="AC39">
            <v>205</v>
          </cell>
          <cell r="AD39">
            <v>220</v>
          </cell>
          <cell r="AE39">
            <v>115</v>
          </cell>
          <cell r="AF39">
            <v>345</v>
          </cell>
          <cell r="AH39" t="str">
            <v>Staff - Level 2</v>
          </cell>
          <cell r="AI39">
            <v>7</v>
          </cell>
          <cell r="AJ39">
            <v>7</v>
          </cell>
          <cell r="AK39">
            <v>7</v>
          </cell>
          <cell r="AL39">
            <v>7</v>
          </cell>
          <cell r="AM39">
            <v>7</v>
          </cell>
          <cell r="AN39">
            <v>7</v>
          </cell>
          <cell r="AO39">
            <v>7</v>
          </cell>
          <cell r="AP39">
            <v>7</v>
          </cell>
          <cell r="AS39" t="str">
            <v>Staff - Level 2</v>
          </cell>
          <cell r="AT39">
            <v>230</v>
          </cell>
          <cell r="AU39">
            <v>175</v>
          </cell>
          <cell r="AV39">
            <v>175</v>
          </cell>
          <cell r="AW39">
            <v>185</v>
          </cell>
          <cell r="AX39">
            <v>220</v>
          </cell>
          <cell r="AY39">
            <v>205</v>
          </cell>
          <cell r="AZ39">
            <v>220</v>
          </cell>
          <cell r="BA39">
            <v>115</v>
          </cell>
          <cell r="BB39">
            <v>250</v>
          </cell>
          <cell r="BD39" t="str">
            <v>Staff - Level 2</v>
          </cell>
          <cell r="BE39">
            <v>7</v>
          </cell>
          <cell r="BF39">
            <v>7</v>
          </cell>
          <cell r="BG39">
            <v>7</v>
          </cell>
          <cell r="BH39">
            <v>7</v>
          </cell>
          <cell r="BI39">
            <v>7</v>
          </cell>
          <cell r="BJ39">
            <v>7</v>
          </cell>
          <cell r="BK39">
            <v>7</v>
          </cell>
          <cell r="BL39">
            <v>7</v>
          </cell>
        </row>
        <row r="40">
          <cell r="A40" t="str">
            <v>Staff - Level 1</v>
          </cell>
          <cell r="B40">
            <v>275</v>
          </cell>
          <cell r="C40">
            <v>205</v>
          </cell>
          <cell r="D40">
            <v>205</v>
          </cell>
          <cell r="E40">
            <v>220</v>
          </cell>
          <cell r="F40">
            <v>260</v>
          </cell>
          <cell r="G40">
            <v>250</v>
          </cell>
          <cell r="H40">
            <v>260</v>
          </cell>
          <cell r="I40">
            <v>140</v>
          </cell>
          <cell r="J40">
            <v>345</v>
          </cell>
          <cell r="L40" t="str">
            <v>Staff - Level 1</v>
          </cell>
          <cell r="M40">
            <v>45</v>
          </cell>
          <cell r="N40">
            <v>45</v>
          </cell>
          <cell r="O40">
            <v>45</v>
          </cell>
          <cell r="P40">
            <v>45</v>
          </cell>
          <cell r="Q40">
            <v>45</v>
          </cell>
          <cell r="R40">
            <v>45</v>
          </cell>
          <cell r="S40">
            <v>45</v>
          </cell>
          <cell r="T40">
            <v>45</v>
          </cell>
          <cell r="W40" t="str">
            <v>Staff - Level 1</v>
          </cell>
          <cell r="X40">
            <v>210</v>
          </cell>
          <cell r="Y40">
            <v>160</v>
          </cell>
          <cell r="Z40">
            <v>160</v>
          </cell>
          <cell r="AA40">
            <v>170</v>
          </cell>
          <cell r="AB40">
            <v>200</v>
          </cell>
          <cell r="AC40">
            <v>190</v>
          </cell>
          <cell r="AD40">
            <v>200</v>
          </cell>
          <cell r="AE40">
            <v>105</v>
          </cell>
          <cell r="AF40">
            <v>345</v>
          </cell>
          <cell r="AH40" t="str">
            <v>Staff - Level 1</v>
          </cell>
          <cell r="AI40">
            <v>7</v>
          </cell>
          <cell r="AJ40">
            <v>7</v>
          </cell>
          <cell r="AK40">
            <v>7</v>
          </cell>
          <cell r="AL40">
            <v>7</v>
          </cell>
          <cell r="AM40">
            <v>7</v>
          </cell>
          <cell r="AN40">
            <v>7</v>
          </cell>
          <cell r="AO40">
            <v>7</v>
          </cell>
          <cell r="AP40">
            <v>7</v>
          </cell>
          <cell r="AS40" t="str">
            <v>Staff - Level 1</v>
          </cell>
          <cell r="AT40">
            <v>210</v>
          </cell>
          <cell r="AU40">
            <v>160</v>
          </cell>
          <cell r="AV40">
            <v>160</v>
          </cell>
          <cell r="AW40">
            <v>170</v>
          </cell>
          <cell r="AX40">
            <v>200</v>
          </cell>
          <cell r="AY40">
            <v>190</v>
          </cell>
          <cell r="AZ40">
            <v>200</v>
          </cell>
          <cell r="BA40">
            <v>105</v>
          </cell>
          <cell r="BB40">
            <v>250</v>
          </cell>
          <cell r="BD40" t="str">
            <v>Staff - Level 1</v>
          </cell>
          <cell r="BE40">
            <v>7</v>
          </cell>
          <cell r="BF40">
            <v>7</v>
          </cell>
          <cell r="BG40">
            <v>7</v>
          </cell>
          <cell r="BH40">
            <v>7</v>
          </cell>
          <cell r="BI40">
            <v>7</v>
          </cell>
          <cell r="BJ40">
            <v>7</v>
          </cell>
          <cell r="BK40">
            <v>7</v>
          </cell>
          <cell r="BL40">
            <v>7</v>
          </cell>
        </row>
        <row r="41">
          <cell r="A41" t="str">
            <v>Intern</v>
          </cell>
          <cell r="B41">
            <v>215</v>
          </cell>
          <cell r="C41">
            <v>160</v>
          </cell>
          <cell r="D41">
            <v>160</v>
          </cell>
          <cell r="E41">
            <v>170</v>
          </cell>
          <cell r="F41">
            <v>205</v>
          </cell>
          <cell r="G41">
            <v>195</v>
          </cell>
          <cell r="H41">
            <v>205</v>
          </cell>
          <cell r="I41">
            <v>110</v>
          </cell>
          <cell r="J41">
            <v>215</v>
          </cell>
          <cell r="L41" t="str">
            <v>Intern</v>
          </cell>
          <cell r="M41">
            <v>38</v>
          </cell>
          <cell r="N41">
            <v>38</v>
          </cell>
          <cell r="O41">
            <v>38</v>
          </cell>
          <cell r="P41">
            <v>38</v>
          </cell>
          <cell r="Q41">
            <v>38</v>
          </cell>
          <cell r="R41">
            <v>38</v>
          </cell>
          <cell r="S41">
            <v>38</v>
          </cell>
          <cell r="T41">
            <v>38</v>
          </cell>
          <cell r="W41" t="str">
            <v>Intern</v>
          </cell>
          <cell r="AH41" t="str">
            <v>Intern</v>
          </cell>
          <cell r="AS41" t="str">
            <v>Intern</v>
          </cell>
          <cell r="BD41" t="str">
            <v>Intern</v>
          </cell>
        </row>
        <row r="42">
          <cell r="A42" t="str">
            <v>Administration</v>
          </cell>
          <cell r="B42">
            <v>155</v>
          </cell>
          <cell r="C42">
            <v>115</v>
          </cell>
          <cell r="D42">
            <v>115</v>
          </cell>
          <cell r="E42">
            <v>125</v>
          </cell>
          <cell r="F42">
            <v>145</v>
          </cell>
          <cell r="G42">
            <v>140</v>
          </cell>
          <cell r="H42">
            <v>145</v>
          </cell>
          <cell r="I42">
            <v>80</v>
          </cell>
          <cell r="J42">
            <v>155</v>
          </cell>
          <cell r="L42" t="str">
            <v>Administration</v>
          </cell>
          <cell r="M42">
            <v>46</v>
          </cell>
          <cell r="N42">
            <v>46</v>
          </cell>
          <cell r="O42">
            <v>46</v>
          </cell>
          <cell r="P42">
            <v>46</v>
          </cell>
          <cell r="Q42">
            <v>46</v>
          </cell>
          <cell r="R42">
            <v>46</v>
          </cell>
          <cell r="S42">
            <v>46</v>
          </cell>
          <cell r="T42">
            <v>46</v>
          </cell>
          <cell r="W42" t="str">
            <v>Administration</v>
          </cell>
          <cell r="AH42" t="str">
            <v>Administration</v>
          </cell>
          <cell r="AI42">
            <v>6</v>
          </cell>
          <cell r="AJ42">
            <v>6</v>
          </cell>
          <cell r="AK42">
            <v>6</v>
          </cell>
          <cell r="AL42">
            <v>6</v>
          </cell>
          <cell r="AM42">
            <v>6</v>
          </cell>
          <cell r="AN42">
            <v>6</v>
          </cell>
          <cell r="AO42">
            <v>6</v>
          </cell>
          <cell r="AP42">
            <v>6</v>
          </cell>
          <cell r="AS42" t="str">
            <v>Administration</v>
          </cell>
          <cell r="AT42">
            <v>155</v>
          </cell>
          <cell r="AU42">
            <v>155</v>
          </cell>
          <cell r="AV42">
            <v>155</v>
          </cell>
          <cell r="AW42">
            <v>155</v>
          </cell>
          <cell r="AX42">
            <v>155</v>
          </cell>
          <cell r="AY42">
            <v>155</v>
          </cell>
          <cell r="AZ42">
            <v>155</v>
          </cell>
          <cell r="BA42">
            <v>155</v>
          </cell>
          <cell r="BB42">
            <v>155</v>
          </cell>
          <cell r="BD42" t="str">
            <v>Administration</v>
          </cell>
          <cell r="BE42">
            <v>6</v>
          </cell>
          <cell r="BF42">
            <v>6</v>
          </cell>
          <cell r="BG42">
            <v>6</v>
          </cell>
          <cell r="BH42">
            <v>6</v>
          </cell>
          <cell r="BI42">
            <v>6</v>
          </cell>
          <cell r="BJ42">
            <v>6</v>
          </cell>
          <cell r="BK42">
            <v>6</v>
          </cell>
          <cell r="BL42">
            <v>6</v>
          </cell>
        </row>
        <row r="43">
          <cell r="A43" t="str">
            <v>CEC</v>
          </cell>
          <cell r="L43" t="str">
            <v>CEC</v>
          </cell>
          <cell r="W43" t="str">
            <v>CEC</v>
          </cell>
          <cell r="AH43" t="str">
            <v>CEC</v>
          </cell>
          <cell r="AS43" t="str">
            <v>CEC</v>
          </cell>
          <cell r="BD43" t="str">
            <v>CEC</v>
          </cell>
        </row>
        <row r="44">
          <cell r="A44" t="str">
            <v/>
          </cell>
          <cell r="L44" t="str">
            <v/>
          </cell>
          <cell r="W44" t="str">
            <v/>
          </cell>
          <cell r="AH44" t="str">
            <v/>
          </cell>
          <cell r="AS44" t="str">
            <v/>
          </cell>
          <cell r="BD44" t="str">
            <v/>
          </cell>
        </row>
      </sheetData>
      <sheetData sheetId="6" refreshError="1"/>
      <sheetData sheetId="7">
        <row r="1">
          <cell r="A1" t="str">
            <v>Territory</v>
          </cell>
          <cell r="B1" t="str">
            <v>Job Category</v>
          </cell>
        </row>
        <row r="2">
          <cell r="A2" t="str">
            <v>US</v>
          </cell>
          <cell r="B2" t="str">
            <v>Director</v>
          </cell>
        </row>
        <row r="3">
          <cell r="A3" t="str">
            <v>US</v>
          </cell>
          <cell r="B3" t="str">
            <v>Director</v>
          </cell>
        </row>
        <row r="4">
          <cell r="A4" t="str">
            <v>US</v>
          </cell>
          <cell r="B4" t="e">
            <v>#N/A</v>
          </cell>
        </row>
        <row r="5">
          <cell r="A5" t="str">
            <v>US</v>
          </cell>
          <cell r="B5" t="e">
            <v>#N/A</v>
          </cell>
        </row>
        <row r="6">
          <cell r="A6" t="str">
            <v>US</v>
          </cell>
          <cell r="B6" t="e">
            <v>#N/A</v>
          </cell>
        </row>
        <row r="7">
          <cell r="A7" t="str">
            <v>US</v>
          </cell>
          <cell r="B7" t="e">
            <v>#N/A</v>
          </cell>
        </row>
        <row r="8">
          <cell r="A8" t="str">
            <v>US</v>
          </cell>
          <cell r="B8" t="e">
            <v>#N/A</v>
          </cell>
        </row>
        <row r="9">
          <cell r="A9" t="str">
            <v>US</v>
          </cell>
          <cell r="B9" t="e">
            <v>#N/A</v>
          </cell>
        </row>
        <row r="10">
          <cell r="A10" t="str">
            <v>US</v>
          </cell>
          <cell r="B10" t="e">
            <v>#N/A</v>
          </cell>
        </row>
        <row r="11">
          <cell r="A11" t="str">
            <v>US</v>
          </cell>
          <cell r="B11" t="e">
            <v>#N/A</v>
          </cell>
        </row>
        <row r="12">
          <cell r="A12" t="str">
            <v>US</v>
          </cell>
          <cell r="B12" t="e">
            <v>#N/A</v>
          </cell>
        </row>
        <row r="13">
          <cell r="A13" t="str">
            <v>US</v>
          </cell>
          <cell r="B13" t="e">
            <v>#N/A</v>
          </cell>
        </row>
        <row r="14">
          <cell r="A14" t="str">
            <v>US</v>
          </cell>
          <cell r="B14" t="e">
            <v>#N/A</v>
          </cell>
        </row>
        <row r="15">
          <cell r="A15" t="str">
            <v>US</v>
          </cell>
          <cell r="B15" t="e">
            <v>#N/A</v>
          </cell>
        </row>
        <row r="16">
          <cell r="A16" t="str">
            <v>US</v>
          </cell>
          <cell r="B16" t="e">
            <v>#N/A</v>
          </cell>
        </row>
        <row r="17">
          <cell r="A17" t="str">
            <v>US</v>
          </cell>
          <cell r="B17" t="e">
            <v>#N/A</v>
          </cell>
        </row>
        <row r="18">
          <cell r="A18" t="str">
            <v>US</v>
          </cell>
          <cell r="B18" t="e">
            <v>#N/A</v>
          </cell>
        </row>
        <row r="19">
          <cell r="A19" t="str">
            <v>US</v>
          </cell>
          <cell r="B19" t="e">
            <v>#N/A</v>
          </cell>
        </row>
        <row r="20">
          <cell r="A20" t="str">
            <v>US</v>
          </cell>
          <cell r="B20" t="e">
            <v>#N/A</v>
          </cell>
        </row>
        <row r="21">
          <cell r="A21" t="str">
            <v>US</v>
          </cell>
          <cell r="B21" t="e">
            <v>#N/A</v>
          </cell>
        </row>
        <row r="22">
          <cell r="A22" t="str">
            <v>US</v>
          </cell>
          <cell r="B22" t="e">
            <v>#N/A</v>
          </cell>
        </row>
        <row r="23">
          <cell r="A23" t="str">
            <v>US</v>
          </cell>
          <cell r="B23" t="e">
            <v>#N/A</v>
          </cell>
        </row>
        <row r="24">
          <cell r="A24" t="str">
            <v>US</v>
          </cell>
          <cell r="B24" t="e">
            <v>#N/A</v>
          </cell>
        </row>
        <row r="25">
          <cell r="A25" t="str">
            <v>US</v>
          </cell>
          <cell r="B25" t="e">
            <v>#N/A</v>
          </cell>
        </row>
        <row r="26">
          <cell r="A26" t="str">
            <v>US</v>
          </cell>
          <cell r="B26" t="e">
            <v>#N/A</v>
          </cell>
        </row>
        <row r="27">
          <cell r="A27" t="str">
            <v>US</v>
          </cell>
          <cell r="B27" t="e">
            <v>#N/A</v>
          </cell>
        </row>
        <row r="28">
          <cell r="A28" t="str">
            <v>US</v>
          </cell>
          <cell r="B28" t="e">
            <v>#N/A</v>
          </cell>
        </row>
        <row r="29">
          <cell r="A29" t="str">
            <v>US</v>
          </cell>
          <cell r="B29" t="e">
            <v>#N/A</v>
          </cell>
        </row>
        <row r="30">
          <cell r="A30" t="str">
            <v>US</v>
          </cell>
          <cell r="B30" t="e">
            <v>#N/A</v>
          </cell>
        </row>
        <row r="31">
          <cell r="A31" t="str">
            <v>US</v>
          </cell>
          <cell r="B31" t="e">
            <v>#N/A</v>
          </cell>
        </row>
        <row r="32">
          <cell r="A32" t="str">
            <v>US</v>
          </cell>
          <cell r="B32" t="e">
            <v>#N/A</v>
          </cell>
        </row>
        <row r="33">
          <cell r="A33" t="str">
            <v>US</v>
          </cell>
          <cell r="B33" t="e">
            <v>#N/A</v>
          </cell>
        </row>
        <row r="34">
          <cell r="A34" t="str">
            <v>US</v>
          </cell>
          <cell r="B34" t="e">
            <v>#N/A</v>
          </cell>
        </row>
        <row r="35">
          <cell r="A35" t="str">
            <v>US</v>
          </cell>
          <cell r="B35" t="e">
            <v>#N/A</v>
          </cell>
        </row>
        <row r="36">
          <cell r="A36" t="str">
            <v>US</v>
          </cell>
          <cell r="B36" t="e">
            <v>#N/A</v>
          </cell>
        </row>
        <row r="37">
          <cell r="A37" t="str">
            <v>US</v>
          </cell>
          <cell r="B37" t="e">
            <v>#N/A</v>
          </cell>
        </row>
        <row r="38">
          <cell r="A38" t="str">
            <v>US</v>
          </cell>
          <cell r="B38" t="e">
            <v>#N/A</v>
          </cell>
        </row>
        <row r="39">
          <cell r="A39" t="str">
            <v>US</v>
          </cell>
          <cell r="B39" t="e">
            <v>#N/A</v>
          </cell>
        </row>
        <row r="40">
          <cell r="A40" t="str">
            <v>US</v>
          </cell>
          <cell r="B40" t="e">
            <v>#N/A</v>
          </cell>
        </row>
        <row r="41">
          <cell r="A41" t="str">
            <v>US</v>
          </cell>
          <cell r="B41" t="e">
            <v>#N/A</v>
          </cell>
        </row>
        <row r="42">
          <cell r="A42" t="str">
            <v>US</v>
          </cell>
          <cell r="B42" t="e">
            <v>#N/A</v>
          </cell>
        </row>
        <row r="43">
          <cell r="A43" t="str">
            <v>US</v>
          </cell>
          <cell r="B43" t="e">
            <v>#N/A</v>
          </cell>
        </row>
        <row r="44">
          <cell r="A44" t="str">
            <v>US</v>
          </cell>
          <cell r="B44" t="e">
            <v>#N/A</v>
          </cell>
        </row>
        <row r="45">
          <cell r="A45" t="str">
            <v>US</v>
          </cell>
          <cell r="B45" t="e">
            <v>#N/A</v>
          </cell>
        </row>
        <row r="46">
          <cell r="A46" t="str">
            <v>US</v>
          </cell>
          <cell r="B46" t="e">
            <v>#N/A</v>
          </cell>
        </row>
        <row r="47">
          <cell r="A47" t="str">
            <v>US</v>
          </cell>
          <cell r="B47" t="e">
            <v>#N/A</v>
          </cell>
        </row>
        <row r="48">
          <cell r="A48" t="str">
            <v>US</v>
          </cell>
          <cell r="B48" t="e">
            <v>#N/A</v>
          </cell>
        </row>
        <row r="49">
          <cell r="A49" t="str">
            <v>US</v>
          </cell>
          <cell r="B49" t="e">
            <v>#N/A</v>
          </cell>
        </row>
        <row r="50">
          <cell r="A50" t="str">
            <v>US</v>
          </cell>
          <cell r="B50" t="e">
            <v>#N/A</v>
          </cell>
        </row>
        <row r="51">
          <cell r="A51" t="str">
            <v>US</v>
          </cell>
          <cell r="B51" t="e">
            <v>#N/A</v>
          </cell>
        </row>
        <row r="52">
          <cell r="A52" t="str">
            <v>US</v>
          </cell>
          <cell r="B52" t="e">
            <v>#N/A</v>
          </cell>
        </row>
        <row r="53">
          <cell r="A53" t="str">
            <v>US</v>
          </cell>
          <cell r="B53" t="e">
            <v>#N/A</v>
          </cell>
        </row>
        <row r="54">
          <cell r="A54" t="str">
            <v>US</v>
          </cell>
          <cell r="B54" t="e">
            <v>#N/A</v>
          </cell>
        </row>
        <row r="55">
          <cell r="A55" t="str">
            <v>US</v>
          </cell>
          <cell r="B55" t="e">
            <v>#N/A</v>
          </cell>
        </row>
        <row r="56">
          <cell r="A56" t="str">
            <v>US</v>
          </cell>
          <cell r="B56" t="e">
            <v>#N/A</v>
          </cell>
        </row>
        <row r="57">
          <cell r="A57" t="str">
            <v>US</v>
          </cell>
          <cell r="B57" t="e">
            <v>#N/A</v>
          </cell>
        </row>
        <row r="58">
          <cell r="A58" t="str">
            <v>US</v>
          </cell>
          <cell r="B58" t="e">
            <v>#N/A</v>
          </cell>
        </row>
        <row r="59">
          <cell r="A59" t="str">
            <v>US</v>
          </cell>
          <cell r="B59" t="e">
            <v>#N/A</v>
          </cell>
        </row>
        <row r="60">
          <cell r="A60" t="str">
            <v>US</v>
          </cell>
          <cell r="B60" t="e">
            <v>#N/A</v>
          </cell>
        </row>
        <row r="61">
          <cell r="A61" t="str">
            <v>US</v>
          </cell>
          <cell r="B61" t="e">
            <v>#N/A</v>
          </cell>
        </row>
        <row r="62">
          <cell r="A62" t="str">
            <v>US</v>
          </cell>
          <cell r="B62" t="e">
            <v>#N/A</v>
          </cell>
        </row>
        <row r="63">
          <cell r="A63" t="str">
            <v>US</v>
          </cell>
          <cell r="B63" t="e">
            <v>#N/A</v>
          </cell>
        </row>
        <row r="64">
          <cell r="A64" t="str">
            <v>US</v>
          </cell>
          <cell r="B64" t="e">
            <v>#N/A</v>
          </cell>
        </row>
        <row r="65">
          <cell r="A65" t="str">
            <v>US</v>
          </cell>
          <cell r="B65" t="e">
            <v>#N/A</v>
          </cell>
        </row>
        <row r="66">
          <cell r="A66" t="str">
            <v>US</v>
          </cell>
          <cell r="B66" t="e">
            <v>#N/A</v>
          </cell>
        </row>
        <row r="67">
          <cell r="A67" t="str">
            <v>US</v>
          </cell>
          <cell r="B67" t="e">
            <v>#N/A</v>
          </cell>
        </row>
        <row r="68">
          <cell r="A68" t="str">
            <v>US</v>
          </cell>
          <cell r="B68" t="e">
            <v>#N/A</v>
          </cell>
        </row>
        <row r="69">
          <cell r="A69" t="str">
            <v>US</v>
          </cell>
          <cell r="B69" t="e">
            <v>#N/A</v>
          </cell>
        </row>
        <row r="70">
          <cell r="A70" t="str">
            <v>US</v>
          </cell>
          <cell r="B70" t="e">
            <v>#N/A</v>
          </cell>
        </row>
        <row r="71">
          <cell r="A71" t="str">
            <v>US</v>
          </cell>
          <cell r="B71" t="e">
            <v>#N/A</v>
          </cell>
        </row>
        <row r="72">
          <cell r="A72" t="str">
            <v>US</v>
          </cell>
          <cell r="B72" t="e">
            <v>#N/A</v>
          </cell>
        </row>
        <row r="73">
          <cell r="A73" t="str">
            <v>US</v>
          </cell>
          <cell r="B73" t="e">
            <v>#N/A</v>
          </cell>
        </row>
        <row r="74">
          <cell r="A74" t="str">
            <v>US</v>
          </cell>
          <cell r="B74" t="e">
            <v>#N/A</v>
          </cell>
        </row>
        <row r="75">
          <cell r="A75" t="str">
            <v>US</v>
          </cell>
          <cell r="B75" t="e">
            <v>#N/A</v>
          </cell>
        </row>
        <row r="76">
          <cell r="A76" t="str">
            <v>US</v>
          </cell>
          <cell r="B76" t="e">
            <v>#N/A</v>
          </cell>
        </row>
        <row r="77">
          <cell r="A77" t="str">
            <v>US</v>
          </cell>
          <cell r="B77" t="e">
            <v>#N/A</v>
          </cell>
        </row>
        <row r="78">
          <cell r="A78" t="str">
            <v>US</v>
          </cell>
          <cell r="B78" t="e">
            <v>#N/A</v>
          </cell>
        </row>
        <row r="79">
          <cell r="A79" t="str">
            <v>US</v>
          </cell>
          <cell r="B79" t="e">
            <v>#N/A</v>
          </cell>
        </row>
        <row r="80">
          <cell r="A80" t="str">
            <v>US</v>
          </cell>
          <cell r="B80" t="e">
            <v>#N/A</v>
          </cell>
        </row>
        <row r="81">
          <cell r="A81" t="str">
            <v>US</v>
          </cell>
          <cell r="B81" t="e">
            <v>#N/A</v>
          </cell>
        </row>
        <row r="82">
          <cell r="A82" t="str">
            <v>US</v>
          </cell>
          <cell r="B82" t="e">
            <v>#N/A</v>
          </cell>
        </row>
        <row r="83">
          <cell r="A83" t="str">
            <v>US</v>
          </cell>
          <cell r="B83" t="e">
            <v>#N/A</v>
          </cell>
        </row>
        <row r="84">
          <cell r="A84" t="str">
            <v>US</v>
          </cell>
          <cell r="B84" t="e">
            <v>#N/A</v>
          </cell>
        </row>
        <row r="85">
          <cell r="A85" t="str">
            <v>US</v>
          </cell>
          <cell r="B85" t="e">
            <v>#N/A</v>
          </cell>
        </row>
        <row r="86">
          <cell r="A86" t="str">
            <v>US</v>
          </cell>
          <cell r="B86" t="e">
            <v>#N/A</v>
          </cell>
        </row>
        <row r="87">
          <cell r="A87" t="str">
            <v>US</v>
          </cell>
          <cell r="B87" t="e">
            <v>#N/A</v>
          </cell>
        </row>
        <row r="88">
          <cell r="A88" t="str">
            <v>US</v>
          </cell>
          <cell r="B88" t="e">
            <v>#N/A</v>
          </cell>
        </row>
        <row r="89">
          <cell r="A89" t="str">
            <v>US</v>
          </cell>
          <cell r="B89" t="e">
            <v>#N/A</v>
          </cell>
        </row>
        <row r="90">
          <cell r="A90" t="str">
            <v>US</v>
          </cell>
          <cell r="B90" t="e">
            <v>#N/A</v>
          </cell>
        </row>
        <row r="91">
          <cell r="A91" t="str">
            <v>US</v>
          </cell>
          <cell r="B91" t="e">
            <v>#N/A</v>
          </cell>
        </row>
        <row r="92">
          <cell r="A92" t="str">
            <v>US</v>
          </cell>
          <cell r="B92" t="e">
            <v>#N/A</v>
          </cell>
        </row>
        <row r="93">
          <cell r="A93" t="str">
            <v>US</v>
          </cell>
          <cell r="B93" t="e">
            <v>#N/A</v>
          </cell>
        </row>
        <row r="94">
          <cell r="A94" t="str">
            <v>US</v>
          </cell>
          <cell r="B94" t="e">
            <v>#N/A</v>
          </cell>
        </row>
        <row r="95">
          <cell r="A95" t="str">
            <v>US</v>
          </cell>
          <cell r="B95" t="e">
            <v>#N/A</v>
          </cell>
        </row>
        <row r="96">
          <cell r="A96" t="str">
            <v>US</v>
          </cell>
          <cell r="B96" t="e">
            <v>#N/A</v>
          </cell>
        </row>
        <row r="97">
          <cell r="A97" t="str">
            <v>US</v>
          </cell>
          <cell r="B97" t="e">
            <v>#N/A</v>
          </cell>
        </row>
        <row r="98">
          <cell r="A98" t="str">
            <v>US</v>
          </cell>
          <cell r="B98" t="e">
            <v>#N/A</v>
          </cell>
        </row>
        <row r="99">
          <cell r="A99" t="str">
            <v>US</v>
          </cell>
          <cell r="B99" t="e">
            <v>#N/A</v>
          </cell>
        </row>
        <row r="100">
          <cell r="A100" t="str">
            <v>US</v>
          </cell>
          <cell r="B100" t="e">
            <v>#N/A</v>
          </cell>
        </row>
        <row r="101">
          <cell r="A101" t="str">
            <v>US</v>
          </cell>
          <cell r="B101" t="e">
            <v>#N/A</v>
          </cell>
        </row>
        <row r="102">
          <cell r="A102" t="str">
            <v>US</v>
          </cell>
          <cell r="B102" t="e">
            <v>#N/A</v>
          </cell>
        </row>
        <row r="103">
          <cell r="A103" t="str">
            <v>US</v>
          </cell>
          <cell r="B103" t="e">
            <v>#N/A</v>
          </cell>
        </row>
        <row r="104">
          <cell r="A104" t="str">
            <v>US</v>
          </cell>
          <cell r="B104" t="e">
            <v>#N/A</v>
          </cell>
        </row>
        <row r="105">
          <cell r="A105" t="str">
            <v>US</v>
          </cell>
          <cell r="B105" t="e">
            <v>#N/A</v>
          </cell>
        </row>
        <row r="106">
          <cell r="A106" t="str">
            <v>US</v>
          </cell>
          <cell r="B106" t="e">
            <v>#N/A</v>
          </cell>
        </row>
        <row r="107">
          <cell r="A107" t="str">
            <v>US</v>
          </cell>
          <cell r="B107" t="e">
            <v>#N/A</v>
          </cell>
        </row>
        <row r="108">
          <cell r="A108" t="str">
            <v>US</v>
          </cell>
          <cell r="B108" t="e">
            <v>#N/A</v>
          </cell>
        </row>
        <row r="109">
          <cell r="A109" t="str">
            <v>US</v>
          </cell>
          <cell r="B109" t="e">
            <v>#N/A</v>
          </cell>
        </row>
        <row r="110">
          <cell r="A110" t="str">
            <v>US</v>
          </cell>
          <cell r="B110" t="e">
            <v>#N/A</v>
          </cell>
        </row>
        <row r="111">
          <cell r="A111" t="str">
            <v>US</v>
          </cell>
          <cell r="B111" t="e">
            <v>#N/A</v>
          </cell>
        </row>
        <row r="112">
          <cell r="A112" t="str">
            <v>US</v>
          </cell>
          <cell r="B112" t="e">
            <v>#N/A</v>
          </cell>
        </row>
        <row r="113">
          <cell r="A113" t="str">
            <v>US</v>
          </cell>
          <cell r="B113" t="e">
            <v>#N/A</v>
          </cell>
        </row>
        <row r="114">
          <cell r="A114" t="str">
            <v>US</v>
          </cell>
          <cell r="B114" t="e">
            <v>#N/A</v>
          </cell>
        </row>
        <row r="115">
          <cell r="A115" t="str">
            <v>US</v>
          </cell>
          <cell r="B115" t="e">
            <v>#N/A</v>
          </cell>
        </row>
        <row r="116">
          <cell r="A116" t="str">
            <v>US</v>
          </cell>
          <cell r="B116" t="e">
            <v>#N/A</v>
          </cell>
        </row>
        <row r="117">
          <cell r="A117" t="str">
            <v>US</v>
          </cell>
          <cell r="B117" t="e">
            <v>#N/A</v>
          </cell>
        </row>
        <row r="118">
          <cell r="A118" t="str">
            <v>US</v>
          </cell>
          <cell r="B118" t="e">
            <v>#N/A</v>
          </cell>
        </row>
        <row r="119">
          <cell r="A119" t="str">
            <v>US</v>
          </cell>
          <cell r="B119" t="e">
            <v>#N/A</v>
          </cell>
        </row>
        <row r="120">
          <cell r="A120" t="str">
            <v>US</v>
          </cell>
          <cell r="B120" t="e">
            <v>#N/A</v>
          </cell>
        </row>
        <row r="121">
          <cell r="A121" t="str">
            <v>US</v>
          </cell>
          <cell r="B121" t="e">
            <v>#N/A</v>
          </cell>
        </row>
        <row r="122">
          <cell r="A122" t="str">
            <v>US</v>
          </cell>
          <cell r="B122" t="e">
            <v>#N/A</v>
          </cell>
        </row>
        <row r="123">
          <cell r="A123" t="str">
            <v>US</v>
          </cell>
          <cell r="B123" t="e">
            <v>#N/A</v>
          </cell>
        </row>
        <row r="124">
          <cell r="A124" t="str">
            <v>US</v>
          </cell>
          <cell r="B124" t="e">
            <v>#N/A</v>
          </cell>
        </row>
        <row r="125">
          <cell r="A125" t="str">
            <v>US</v>
          </cell>
          <cell r="B125" t="e">
            <v>#N/A</v>
          </cell>
        </row>
        <row r="126">
          <cell r="A126" t="str">
            <v>US</v>
          </cell>
          <cell r="B126" t="e">
            <v>#N/A</v>
          </cell>
        </row>
        <row r="127">
          <cell r="A127" t="str">
            <v>US</v>
          </cell>
          <cell r="B127" t="e">
            <v>#N/A</v>
          </cell>
        </row>
        <row r="128">
          <cell r="A128" t="str">
            <v>US</v>
          </cell>
          <cell r="B128" t="e">
            <v>#N/A</v>
          </cell>
        </row>
        <row r="129">
          <cell r="A129" t="str">
            <v>US</v>
          </cell>
          <cell r="B129" t="e">
            <v>#N/A</v>
          </cell>
        </row>
        <row r="130">
          <cell r="A130" t="str">
            <v>US</v>
          </cell>
          <cell r="B130" t="e">
            <v>#N/A</v>
          </cell>
        </row>
        <row r="131">
          <cell r="A131" t="str">
            <v>US</v>
          </cell>
          <cell r="B131" t="e">
            <v>#N/A</v>
          </cell>
        </row>
        <row r="132">
          <cell r="A132" t="str">
            <v>US</v>
          </cell>
          <cell r="B132" t="e">
            <v>#N/A</v>
          </cell>
        </row>
        <row r="133">
          <cell r="A133" t="str">
            <v>US</v>
          </cell>
          <cell r="B133" t="e">
            <v>#N/A</v>
          </cell>
        </row>
        <row r="134">
          <cell r="A134" t="str">
            <v>US</v>
          </cell>
          <cell r="B134" t="e">
            <v>#N/A</v>
          </cell>
        </row>
        <row r="135">
          <cell r="A135" t="str">
            <v>US</v>
          </cell>
          <cell r="B135" t="e">
            <v>#N/A</v>
          </cell>
        </row>
        <row r="136">
          <cell r="A136" t="str">
            <v>US</v>
          </cell>
          <cell r="B136" t="e">
            <v>#N/A</v>
          </cell>
        </row>
        <row r="137">
          <cell r="A137" t="str">
            <v>US</v>
          </cell>
          <cell r="B137" t="e">
            <v>#N/A</v>
          </cell>
        </row>
        <row r="138">
          <cell r="A138" t="str">
            <v>US</v>
          </cell>
          <cell r="B138" t="e">
            <v>#N/A</v>
          </cell>
        </row>
        <row r="139">
          <cell r="A139" t="str">
            <v>US</v>
          </cell>
          <cell r="B139" t="e">
            <v>#N/A</v>
          </cell>
        </row>
        <row r="140">
          <cell r="A140" t="str">
            <v>US</v>
          </cell>
          <cell r="B140" t="e">
            <v>#N/A</v>
          </cell>
        </row>
        <row r="141">
          <cell r="A141" t="str">
            <v>US</v>
          </cell>
          <cell r="B141" t="e">
            <v>#N/A</v>
          </cell>
        </row>
        <row r="142">
          <cell r="A142" t="str">
            <v>US</v>
          </cell>
          <cell r="B142" t="e">
            <v>#N/A</v>
          </cell>
        </row>
        <row r="143">
          <cell r="A143" t="str">
            <v>US</v>
          </cell>
          <cell r="B143" t="e">
            <v>#N/A</v>
          </cell>
        </row>
        <row r="144">
          <cell r="A144" t="str">
            <v>US</v>
          </cell>
          <cell r="B144" t="e">
            <v>#N/A</v>
          </cell>
        </row>
        <row r="145">
          <cell r="A145" t="str">
            <v>US</v>
          </cell>
          <cell r="B145" t="e">
            <v>#N/A</v>
          </cell>
        </row>
        <row r="146">
          <cell r="A146" t="str">
            <v>US</v>
          </cell>
          <cell r="B146" t="e">
            <v>#N/A</v>
          </cell>
        </row>
        <row r="147">
          <cell r="A147" t="str">
            <v>US</v>
          </cell>
          <cell r="B147" t="e">
            <v>#N/A</v>
          </cell>
        </row>
        <row r="148">
          <cell r="A148" t="str">
            <v>US</v>
          </cell>
          <cell r="B148" t="e">
            <v>#N/A</v>
          </cell>
        </row>
        <row r="149">
          <cell r="A149" t="str">
            <v>US</v>
          </cell>
          <cell r="B149" t="e">
            <v>#N/A</v>
          </cell>
        </row>
        <row r="150">
          <cell r="A150" t="str">
            <v>US</v>
          </cell>
          <cell r="B150" t="e">
            <v>#N/A</v>
          </cell>
        </row>
        <row r="151">
          <cell r="A151" t="str">
            <v>US</v>
          </cell>
          <cell r="B151" t="e">
            <v>#N/A</v>
          </cell>
        </row>
        <row r="152">
          <cell r="A152" t="str">
            <v>US</v>
          </cell>
          <cell r="B152" t="e">
            <v>#N/A</v>
          </cell>
        </row>
        <row r="153">
          <cell r="A153" t="str">
            <v>US</v>
          </cell>
          <cell r="B153" t="e">
            <v>#N/A</v>
          </cell>
        </row>
        <row r="154">
          <cell r="A154" t="str">
            <v>US</v>
          </cell>
          <cell r="B154" t="e">
            <v>#N/A</v>
          </cell>
        </row>
        <row r="155">
          <cell r="A155" t="str">
            <v>US</v>
          </cell>
          <cell r="B155" t="e">
            <v>#N/A</v>
          </cell>
        </row>
        <row r="156">
          <cell r="A156" t="str">
            <v>US</v>
          </cell>
          <cell r="B156" t="e">
            <v>#N/A</v>
          </cell>
        </row>
        <row r="157">
          <cell r="A157" t="str">
            <v>US</v>
          </cell>
          <cell r="B157" t="e">
            <v>#N/A</v>
          </cell>
        </row>
        <row r="158">
          <cell r="A158" t="str">
            <v>US</v>
          </cell>
          <cell r="B158" t="e">
            <v>#N/A</v>
          </cell>
        </row>
        <row r="159">
          <cell r="A159" t="str">
            <v>US</v>
          </cell>
          <cell r="B159" t="e">
            <v>#N/A</v>
          </cell>
        </row>
        <row r="160">
          <cell r="A160" t="str">
            <v>US</v>
          </cell>
          <cell r="B160" t="e">
            <v>#N/A</v>
          </cell>
        </row>
        <row r="161">
          <cell r="A161" t="str">
            <v>US</v>
          </cell>
          <cell r="B161" t="e">
            <v>#N/A</v>
          </cell>
        </row>
        <row r="162">
          <cell r="A162" t="str">
            <v>US</v>
          </cell>
          <cell r="B162" t="e">
            <v>#N/A</v>
          </cell>
        </row>
        <row r="163">
          <cell r="A163" t="str">
            <v>US</v>
          </cell>
          <cell r="B163" t="e">
            <v>#N/A</v>
          </cell>
        </row>
        <row r="164">
          <cell r="A164" t="str">
            <v>US</v>
          </cell>
          <cell r="B164" t="e">
            <v>#N/A</v>
          </cell>
        </row>
        <row r="165">
          <cell r="A165" t="str">
            <v>US</v>
          </cell>
          <cell r="B165" t="e">
            <v>#N/A</v>
          </cell>
        </row>
        <row r="166">
          <cell r="A166" t="str">
            <v>US</v>
          </cell>
          <cell r="B166" t="e">
            <v>#N/A</v>
          </cell>
        </row>
        <row r="167">
          <cell r="A167" t="str">
            <v>US</v>
          </cell>
          <cell r="B167" t="e">
            <v>#N/A</v>
          </cell>
        </row>
        <row r="168">
          <cell r="A168" t="str">
            <v>US</v>
          </cell>
          <cell r="B168" t="e">
            <v>#N/A</v>
          </cell>
        </row>
        <row r="169">
          <cell r="A169" t="str">
            <v>US</v>
          </cell>
          <cell r="B169" t="e">
            <v>#N/A</v>
          </cell>
        </row>
        <row r="170">
          <cell r="A170" t="str">
            <v>US</v>
          </cell>
          <cell r="B170" t="e">
            <v>#N/A</v>
          </cell>
        </row>
        <row r="171">
          <cell r="A171" t="str">
            <v>US</v>
          </cell>
          <cell r="B171" t="e">
            <v>#N/A</v>
          </cell>
        </row>
        <row r="172">
          <cell r="A172" t="str">
            <v>US</v>
          </cell>
          <cell r="B172" t="e">
            <v>#N/A</v>
          </cell>
        </row>
        <row r="173">
          <cell r="A173" t="str">
            <v>US</v>
          </cell>
          <cell r="B173" t="e">
            <v>#N/A</v>
          </cell>
        </row>
        <row r="174">
          <cell r="A174" t="str">
            <v>US</v>
          </cell>
          <cell r="B174" t="e">
            <v>#N/A</v>
          </cell>
        </row>
        <row r="175">
          <cell r="A175" t="str">
            <v>US</v>
          </cell>
          <cell r="B175" t="e">
            <v>#N/A</v>
          </cell>
        </row>
        <row r="176">
          <cell r="A176" t="str">
            <v>US</v>
          </cell>
          <cell r="B176" t="e">
            <v>#N/A</v>
          </cell>
        </row>
        <row r="177">
          <cell r="A177" t="str">
            <v>US</v>
          </cell>
          <cell r="B177" t="e">
            <v>#N/A</v>
          </cell>
        </row>
        <row r="178">
          <cell r="A178" t="str">
            <v>US</v>
          </cell>
          <cell r="B178" t="e">
            <v>#N/A</v>
          </cell>
        </row>
        <row r="179">
          <cell r="A179" t="str">
            <v>US</v>
          </cell>
          <cell r="B179" t="e">
            <v>#N/A</v>
          </cell>
        </row>
        <row r="180">
          <cell r="A180" t="str">
            <v>US</v>
          </cell>
          <cell r="B180" t="e">
            <v>#N/A</v>
          </cell>
        </row>
        <row r="181">
          <cell r="A181" t="str">
            <v>US</v>
          </cell>
          <cell r="B181" t="e">
            <v>#N/A</v>
          </cell>
        </row>
        <row r="182">
          <cell r="A182" t="str">
            <v>US</v>
          </cell>
          <cell r="B182" t="e">
            <v>#N/A</v>
          </cell>
        </row>
        <row r="183">
          <cell r="A183" t="str">
            <v>US</v>
          </cell>
          <cell r="B183" t="e">
            <v>#N/A</v>
          </cell>
        </row>
        <row r="184">
          <cell r="A184" t="str">
            <v>US</v>
          </cell>
          <cell r="B184" t="e">
            <v>#N/A</v>
          </cell>
        </row>
        <row r="185">
          <cell r="A185" t="str">
            <v>US</v>
          </cell>
          <cell r="B185" t="e">
            <v>#N/A</v>
          </cell>
        </row>
        <row r="186">
          <cell r="A186" t="str">
            <v>US</v>
          </cell>
          <cell r="B186" t="e">
            <v>#N/A</v>
          </cell>
        </row>
        <row r="187">
          <cell r="A187" t="str">
            <v>US</v>
          </cell>
          <cell r="B187" t="e">
            <v>#N/A</v>
          </cell>
        </row>
        <row r="188">
          <cell r="A188" t="str">
            <v>US</v>
          </cell>
          <cell r="B188" t="e">
            <v>#N/A</v>
          </cell>
        </row>
        <row r="189">
          <cell r="A189" t="str">
            <v>US</v>
          </cell>
          <cell r="B189" t="e">
            <v>#N/A</v>
          </cell>
        </row>
        <row r="190">
          <cell r="A190" t="str">
            <v>US</v>
          </cell>
          <cell r="B190" t="e">
            <v>#N/A</v>
          </cell>
        </row>
        <row r="191">
          <cell r="A191" t="str">
            <v>US</v>
          </cell>
          <cell r="B191" t="e">
            <v>#N/A</v>
          </cell>
        </row>
        <row r="192">
          <cell r="A192" t="str">
            <v>US</v>
          </cell>
          <cell r="B192" t="e">
            <v>#N/A</v>
          </cell>
        </row>
        <row r="193">
          <cell r="A193" t="str">
            <v>US</v>
          </cell>
          <cell r="B193" t="e">
            <v>#N/A</v>
          </cell>
        </row>
        <row r="194">
          <cell r="A194" t="str">
            <v>US</v>
          </cell>
          <cell r="B194" t="e">
            <v>#N/A</v>
          </cell>
        </row>
        <row r="195">
          <cell r="A195" t="str">
            <v>US</v>
          </cell>
          <cell r="B195" t="e">
            <v>#N/A</v>
          </cell>
        </row>
        <row r="196">
          <cell r="A196" t="str">
            <v>US</v>
          </cell>
          <cell r="B196" t="e">
            <v>#N/A</v>
          </cell>
        </row>
        <row r="197">
          <cell r="A197" t="str">
            <v>US</v>
          </cell>
          <cell r="B197" t="e">
            <v>#N/A</v>
          </cell>
        </row>
        <row r="198">
          <cell r="A198" t="str">
            <v>US</v>
          </cell>
          <cell r="B198" t="e">
            <v>#N/A</v>
          </cell>
        </row>
        <row r="199">
          <cell r="A199" t="str">
            <v>US</v>
          </cell>
          <cell r="B199" t="e">
            <v>#N/A</v>
          </cell>
        </row>
        <row r="200">
          <cell r="A200" t="str">
            <v>US</v>
          </cell>
          <cell r="B200" t="e">
            <v>#N/A</v>
          </cell>
        </row>
        <row r="201">
          <cell r="A201" t="str">
            <v>US</v>
          </cell>
          <cell r="B201" t="e">
            <v>#N/A</v>
          </cell>
        </row>
        <row r="202">
          <cell r="A202" t="str">
            <v>US</v>
          </cell>
          <cell r="B202" t="e">
            <v>#N/A</v>
          </cell>
        </row>
        <row r="203">
          <cell r="A203" t="str">
            <v>US</v>
          </cell>
          <cell r="B203" t="e">
            <v>#N/A</v>
          </cell>
        </row>
        <row r="204">
          <cell r="A204" t="str">
            <v>US</v>
          </cell>
          <cell r="B204" t="e">
            <v>#N/A</v>
          </cell>
        </row>
        <row r="205">
          <cell r="A205" t="str">
            <v>US</v>
          </cell>
          <cell r="B205" t="e">
            <v>#N/A</v>
          </cell>
        </row>
        <row r="206">
          <cell r="A206" t="str">
            <v>US</v>
          </cell>
          <cell r="B206" t="e">
            <v>#N/A</v>
          </cell>
        </row>
        <row r="207">
          <cell r="A207" t="str">
            <v>US</v>
          </cell>
          <cell r="B207" t="e">
            <v>#N/A</v>
          </cell>
        </row>
        <row r="208">
          <cell r="A208" t="str">
            <v>US</v>
          </cell>
          <cell r="B208" t="e">
            <v>#N/A</v>
          </cell>
        </row>
        <row r="209">
          <cell r="A209" t="str">
            <v>US</v>
          </cell>
          <cell r="B209" t="e">
            <v>#N/A</v>
          </cell>
        </row>
        <row r="210">
          <cell r="A210" t="str">
            <v>US</v>
          </cell>
          <cell r="B210" t="e">
            <v>#N/A</v>
          </cell>
        </row>
        <row r="211">
          <cell r="A211" t="str">
            <v>US</v>
          </cell>
          <cell r="B211" t="e">
            <v>#N/A</v>
          </cell>
        </row>
        <row r="212">
          <cell r="A212" t="str">
            <v>US</v>
          </cell>
          <cell r="B212" t="e">
            <v>#N/A</v>
          </cell>
        </row>
        <row r="213">
          <cell r="A213" t="str">
            <v>US</v>
          </cell>
          <cell r="B213" t="e">
            <v>#N/A</v>
          </cell>
        </row>
        <row r="214">
          <cell r="A214" t="str">
            <v>US</v>
          </cell>
          <cell r="B214" t="e">
            <v>#N/A</v>
          </cell>
        </row>
        <row r="215">
          <cell r="A215" t="str">
            <v>US</v>
          </cell>
          <cell r="B215" t="e">
            <v>#N/A</v>
          </cell>
        </row>
        <row r="216">
          <cell r="A216" t="str">
            <v>US</v>
          </cell>
          <cell r="B216" t="e">
            <v>#N/A</v>
          </cell>
        </row>
        <row r="217">
          <cell r="A217" t="str">
            <v>US</v>
          </cell>
          <cell r="B217" t="e">
            <v>#N/A</v>
          </cell>
        </row>
        <row r="218">
          <cell r="A218" t="str">
            <v>US</v>
          </cell>
          <cell r="B218" t="e">
            <v>#N/A</v>
          </cell>
        </row>
        <row r="219">
          <cell r="A219" t="str">
            <v>US</v>
          </cell>
          <cell r="B219" t="e">
            <v>#N/A</v>
          </cell>
        </row>
        <row r="220">
          <cell r="A220" t="str">
            <v>US</v>
          </cell>
          <cell r="B220" t="e">
            <v>#N/A</v>
          </cell>
        </row>
        <row r="221">
          <cell r="A221" t="str">
            <v>US</v>
          </cell>
          <cell r="B221" t="e">
            <v>#N/A</v>
          </cell>
        </row>
        <row r="222">
          <cell r="A222" t="str">
            <v>US</v>
          </cell>
          <cell r="B222" t="e">
            <v>#N/A</v>
          </cell>
        </row>
        <row r="223">
          <cell r="A223" t="str">
            <v>US</v>
          </cell>
          <cell r="B223" t="e">
            <v>#N/A</v>
          </cell>
        </row>
        <row r="224">
          <cell r="A224" t="str">
            <v>US</v>
          </cell>
          <cell r="B224" t="e">
            <v>#N/A</v>
          </cell>
        </row>
        <row r="225">
          <cell r="A225" t="str">
            <v>US</v>
          </cell>
          <cell r="B225" t="e">
            <v>#N/A</v>
          </cell>
        </row>
        <row r="226">
          <cell r="A226" t="str">
            <v>US</v>
          </cell>
          <cell r="B226" t="e">
            <v>#N/A</v>
          </cell>
        </row>
        <row r="227">
          <cell r="A227" t="str">
            <v>US</v>
          </cell>
          <cell r="B227" t="e">
            <v>#N/A</v>
          </cell>
        </row>
        <row r="228">
          <cell r="A228" t="str">
            <v>US</v>
          </cell>
          <cell r="B228" t="e">
            <v>#N/A</v>
          </cell>
        </row>
        <row r="229">
          <cell r="A229" t="str">
            <v>US</v>
          </cell>
          <cell r="B229" t="e">
            <v>#N/A</v>
          </cell>
        </row>
        <row r="230">
          <cell r="A230" t="str">
            <v>US</v>
          </cell>
          <cell r="B230" t="e">
            <v>#N/A</v>
          </cell>
        </row>
        <row r="231">
          <cell r="A231" t="str">
            <v>US</v>
          </cell>
          <cell r="B231" t="e">
            <v>#N/A</v>
          </cell>
        </row>
        <row r="232">
          <cell r="A232" t="str">
            <v>US</v>
          </cell>
          <cell r="B232" t="e">
            <v>#N/A</v>
          </cell>
        </row>
        <row r="233">
          <cell r="A233" t="str">
            <v>US</v>
          </cell>
          <cell r="B233" t="e">
            <v>#N/A</v>
          </cell>
        </row>
        <row r="234">
          <cell r="A234" t="str">
            <v>US</v>
          </cell>
          <cell r="B234" t="e">
            <v>#N/A</v>
          </cell>
        </row>
        <row r="235">
          <cell r="A235" t="str">
            <v>US</v>
          </cell>
          <cell r="B235" t="e">
            <v>#N/A</v>
          </cell>
        </row>
        <row r="236">
          <cell r="A236" t="str">
            <v>US</v>
          </cell>
          <cell r="B236" t="e">
            <v>#N/A</v>
          </cell>
        </row>
        <row r="237">
          <cell r="A237" t="str">
            <v>US</v>
          </cell>
          <cell r="B237" t="e">
            <v>#N/A</v>
          </cell>
        </row>
        <row r="238">
          <cell r="A238" t="str">
            <v>US</v>
          </cell>
          <cell r="B238" t="e">
            <v>#N/A</v>
          </cell>
        </row>
        <row r="239">
          <cell r="A239" t="str">
            <v>US</v>
          </cell>
          <cell r="B239" t="e">
            <v>#N/A</v>
          </cell>
        </row>
        <row r="240">
          <cell r="A240" t="str">
            <v>US</v>
          </cell>
          <cell r="B240" t="e">
            <v>#N/A</v>
          </cell>
        </row>
        <row r="241">
          <cell r="A241" t="str">
            <v>US</v>
          </cell>
          <cell r="B241" t="e">
            <v>#N/A</v>
          </cell>
        </row>
        <row r="242">
          <cell r="A242" t="str">
            <v>US</v>
          </cell>
          <cell r="B242" t="e">
            <v>#N/A</v>
          </cell>
        </row>
        <row r="243">
          <cell r="A243" t="str">
            <v>US</v>
          </cell>
          <cell r="B243" t="e">
            <v>#N/A</v>
          </cell>
        </row>
        <row r="244">
          <cell r="A244" t="str">
            <v>US</v>
          </cell>
          <cell r="B244" t="e">
            <v>#N/A</v>
          </cell>
        </row>
        <row r="245">
          <cell r="A245" t="str">
            <v>US</v>
          </cell>
          <cell r="B245" t="e">
            <v>#N/A</v>
          </cell>
        </row>
        <row r="246">
          <cell r="A246" t="str">
            <v>US</v>
          </cell>
          <cell r="B246" t="e">
            <v>#N/A</v>
          </cell>
        </row>
        <row r="247">
          <cell r="A247" t="str">
            <v>US</v>
          </cell>
          <cell r="B247" t="e">
            <v>#N/A</v>
          </cell>
        </row>
        <row r="248">
          <cell r="A248" t="str">
            <v>US</v>
          </cell>
          <cell r="B248" t="e">
            <v>#N/A</v>
          </cell>
        </row>
        <row r="249">
          <cell r="A249" t="str">
            <v>US</v>
          </cell>
          <cell r="B249" t="e">
            <v>#N/A</v>
          </cell>
        </row>
        <row r="250">
          <cell r="A250" t="str">
            <v>US</v>
          </cell>
          <cell r="B250" t="e">
            <v>#N/A</v>
          </cell>
        </row>
        <row r="251">
          <cell r="A251" t="str">
            <v>US</v>
          </cell>
          <cell r="B251" t="e">
            <v>#N/A</v>
          </cell>
        </row>
        <row r="252">
          <cell r="A252" t="str">
            <v>US</v>
          </cell>
          <cell r="B252" t="e">
            <v>#N/A</v>
          </cell>
        </row>
        <row r="253">
          <cell r="A253" t="str">
            <v>US</v>
          </cell>
          <cell r="B253" t="e">
            <v>#N/A</v>
          </cell>
        </row>
        <row r="254">
          <cell r="A254" t="str">
            <v>US</v>
          </cell>
          <cell r="B254" t="e">
            <v>#N/A</v>
          </cell>
        </row>
        <row r="255">
          <cell r="A255" t="str">
            <v>US</v>
          </cell>
          <cell r="B255" t="e">
            <v>#N/A</v>
          </cell>
        </row>
        <row r="256">
          <cell r="A256" t="str">
            <v>US</v>
          </cell>
          <cell r="B256" t="e">
            <v>#N/A</v>
          </cell>
        </row>
        <row r="257">
          <cell r="A257" t="str">
            <v>US</v>
          </cell>
          <cell r="B257" t="e">
            <v>#N/A</v>
          </cell>
        </row>
        <row r="258">
          <cell r="A258" t="str">
            <v>US</v>
          </cell>
          <cell r="B258" t="e">
            <v>#N/A</v>
          </cell>
        </row>
        <row r="259">
          <cell r="A259" t="str">
            <v>US</v>
          </cell>
          <cell r="B259" t="e">
            <v>#N/A</v>
          </cell>
        </row>
        <row r="260">
          <cell r="A260" t="str">
            <v>US</v>
          </cell>
          <cell r="B260" t="e">
            <v>#N/A</v>
          </cell>
        </row>
        <row r="261">
          <cell r="A261" t="str">
            <v>US</v>
          </cell>
          <cell r="B261" t="e">
            <v>#N/A</v>
          </cell>
        </row>
        <row r="262">
          <cell r="A262" t="str">
            <v>US</v>
          </cell>
          <cell r="B262" t="e">
            <v>#N/A</v>
          </cell>
        </row>
        <row r="263">
          <cell r="A263" t="str">
            <v>US</v>
          </cell>
          <cell r="B263" t="e">
            <v>#N/A</v>
          </cell>
        </row>
        <row r="264">
          <cell r="A264" t="str">
            <v>US</v>
          </cell>
          <cell r="B264" t="e">
            <v>#N/A</v>
          </cell>
        </row>
        <row r="265">
          <cell r="A265" t="str">
            <v>US</v>
          </cell>
          <cell r="B265" t="e">
            <v>#N/A</v>
          </cell>
        </row>
        <row r="266">
          <cell r="A266" t="str">
            <v>US</v>
          </cell>
          <cell r="B266" t="e">
            <v>#N/A</v>
          </cell>
        </row>
        <row r="267">
          <cell r="A267" t="str">
            <v>US</v>
          </cell>
          <cell r="B267" t="e">
            <v>#N/A</v>
          </cell>
        </row>
        <row r="268">
          <cell r="A268" t="str">
            <v>US</v>
          </cell>
          <cell r="B268" t="e">
            <v>#N/A</v>
          </cell>
        </row>
        <row r="269">
          <cell r="A269" t="str">
            <v>US</v>
          </cell>
          <cell r="B269" t="e">
            <v>#N/A</v>
          </cell>
        </row>
        <row r="270">
          <cell r="A270" t="str">
            <v>US</v>
          </cell>
          <cell r="B270" t="e">
            <v>#N/A</v>
          </cell>
        </row>
        <row r="271">
          <cell r="A271" t="str">
            <v>US</v>
          </cell>
          <cell r="B271" t="e">
            <v>#N/A</v>
          </cell>
        </row>
        <row r="272">
          <cell r="A272" t="str">
            <v>US</v>
          </cell>
          <cell r="B272" t="e">
            <v>#N/A</v>
          </cell>
        </row>
        <row r="273">
          <cell r="A273" t="str">
            <v>US</v>
          </cell>
          <cell r="B273" t="e">
            <v>#N/A</v>
          </cell>
        </row>
        <row r="274">
          <cell r="A274" t="str">
            <v>US</v>
          </cell>
          <cell r="B274" t="e">
            <v>#N/A</v>
          </cell>
        </row>
        <row r="275">
          <cell r="A275" t="str">
            <v>US</v>
          </cell>
          <cell r="B275" t="e">
            <v>#N/A</v>
          </cell>
        </row>
        <row r="276">
          <cell r="A276" t="str">
            <v>US</v>
          </cell>
          <cell r="B276" t="e">
            <v>#N/A</v>
          </cell>
        </row>
        <row r="277">
          <cell r="A277" t="str">
            <v>US</v>
          </cell>
          <cell r="B277" t="e">
            <v>#N/A</v>
          </cell>
        </row>
        <row r="278">
          <cell r="A278" t="str">
            <v>US</v>
          </cell>
          <cell r="B278" t="e">
            <v>#N/A</v>
          </cell>
        </row>
        <row r="279">
          <cell r="A279" t="str">
            <v>US</v>
          </cell>
          <cell r="B279" t="e">
            <v>#N/A</v>
          </cell>
        </row>
        <row r="280">
          <cell r="A280" t="str">
            <v>US</v>
          </cell>
          <cell r="B280" t="e">
            <v>#N/A</v>
          </cell>
        </row>
        <row r="281">
          <cell r="A281" t="str">
            <v>US</v>
          </cell>
          <cell r="B281" t="e">
            <v>#N/A</v>
          </cell>
        </row>
        <row r="282">
          <cell r="A282" t="str">
            <v>US</v>
          </cell>
          <cell r="B282" t="e">
            <v>#N/A</v>
          </cell>
        </row>
        <row r="283">
          <cell r="A283" t="str">
            <v>US</v>
          </cell>
          <cell r="B283" t="e">
            <v>#N/A</v>
          </cell>
        </row>
        <row r="284">
          <cell r="A284" t="str">
            <v>US</v>
          </cell>
          <cell r="B284" t="e">
            <v>#N/A</v>
          </cell>
        </row>
        <row r="285">
          <cell r="A285" t="str">
            <v>US</v>
          </cell>
          <cell r="B285" t="e">
            <v>#N/A</v>
          </cell>
        </row>
        <row r="286">
          <cell r="A286" t="str">
            <v>US</v>
          </cell>
          <cell r="B286" t="e">
            <v>#N/A</v>
          </cell>
        </row>
        <row r="287">
          <cell r="A287" t="str">
            <v>US</v>
          </cell>
          <cell r="B287" t="e">
            <v>#N/A</v>
          </cell>
        </row>
        <row r="288">
          <cell r="A288" t="str">
            <v>US</v>
          </cell>
          <cell r="B288" t="e">
            <v>#N/A</v>
          </cell>
        </row>
        <row r="289">
          <cell r="A289" t="str">
            <v>US</v>
          </cell>
          <cell r="B289" t="e">
            <v>#N/A</v>
          </cell>
        </row>
        <row r="290">
          <cell r="A290" t="str">
            <v>US</v>
          </cell>
          <cell r="B290" t="e">
            <v>#N/A</v>
          </cell>
        </row>
        <row r="291">
          <cell r="A291" t="str">
            <v>US</v>
          </cell>
          <cell r="B291" t="e">
            <v>#N/A</v>
          </cell>
        </row>
        <row r="292">
          <cell r="A292" t="str">
            <v>US</v>
          </cell>
          <cell r="B292" t="e">
            <v>#N/A</v>
          </cell>
        </row>
        <row r="293">
          <cell r="A293" t="str">
            <v>US</v>
          </cell>
          <cell r="B293" t="e">
            <v>#N/A</v>
          </cell>
        </row>
        <row r="294">
          <cell r="A294" t="str">
            <v>US</v>
          </cell>
          <cell r="B294" t="e">
            <v>#N/A</v>
          </cell>
        </row>
        <row r="295">
          <cell r="A295" t="str">
            <v>US</v>
          </cell>
          <cell r="B295" t="e">
            <v>#N/A</v>
          </cell>
        </row>
        <row r="296">
          <cell r="A296" t="str">
            <v>US</v>
          </cell>
          <cell r="B296" t="e">
            <v>#N/A</v>
          </cell>
        </row>
        <row r="297">
          <cell r="A297" t="str">
            <v>US</v>
          </cell>
          <cell r="B297" t="e">
            <v>#N/A</v>
          </cell>
        </row>
        <row r="298">
          <cell r="A298" t="str">
            <v>US</v>
          </cell>
          <cell r="B298" t="e">
            <v>#N/A</v>
          </cell>
        </row>
        <row r="299">
          <cell r="A299" t="str">
            <v>US</v>
          </cell>
          <cell r="B299" t="e">
            <v>#N/A</v>
          </cell>
        </row>
        <row r="300">
          <cell r="A300" t="str">
            <v>US</v>
          </cell>
          <cell r="B300" t="e">
            <v>#N/A</v>
          </cell>
        </row>
        <row r="301">
          <cell r="A301" t="str">
            <v>US</v>
          </cell>
          <cell r="B301" t="e">
            <v>#N/A</v>
          </cell>
        </row>
        <row r="302">
          <cell r="A302" t="str">
            <v>US</v>
          </cell>
          <cell r="B302" t="e">
            <v>#N/A</v>
          </cell>
        </row>
        <row r="303">
          <cell r="A303" t="str">
            <v>US</v>
          </cell>
          <cell r="B303" t="e">
            <v>#N/A</v>
          </cell>
        </row>
        <row r="304">
          <cell r="A304" t="str">
            <v>US</v>
          </cell>
          <cell r="B304" t="e">
            <v>#N/A</v>
          </cell>
        </row>
        <row r="305">
          <cell r="A305" t="str">
            <v>US</v>
          </cell>
          <cell r="B305" t="e">
            <v>#N/A</v>
          </cell>
        </row>
        <row r="306">
          <cell r="A306" t="str">
            <v>US</v>
          </cell>
          <cell r="B306" t="e">
            <v>#N/A</v>
          </cell>
        </row>
        <row r="307">
          <cell r="A307" t="str">
            <v>US</v>
          </cell>
          <cell r="B307" t="e">
            <v>#N/A</v>
          </cell>
        </row>
        <row r="308">
          <cell r="A308" t="str">
            <v>US</v>
          </cell>
          <cell r="B308" t="e">
            <v>#N/A</v>
          </cell>
        </row>
        <row r="309">
          <cell r="A309" t="str">
            <v>US</v>
          </cell>
          <cell r="B309" t="e">
            <v>#N/A</v>
          </cell>
        </row>
        <row r="310">
          <cell r="A310" t="str">
            <v>US</v>
          </cell>
          <cell r="B310" t="e">
            <v>#N/A</v>
          </cell>
        </row>
        <row r="311">
          <cell r="A311" t="str">
            <v>US</v>
          </cell>
          <cell r="B311" t="e">
            <v>#N/A</v>
          </cell>
        </row>
        <row r="312">
          <cell r="A312" t="str">
            <v>US</v>
          </cell>
          <cell r="B312" t="e">
            <v>#N/A</v>
          </cell>
        </row>
        <row r="313">
          <cell r="A313" t="str">
            <v>US</v>
          </cell>
          <cell r="B313" t="e">
            <v>#N/A</v>
          </cell>
        </row>
        <row r="314">
          <cell r="A314" t="str">
            <v>US</v>
          </cell>
          <cell r="B314" t="e">
            <v>#N/A</v>
          </cell>
        </row>
        <row r="315">
          <cell r="A315" t="str">
            <v>US</v>
          </cell>
          <cell r="B315" t="e">
            <v>#N/A</v>
          </cell>
        </row>
        <row r="316">
          <cell r="A316" t="str">
            <v>US</v>
          </cell>
          <cell r="B316" t="e">
            <v>#N/A</v>
          </cell>
        </row>
        <row r="317">
          <cell r="A317" t="str">
            <v>US</v>
          </cell>
          <cell r="B317" t="e">
            <v>#N/A</v>
          </cell>
        </row>
        <row r="318">
          <cell r="A318" t="str">
            <v>US</v>
          </cell>
          <cell r="B318" t="e">
            <v>#N/A</v>
          </cell>
        </row>
        <row r="319">
          <cell r="A319" t="str">
            <v>US</v>
          </cell>
          <cell r="B319" t="e">
            <v>#N/A</v>
          </cell>
        </row>
        <row r="320">
          <cell r="A320" t="str">
            <v>US</v>
          </cell>
          <cell r="B320" t="e">
            <v>#N/A</v>
          </cell>
        </row>
        <row r="321">
          <cell r="A321" t="str">
            <v>US</v>
          </cell>
          <cell r="B321" t="e">
            <v>#N/A</v>
          </cell>
        </row>
        <row r="322">
          <cell r="A322" t="str">
            <v>US</v>
          </cell>
          <cell r="B322" t="e">
            <v>#N/A</v>
          </cell>
        </row>
        <row r="323">
          <cell r="A323" t="str">
            <v>US</v>
          </cell>
          <cell r="B323" t="e">
            <v>#N/A</v>
          </cell>
        </row>
        <row r="324">
          <cell r="A324" t="str">
            <v>US</v>
          </cell>
          <cell r="B324" t="e">
            <v>#N/A</v>
          </cell>
        </row>
        <row r="325">
          <cell r="A325" t="str">
            <v>US</v>
          </cell>
          <cell r="B325" t="e">
            <v>#N/A</v>
          </cell>
        </row>
        <row r="326">
          <cell r="A326" t="str">
            <v>US</v>
          </cell>
          <cell r="B326" t="e">
            <v>#N/A</v>
          </cell>
        </row>
        <row r="327">
          <cell r="A327" t="str">
            <v>US</v>
          </cell>
          <cell r="B327" t="e">
            <v>#N/A</v>
          </cell>
        </row>
        <row r="328">
          <cell r="A328" t="str">
            <v>US</v>
          </cell>
          <cell r="B328" t="e">
            <v>#N/A</v>
          </cell>
        </row>
        <row r="329">
          <cell r="A329" t="str">
            <v>US</v>
          </cell>
          <cell r="B329" t="e">
            <v>#N/A</v>
          </cell>
        </row>
        <row r="330">
          <cell r="A330" t="str">
            <v>US</v>
          </cell>
          <cell r="B330" t="e">
            <v>#N/A</v>
          </cell>
        </row>
        <row r="331">
          <cell r="A331" t="str">
            <v>US</v>
          </cell>
          <cell r="B331" t="e">
            <v>#N/A</v>
          </cell>
        </row>
        <row r="332">
          <cell r="A332" t="str">
            <v>US</v>
          </cell>
          <cell r="B332" t="e">
            <v>#N/A</v>
          </cell>
        </row>
        <row r="333">
          <cell r="A333" t="str">
            <v>US</v>
          </cell>
          <cell r="B333" t="e">
            <v>#N/A</v>
          </cell>
        </row>
        <row r="334">
          <cell r="A334" t="str">
            <v>US</v>
          </cell>
          <cell r="B334" t="e">
            <v>#N/A</v>
          </cell>
        </row>
        <row r="335">
          <cell r="A335" t="str">
            <v>US</v>
          </cell>
          <cell r="B335" t="e">
            <v>#N/A</v>
          </cell>
        </row>
        <row r="336">
          <cell r="A336" t="str">
            <v>US</v>
          </cell>
          <cell r="B336" t="e">
            <v>#N/A</v>
          </cell>
        </row>
        <row r="337">
          <cell r="A337" t="str">
            <v>US</v>
          </cell>
          <cell r="B337" t="e">
            <v>#N/A</v>
          </cell>
        </row>
        <row r="338">
          <cell r="A338" t="str">
            <v>US</v>
          </cell>
          <cell r="B338" t="e">
            <v>#N/A</v>
          </cell>
        </row>
        <row r="339">
          <cell r="A339" t="str">
            <v>US</v>
          </cell>
          <cell r="B339" t="e">
            <v>#N/A</v>
          </cell>
        </row>
        <row r="340">
          <cell r="A340" t="str">
            <v>US</v>
          </cell>
          <cell r="B340" t="e">
            <v>#N/A</v>
          </cell>
        </row>
        <row r="341">
          <cell r="A341" t="str">
            <v>US</v>
          </cell>
          <cell r="B341" t="e">
            <v>#N/A</v>
          </cell>
        </row>
        <row r="342">
          <cell r="A342" t="str">
            <v>US</v>
          </cell>
          <cell r="B342" t="e">
            <v>#N/A</v>
          </cell>
        </row>
        <row r="343">
          <cell r="A343" t="str">
            <v>US</v>
          </cell>
          <cell r="B343" t="e">
            <v>#N/A</v>
          </cell>
        </row>
        <row r="344">
          <cell r="A344" t="str">
            <v>US</v>
          </cell>
          <cell r="B344" t="e">
            <v>#N/A</v>
          </cell>
        </row>
        <row r="345">
          <cell r="A345" t="str">
            <v>US</v>
          </cell>
          <cell r="B345" t="e">
            <v>#N/A</v>
          </cell>
        </row>
        <row r="346">
          <cell r="A346" t="str">
            <v>US</v>
          </cell>
          <cell r="B346" t="e">
            <v>#N/A</v>
          </cell>
        </row>
        <row r="347">
          <cell r="A347" t="str">
            <v>US</v>
          </cell>
          <cell r="B347" t="e">
            <v>#N/A</v>
          </cell>
        </row>
        <row r="348">
          <cell r="A348" t="str">
            <v>US</v>
          </cell>
          <cell r="B348" t="e">
            <v>#N/A</v>
          </cell>
        </row>
        <row r="349">
          <cell r="A349" t="str">
            <v>US</v>
          </cell>
          <cell r="B349" t="e">
            <v>#N/A</v>
          </cell>
        </row>
        <row r="350">
          <cell r="A350" t="str">
            <v>US</v>
          </cell>
          <cell r="B350" t="e">
            <v>#N/A</v>
          </cell>
        </row>
        <row r="351">
          <cell r="A351" t="str">
            <v>US</v>
          </cell>
          <cell r="B351" t="e">
            <v>#N/A</v>
          </cell>
        </row>
        <row r="352">
          <cell r="A352" t="str">
            <v>US</v>
          </cell>
          <cell r="B352" t="e">
            <v>#N/A</v>
          </cell>
        </row>
        <row r="353">
          <cell r="A353" t="str">
            <v>US</v>
          </cell>
          <cell r="B353" t="e">
            <v>#N/A</v>
          </cell>
        </row>
        <row r="354">
          <cell r="A354" t="str">
            <v>US</v>
          </cell>
          <cell r="B354" t="e">
            <v>#N/A</v>
          </cell>
        </row>
        <row r="355">
          <cell r="A355" t="str">
            <v>US</v>
          </cell>
          <cell r="B355" t="e">
            <v>#N/A</v>
          </cell>
        </row>
        <row r="356">
          <cell r="A356" t="str">
            <v>US</v>
          </cell>
          <cell r="B356" t="e">
            <v>#N/A</v>
          </cell>
        </row>
        <row r="357">
          <cell r="A357" t="str">
            <v>US</v>
          </cell>
          <cell r="B357" t="e">
            <v>#N/A</v>
          </cell>
        </row>
        <row r="358">
          <cell r="A358" t="str">
            <v>US</v>
          </cell>
          <cell r="B358" t="e">
            <v>#N/A</v>
          </cell>
        </row>
        <row r="359">
          <cell r="A359" t="str">
            <v>US</v>
          </cell>
          <cell r="B359" t="e">
            <v>#N/A</v>
          </cell>
        </row>
        <row r="360">
          <cell r="A360" t="str">
            <v>US</v>
          </cell>
          <cell r="B360" t="e">
            <v>#N/A</v>
          </cell>
        </row>
        <row r="361">
          <cell r="A361" t="str">
            <v>US</v>
          </cell>
          <cell r="B361" t="e">
            <v>#N/A</v>
          </cell>
        </row>
        <row r="362">
          <cell r="A362" t="str">
            <v>US</v>
          </cell>
          <cell r="B362" t="e">
            <v>#N/A</v>
          </cell>
        </row>
        <row r="363">
          <cell r="A363" t="str">
            <v>US</v>
          </cell>
          <cell r="B363" t="e">
            <v>#N/A</v>
          </cell>
        </row>
        <row r="364">
          <cell r="A364" t="str">
            <v>US</v>
          </cell>
          <cell r="B364" t="e">
            <v>#N/A</v>
          </cell>
        </row>
        <row r="365">
          <cell r="A365" t="str">
            <v>US</v>
          </cell>
          <cell r="B365" t="e">
            <v>#N/A</v>
          </cell>
        </row>
        <row r="366">
          <cell r="A366" t="str">
            <v>US</v>
          </cell>
          <cell r="B366" t="e">
            <v>#N/A</v>
          </cell>
        </row>
        <row r="367">
          <cell r="A367" t="str">
            <v>US</v>
          </cell>
          <cell r="B367" t="e">
            <v>#N/A</v>
          </cell>
        </row>
        <row r="368">
          <cell r="A368" t="str">
            <v>US</v>
          </cell>
          <cell r="B368" t="e">
            <v>#N/A</v>
          </cell>
        </row>
        <row r="369">
          <cell r="A369" t="str">
            <v>US</v>
          </cell>
          <cell r="B369" t="e">
            <v>#N/A</v>
          </cell>
        </row>
        <row r="370">
          <cell r="A370" t="str">
            <v>US</v>
          </cell>
          <cell r="B370" t="e">
            <v>#N/A</v>
          </cell>
        </row>
        <row r="371">
          <cell r="A371" t="str">
            <v>US</v>
          </cell>
          <cell r="B371" t="e">
            <v>#N/A</v>
          </cell>
        </row>
        <row r="372">
          <cell r="A372" t="str">
            <v>US</v>
          </cell>
          <cell r="B372" t="e">
            <v>#N/A</v>
          </cell>
        </row>
        <row r="373">
          <cell r="A373" t="str">
            <v>US</v>
          </cell>
          <cell r="B373" t="e">
            <v>#N/A</v>
          </cell>
        </row>
        <row r="374">
          <cell r="A374" t="str">
            <v>US</v>
          </cell>
          <cell r="B374" t="e">
            <v>#N/A</v>
          </cell>
        </row>
        <row r="375">
          <cell r="A375" t="str">
            <v>US</v>
          </cell>
          <cell r="B375" t="e">
            <v>#N/A</v>
          </cell>
        </row>
        <row r="376">
          <cell r="A376" t="str">
            <v>US</v>
          </cell>
          <cell r="B376" t="e">
            <v>#N/A</v>
          </cell>
        </row>
        <row r="377">
          <cell r="A377" t="str">
            <v>US</v>
          </cell>
          <cell r="B377" t="e">
            <v>#N/A</v>
          </cell>
        </row>
        <row r="378">
          <cell r="A378" t="str">
            <v>US</v>
          </cell>
          <cell r="B378" t="e">
            <v>#N/A</v>
          </cell>
        </row>
        <row r="379">
          <cell r="A379" t="str">
            <v>US</v>
          </cell>
          <cell r="B379" t="e">
            <v>#N/A</v>
          </cell>
        </row>
        <row r="380">
          <cell r="A380" t="str">
            <v>US</v>
          </cell>
          <cell r="B380" t="e">
            <v>#N/A</v>
          </cell>
        </row>
        <row r="381">
          <cell r="A381" t="str">
            <v>US</v>
          </cell>
          <cell r="B381" t="e">
            <v>#N/A</v>
          </cell>
        </row>
        <row r="382">
          <cell r="A382" t="str">
            <v>US</v>
          </cell>
          <cell r="B382" t="e">
            <v>#N/A</v>
          </cell>
        </row>
        <row r="383">
          <cell r="A383" t="str">
            <v>US</v>
          </cell>
          <cell r="B383" t="e">
            <v>#N/A</v>
          </cell>
        </row>
        <row r="384">
          <cell r="A384" t="str">
            <v>US</v>
          </cell>
          <cell r="B384" t="e">
            <v>#N/A</v>
          </cell>
        </row>
        <row r="385">
          <cell r="A385" t="str">
            <v>US</v>
          </cell>
          <cell r="B385" t="e">
            <v>#N/A</v>
          </cell>
        </row>
        <row r="386">
          <cell r="A386" t="str">
            <v>US</v>
          </cell>
          <cell r="B386" t="e">
            <v>#N/A</v>
          </cell>
        </row>
        <row r="387">
          <cell r="A387" t="str">
            <v>US</v>
          </cell>
          <cell r="B387" t="e">
            <v>#N/A</v>
          </cell>
        </row>
        <row r="388">
          <cell r="A388" t="str">
            <v>US</v>
          </cell>
          <cell r="B388" t="e">
            <v>#N/A</v>
          </cell>
        </row>
        <row r="389">
          <cell r="A389" t="str">
            <v>US</v>
          </cell>
          <cell r="B389" t="e">
            <v>#N/A</v>
          </cell>
        </row>
        <row r="390">
          <cell r="A390" t="str">
            <v>US</v>
          </cell>
          <cell r="B390" t="e">
            <v>#N/A</v>
          </cell>
        </row>
        <row r="391">
          <cell r="A391" t="str">
            <v>US</v>
          </cell>
          <cell r="B391" t="e">
            <v>#N/A</v>
          </cell>
        </row>
        <row r="392">
          <cell r="A392" t="str">
            <v>US</v>
          </cell>
          <cell r="B392" t="e">
            <v>#N/A</v>
          </cell>
        </row>
        <row r="393">
          <cell r="A393" t="str">
            <v>US</v>
          </cell>
          <cell r="B393" t="e">
            <v>#N/A</v>
          </cell>
        </row>
        <row r="394">
          <cell r="A394" t="str">
            <v>US</v>
          </cell>
          <cell r="B394" t="e">
            <v>#N/A</v>
          </cell>
        </row>
        <row r="395">
          <cell r="A395" t="str">
            <v>US</v>
          </cell>
          <cell r="B395" t="e">
            <v>#N/A</v>
          </cell>
        </row>
        <row r="396">
          <cell r="A396" t="str">
            <v>US</v>
          </cell>
          <cell r="B396" t="e">
            <v>#N/A</v>
          </cell>
        </row>
        <row r="397">
          <cell r="A397" t="str">
            <v>US</v>
          </cell>
          <cell r="B397" t="e">
            <v>#N/A</v>
          </cell>
        </row>
        <row r="398">
          <cell r="A398" t="str">
            <v>US</v>
          </cell>
          <cell r="B398" t="e">
            <v>#N/A</v>
          </cell>
        </row>
        <row r="399">
          <cell r="A399" t="str">
            <v>US</v>
          </cell>
          <cell r="B399" t="e">
            <v>#N/A</v>
          </cell>
        </row>
        <row r="400">
          <cell r="A400" t="str">
            <v>US</v>
          </cell>
          <cell r="B400" t="e">
            <v>#N/A</v>
          </cell>
        </row>
        <row r="401">
          <cell r="A401" t="str">
            <v>US</v>
          </cell>
          <cell r="B401" t="e">
            <v>#N/A</v>
          </cell>
        </row>
        <row r="402">
          <cell r="A402" t="str">
            <v>US</v>
          </cell>
          <cell r="B402" t="e">
            <v>#N/A</v>
          </cell>
        </row>
        <row r="403">
          <cell r="A403" t="str">
            <v>US</v>
          </cell>
          <cell r="B403" t="e">
            <v>#N/A</v>
          </cell>
        </row>
        <row r="404">
          <cell r="A404" t="str">
            <v>US</v>
          </cell>
          <cell r="B404" t="e">
            <v>#N/A</v>
          </cell>
        </row>
        <row r="405">
          <cell r="A405" t="str">
            <v>US</v>
          </cell>
          <cell r="B405" t="e">
            <v>#N/A</v>
          </cell>
        </row>
        <row r="406">
          <cell r="A406" t="str">
            <v>US</v>
          </cell>
          <cell r="B406" t="e">
            <v>#N/A</v>
          </cell>
        </row>
        <row r="407">
          <cell r="A407" t="str">
            <v>US</v>
          </cell>
          <cell r="B407" t="e">
            <v>#N/A</v>
          </cell>
        </row>
        <row r="408">
          <cell r="A408" t="str">
            <v>US</v>
          </cell>
          <cell r="B408" t="e">
            <v>#N/A</v>
          </cell>
        </row>
        <row r="409">
          <cell r="A409" t="str">
            <v>US</v>
          </cell>
          <cell r="B409" t="e">
            <v>#N/A</v>
          </cell>
        </row>
        <row r="410">
          <cell r="A410" t="str">
            <v>US</v>
          </cell>
          <cell r="B410" t="e">
            <v>#N/A</v>
          </cell>
        </row>
        <row r="411">
          <cell r="A411" t="str">
            <v>US</v>
          </cell>
          <cell r="B411" t="e">
            <v>#N/A</v>
          </cell>
        </row>
        <row r="412">
          <cell r="A412" t="str">
            <v>US</v>
          </cell>
          <cell r="B412" t="e">
            <v>#N/A</v>
          </cell>
        </row>
        <row r="413">
          <cell r="A413" t="str">
            <v>US</v>
          </cell>
          <cell r="B413" t="e">
            <v>#N/A</v>
          </cell>
        </row>
        <row r="414">
          <cell r="A414" t="str">
            <v>US</v>
          </cell>
          <cell r="B414" t="e">
            <v>#N/A</v>
          </cell>
        </row>
        <row r="415">
          <cell r="A415" t="str">
            <v>US</v>
          </cell>
          <cell r="B415" t="e">
            <v>#N/A</v>
          </cell>
        </row>
        <row r="416">
          <cell r="A416" t="str">
            <v>US</v>
          </cell>
          <cell r="B416" t="e">
            <v>#N/A</v>
          </cell>
        </row>
        <row r="417">
          <cell r="A417" t="str">
            <v>US</v>
          </cell>
          <cell r="B417" t="e">
            <v>#N/A</v>
          </cell>
        </row>
        <row r="418">
          <cell r="A418" t="str">
            <v>US</v>
          </cell>
          <cell r="B418" t="e">
            <v>#N/A</v>
          </cell>
        </row>
        <row r="419">
          <cell r="A419" t="str">
            <v>US</v>
          </cell>
          <cell r="B419" t="e">
            <v>#N/A</v>
          </cell>
        </row>
        <row r="420">
          <cell r="A420" t="str">
            <v>US</v>
          </cell>
          <cell r="B420" t="e">
            <v>#N/A</v>
          </cell>
        </row>
        <row r="421">
          <cell r="A421" t="str">
            <v>US</v>
          </cell>
          <cell r="B421" t="e">
            <v>#N/A</v>
          </cell>
        </row>
        <row r="422">
          <cell r="A422" t="str">
            <v>US</v>
          </cell>
          <cell r="B422" t="e">
            <v>#N/A</v>
          </cell>
        </row>
        <row r="423">
          <cell r="A423" t="str">
            <v>US</v>
          </cell>
          <cell r="B423" t="e">
            <v>#N/A</v>
          </cell>
        </row>
        <row r="424">
          <cell r="A424" t="str">
            <v>US</v>
          </cell>
          <cell r="B424" t="e">
            <v>#N/A</v>
          </cell>
        </row>
        <row r="425">
          <cell r="A425" t="str">
            <v>US</v>
          </cell>
          <cell r="B425" t="e">
            <v>#N/A</v>
          </cell>
        </row>
        <row r="426">
          <cell r="A426" t="str">
            <v>US</v>
          </cell>
          <cell r="B426" t="e">
            <v>#N/A</v>
          </cell>
        </row>
        <row r="427">
          <cell r="A427" t="str">
            <v>US</v>
          </cell>
          <cell r="B427" t="e">
            <v>#N/A</v>
          </cell>
        </row>
        <row r="428">
          <cell r="A428" t="str">
            <v>US</v>
          </cell>
          <cell r="B428" t="e">
            <v>#N/A</v>
          </cell>
        </row>
        <row r="429">
          <cell r="A429" t="str">
            <v>US</v>
          </cell>
          <cell r="B429" t="e">
            <v>#N/A</v>
          </cell>
        </row>
        <row r="430">
          <cell r="A430" t="str">
            <v>US</v>
          </cell>
          <cell r="B430" t="e">
            <v>#N/A</v>
          </cell>
        </row>
        <row r="431">
          <cell r="A431" t="str">
            <v>US</v>
          </cell>
          <cell r="B431" t="e">
            <v>#N/A</v>
          </cell>
        </row>
        <row r="432">
          <cell r="A432" t="str">
            <v>US</v>
          </cell>
          <cell r="B432" t="e">
            <v>#N/A</v>
          </cell>
        </row>
        <row r="433">
          <cell r="A433" t="str">
            <v>US</v>
          </cell>
          <cell r="B433" t="e">
            <v>#N/A</v>
          </cell>
        </row>
        <row r="434">
          <cell r="A434" t="str">
            <v>US</v>
          </cell>
          <cell r="B434" t="e">
            <v>#N/A</v>
          </cell>
        </row>
        <row r="435">
          <cell r="A435" t="str">
            <v>US</v>
          </cell>
          <cell r="B435" t="e">
            <v>#N/A</v>
          </cell>
        </row>
        <row r="436">
          <cell r="A436" t="str">
            <v>US</v>
          </cell>
          <cell r="B436" t="e">
            <v>#N/A</v>
          </cell>
        </row>
        <row r="437">
          <cell r="A437" t="str">
            <v>US</v>
          </cell>
          <cell r="B437" t="e">
            <v>#N/A</v>
          </cell>
        </row>
        <row r="438">
          <cell r="A438" t="str">
            <v>US</v>
          </cell>
          <cell r="B438" t="e">
            <v>#N/A</v>
          </cell>
        </row>
        <row r="439">
          <cell r="A439" t="str">
            <v>US</v>
          </cell>
          <cell r="B439" t="e">
            <v>#N/A</v>
          </cell>
        </row>
        <row r="440">
          <cell r="A440" t="str">
            <v>US</v>
          </cell>
          <cell r="B440" t="e">
            <v>#N/A</v>
          </cell>
        </row>
        <row r="441">
          <cell r="A441" t="str">
            <v>US</v>
          </cell>
          <cell r="B441" t="e">
            <v>#N/A</v>
          </cell>
        </row>
        <row r="442">
          <cell r="A442" t="str">
            <v>US</v>
          </cell>
          <cell r="B442" t="e">
            <v>#N/A</v>
          </cell>
        </row>
        <row r="443">
          <cell r="A443" t="str">
            <v>US</v>
          </cell>
          <cell r="B443" t="e">
            <v>#N/A</v>
          </cell>
        </row>
        <row r="444">
          <cell r="A444" t="str">
            <v>US</v>
          </cell>
          <cell r="B444" t="e">
            <v>#N/A</v>
          </cell>
        </row>
        <row r="445">
          <cell r="A445" t="str">
            <v>US</v>
          </cell>
          <cell r="B445" t="e">
            <v>#N/A</v>
          </cell>
        </row>
        <row r="446">
          <cell r="A446" t="str">
            <v>US</v>
          </cell>
          <cell r="B446" t="e">
            <v>#N/A</v>
          </cell>
        </row>
        <row r="447">
          <cell r="A447" t="str">
            <v>US</v>
          </cell>
          <cell r="B447" t="e">
            <v>#N/A</v>
          </cell>
        </row>
        <row r="448">
          <cell r="A448" t="str">
            <v>US</v>
          </cell>
          <cell r="B448" t="e">
            <v>#N/A</v>
          </cell>
        </row>
        <row r="449">
          <cell r="A449" t="str">
            <v>US</v>
          </cell>
          <cell r="B449" t="e">
            <v>#N/A</v>
          </cell>
        </row>
        <row r="450">
          <cell r="A450" t="str">
            <v>US</v>
          </cell>
          <cell r="B450" t="e">
            <v>#N/A</v>
          </cell>
        </row>
        <row r="451">
          <cell r="A451" t="str">
            <v>US</v>
          </cell>
          <cell r="B451" t="e">
            <v>#N/A</v>
          </cell>
        </row>
        <row r="452">
          <cell r="A452" t="str">
            <v>US</v>
          </cell>
          <cell r="B452" t="e">
            <v>#N/A</v>
          </cell>
        </row>
        <row r="453">
          <cell r="A453" t="str">
            <v>US</v>
          </cell>
          <cell r="B453" t="e">
            <v>#N/A</v>
          </cell>
        </row>
        <row r="454">
          <cell r="A454" t="str">
            <v>US</v>
          </cell>
          <cell r="B454" t="e">
            <v>#N/A</v>
          </cell>
        </row>
        <row r="455">
          <cell r="A455" t="str">
            <v>US</v>
          </cell>
          <cell r="B455" t="e">
            <v>#N/A</v>
          </cell>
        </row>
        <row r="456">
          <cell r="A456" t="str">
            <v>US</v>
          </cell>
          <cell r="B456" t="e">
            <v>#N/A</v>
          </cell>
        </row>
        <row r="457">
          <cell r="A457" t="str">
            <v>US</v>
          </cell>
          <cell r="B457" t="e">
            <v>#N/A</v>
          </cell>
        </row>
        <row r="458">
          <cell r="A458" t="str">
            <v>US</v>
          </cell>
          <cell r="B458" t="e">
            <v>#N/A</v>
          </cell>
        </row>
        <row r="459">
          <cell r="A459" t="str">
            <v>US</v>
          </cell>
          <cell r="B459" t="e">
            <v>#N/A</v>
          </cell>
        </row>
        <row r="460">
          <cell r="A460" t="str">
            <v>US</v>
          </cell>
          <cell r="B460" t="e">
            <v>#N/A</v>
          </cell>
        </row>
        <row r="461">
          <cell r="A461" t="str">
            <v>US</v>
          </cell>
          <cell r="B461" t="e">
            <v>#N/A</v>
          </cell>
        </row>
        <row r="462">
          <cell r="A462" t="str">
            <v>US</v>
          </cell>
          <cell r="B462" t="e">
            <v>#N/A</v>
          </cell>
        </row>
        <row r="463">
          <cell r="A463" t="str">
            <v>US</v>
          </cell>
          <cell r="B463" t="e">
            <v>#N/A</v>
          </cell>
        </row>
        <row r="464">
          <cell r="A464" t="str">
            <v>US</v>
          </cell>
          <cell r="B464" t="e">
            <v>#N/A</v>
          </cell>
        </row>
        <row r="465">
          <cell r="A465" t="str">
            <v>US</v>
          </cell>
          <cell r="B465" t="e">
            <v>#N/A</v>
          </cell>
        </row>
        <row r="466">
          <cell r="A466" t="str">
            <v>US</v>
          </cell>
          <cell r="B466" t="e">
            <v>#N/A</v>
          </cell>
        </row>
        <row r="467">
          <cell r="A467" t="str">
            <v>US</v>
          </cell>
          <cell r="B467" t="e">
            <v>#N/A</v>
          </cell>
        </row>
        <row r="468">
          <cell r="A468" t="str">
            <v>US</v>
          </cell>
          <cell r="B468" t="e">
            <v>#N/A</v>
          </cell>
        </row>
        <row r="469">
          <cell r="A469" t="str">
            <v>US</v>
          </cell>
          <cell r="B469" t="e">
            <v>#N/A</v>
          </cell>
        </row>
        <row r="470">
          <cell r="A470" t="str">
            <v>US</v>
          </cell>
          <cell r="B470" t="e">
            <v>#N/A</v>
          </cell>
        </row>
        <row r="471">
          <cell r="A471" t="str">
            <v>US</v>
          </cell>
          <cell r="B471" t="e">
            <v>#N/A</v>
          </cell>
        </row>
        <row r="472">
          <cell r="A472" t="str">
            <v>US</v>
          </cell>
          <cell r="B472" t="e">
            <v>#N/A</v>
          </cell>
        </row>
        <row r="473">
          <cell r="A473" t="str">
            <v>US</v>
          </cell>
          <cell r="B473" t="e">
            <v>#N/A</v>
          </cell>
        </row>
        <row r="474">
          <cell r="A474" t="str">
            <v>US</v>
          </cell>
          <cell r="B474" t="e">
            <v>#N/A</v>
          </cell>
        </row>
        <row r="475">
          <cell r="A475" t="str">
            <v>US</v>
          </cell>
          <cell r="B475" t="e">
            <v>#N/A</v>
          </cell>
        </row>
        <row r="476">
          <cell r="A476" t="str">
            <v>US</v>
          </cell>
          <cell r="B476" t="e">
            <v>#N/A</v>
          </cell>
        </row>
        <row r="477">
          <cell r="A477" t="str">
            <v>US</v>
          </cell>
          <cell r="B477" t="e">
            <v>#N/A</v>
          </cell>
        </row>
        <row r="478">
          <cell r="A478" t="str">
            <v>US</v>
          </cell>
          <cell r="B478" t="e">
            <v>#N/A</v>
          </cell>
        </row>
        <row r="479">
          <cell r="A479" t="str">
            <v>US</v>
          </cell>
          <cell r="B479" t="e">
            <v>#N/A</v>
          </cell>
        </row>
        <row r="480">
          <cell r="A480" t="str">
            <v>US</v>
          </cell>
          <cell r="B480" t="e">
            <v>#N/A</v>
          </cell>
        </row>
        <row r="481">
          <cell r="A481" t="str">
            <v>US</v>
          </cell>
          <cell r="B481" t="e">
            <v>#N/A</v>
          </cell>
        </row>
        <row r="482">
          <cell r="A482" t="str">
            <v>US</v>
          </cell>
          <cell r="B482" t="e">
            <v>#N/A</v>
          </cell>
        </row>
        <row r="483">
          <cell r="A483" t="str">
            <v>US</v>
          </cell>
          <cell r="B483" t="e">
            <v>#N/A</v>
          </cell>
        </row>
        <row r="484">
          <cell r="A484" t="str">
            <v>US</v>
          </cell>
          <cell r="B484" t="e">
            <v>#N/A</v>
          </cell>
        </row>
        <row r="485">
          <cell r="A485" t="str">
            <v>US</v>
          </cell>
          <cell r="B485" t="e">
            <v>#N/A</v>
          </cell>
        </row>
        <row r="486">
          <cell r="A486" t="str">
            <v>US</v>
          </cell>
          <cell r="B486" t="e">
            <v>#N/A</v>
          </cell>
        </row>
        <row r="487">
          <cell r="A487" t="str">
            <v>US</v>
          </cell>
          <cell r="B487" t="e">
            <v>#N/A</v>
          </cell>
        </row>
        <row r="488">
          <cell r="A488" t="str">
            <v>US</v>
          </cell>
          <cell r="B488" t="e">
            <v>#N/A</v>
          </cell>
        </row>
        <row r="489">
          <cell r="A489" t="str">
            <v>US</v>
          </cell>
          <cell r="B489" t="e">
            <v>#N/A</v>
          </cell>
        </row>
        <row r="490">
          <cell r="A490" t="str">
            <v>US</v>
          </cell>
          <cell r="B490" t="e">
            <v>#N/A</v>
          </cell>
        </row>
        <row r="491">
          <cell r="A491" t="str">
            <v>US</v>
          </cell>
          <cell r="B491" t="e">
            <v>#N/A</v>
          </cell>
        </row>
        <row r="492">
          <cell r="A492" t="str">
            <v>US</v>
          </cell>
          <cell r="B492" t="e">
            <v>#N/A</v>
          </cell>
        </row>
        <row r="493">
          <cell r="A493" t="str">
            <v>US</v>
          </cell>
          <cell r="B493" t="e">
            <v>#N/A</v>
          </cell>
        </row>
        <row r="494">
          <cell r="A494" t="str">
            <v>US</v>
          </cell>
          <cell r="B494" t="e">
            <v>#N/A</v>
          </cell>
        </row>
        <row r="495">
          <cell r="A495" t="str">
            <v>US</v>
          </cell>
          <cell r="B495" t="e">
            <v>#N/A</v>
          </cell>
        </row>
        <row r="496">
          <cell r="A496" t="str">
            <v>US</v>
          </cell>
          <cell r="B496" t="e">
            <v>#N/A</v>
          </cell>
        </row>
        <row r="497">
          <cell r="A497" t="str">
            <v>US</v>
          </cell>
          <cell r="B497" t="e">
            <v>#N/A</v>
          </cell>
        </row>
        <row r="498">
          <cell r="A498" t="str">
            <v>US</v>
          </cell>
          <cell r="B498" t="e">
            <v>#N/A</v>
          </cell>
        </row>
        <row r="499">
          <cell r="A499" t="str">
            <v>US</v>
          </cell>
          <cell r="B499" t="e">
            <v>#N/A</v>
          </cell>
        </row>
        <row r="500">
          <cell r="A500" t="str">
            <v>US</v>
          </cell>
          <cell r="B500" t="e">
            <v>#N/A</v>
          </cell>
        </row>
        <row r="501">
          <cell r="A501" t="str">
            <v>US</v>
          </cell>
          <cell r="B501" t="e">
            <v>#N/A</v>
          </cell>
        </row>
        <row r="502">
          <cell r="A502" t="str">
            <v>US</v>
          </cell>
          <cell r="B502" t="e">
            <v>#N/A</v>
          </cell>
        </row>
        <row r="503">
          <cell r="A503" t="str">
            <v>US</v>
          </cell>
          <cell r="B503" t="e">
            <v>#N/A</v>
          </cell>
        </row>
        <row r="504">
          <cell r="A504" t="str">
            <v>US</v>
          </cell>
          <cell r="B504" t="e">
            <v>#N/A</v>
          </cell>
        </row>
        <row r="505">
          <cell r="A505" t="str">
            <v>US</v>
          </cell>
          <cell r="B505" t="e">
            <v>#N/A</v>
          </cell>
        </row>
        <row r="506">
          <cell r="A506" t="str">
            <v>US</v>
          </cell>
          <cell r="B506" t="e">
            <v>#N/A</v>
          </cell>
        </row>
        <row r="507">
          <cell r="A507" t="str">
            <v>US</v>
          </cell>
          <cell r="B507" t="e">
            <v>#N/A</v>
          </cell>
        </row>
        <row r="508">
          <cell r="A508" t="str">
            <v>US</v>
          </cell>
          <cell r="B508" t="e">
            <v>#N/A</v>
          </cell>
        </row>
        <row r="509">
          <cell r="A509" t="str">
            <v>US</v>
          </cell>
          <cell r="B509" t="e">
            <v>#N/A</v>
          </cell>
        </row>
        <row r="510">
          <cell r="A510" t="str">
            <v>US</v>
          </cell>
          <cell r="B510" t="e">
            <v>#N/A</v>
          </cell>
        </row>
        <row r="511">
          <cell r="A511" t="str">
            <v>US</v>
          </cell>
          <cell r="B511" t="e">
            <v>#N/A</v>
          </cell>
        </row>
        <row r="512">
          <cell r="A512" t="str">
            <v>US</v>
          </cell>
          <cell r="B512" t="e">
            <v>#N/A</v>
          </cell>
        </row>
        <row r="513">
          <cell r="A513" t="str">
            <v>US</v>
          </cell>
          <cell r="B513" t="e">
            <v>#N/A</v>
          </cell>
        </row>
        <row r="514">
          <cell r="A514" t="str">
            <v>US</v>
          </cell>
          <cell r="B514" t="e">
            <v>#N/A</v>
          </cell>
        </row>
        <row r="515">
          <cell r="A515" t="str">
            <v>US</v>
          </cell>
          <cell r="B515" t="e">
            <v>#N/A</v>
          </cell>
        </row>
        <row r="516">
          <cell r="A516" t="str">
            <v>US</v>
          </cell>
          <cell r="B516" t="e">
            <v>#N/A</v>
          </cell>
        </row>
        <row r="517">
          <cell r="A517" t="str">
            <v>US</v>
          </cell>
          <cell r="B517" t="e">
            <v>#N/A</v>
          </cell>
        </row>
        <row r="518">
          <cell r="A518" t="str">
            <v>US</v>
          </cell>
          <cell r="B518" t="e">
            <v>#N/A</v>
          </cell>
        </row>
        <row r="519">
          <cell r="A519" t="str">
            <v>US</v>
          </cell>
          <cell r="B519" t="e">
            <v>#N/A</v>
          </cell>
        </row>
        <row r="520">
          <cell r="A520" t="str">
            <v>US</v>
          </cell>
          <cell r="B520" t="e">
            <v>#N/A</v>
          </cell>
        </row>
        <row r="521">
          <cell r="A521" t="str">
            <v>US</v>
          </cell>
          <cell r="B521" t="e">
            <v>#N/A</v>
          </cell>
        </row>
        <row r="522">
          <cell r="A522" t="str">
            <v>US</v>
          </cell>
          <cell r="B522" t="e">
            <v>#N/A</v>
          </cell>
        </row>
        <row r="523">
          <cell r="A523" t="str">
            <v>US</v>
          </cell>
          <cell r="B523" t="e">
            <v>#N/A</v>
          </cell>
        </row>
        <row r="524">
          <cell r="A524" t="str">
            <v>US</v>
          </cell>
          <cell r="B524" t="e">
            <v>#N/A</v>
          </cell>
        </row>
        <row r="525">
          <cell r="A525" t="str">
            <v>US</v>
          </cell>
          <cell r="B525" t="e">
            <v>#N/A</v>
          </cell>
        </row>
        <row r="526">
          <cell r="A526" t="str">
            <v>US</v>
          </cell>
          <cell r="B526" t="e">
            <v>#N/A</v>
          </cell>
        </row>
        <row r="527">
          <cell r="A527" t="str">
            <v>US</v>
          </cell>
          <cell r="B527" t="e">
            <v>#N/A</v>
          </cell>
        </row>
        <row r="528">
          <cell r="A528" t="str">
            <v>US</v>
          </cell>
          <cell r="B528" t="e">
            <v>#N/A</v>
          </cell>
        </row>
        <row r="529">
          <cell r="A529" t="str">
            <v>US</v>
          </cell>
          <cell r="B529" t="e">
            <v>#N/A</v>
          </cell>
        </row>
        <row r="530">
          <cell r="A530" t="str">
            <v>US</v>
          </cell>
          <cell r="B530" t="e">
            <v>#N/A</v>
          </cell>
        </row>
        <row r="531">
          <cell r="A531" t="str">
            <v>US</v>
          </cell>
          <cell r="B531" t="e">
            <v>#N/A</v>
          </cell>
        </row>
        <row r="532">
          <cell r="A532" t="str">
            <v>US</v>
          </cell>
          <cell r="B532" t="e">
            <v>#N/A</v>
          </cell>
        </row>
        <row r="533">
          <cell r="A533" t="str">
            <v>US</v>
          </cell>
          <cell r="B533" t="e">
            <v>#N/A</v>
          </cell>
        </row>
        <row r="534">
          <cell r="A534" t="str">
            <v>US</v>
          </cell>
          <cell r="B534" t="e">
            <v>#N/A</v>
          </cell>
        </row>
        <row r="535">
          <cell r="A535" t="str">
            <v>US</v>
          </cell>
          <cell r="B535" t="e">
            <v>#N/A</v>
          </cell>
        </row>
        <row r="536">
          <cell r="A536" t="str">
            <v>US</v>
          </cell>
          <cell r="B536" t="e">
            <v>#N/A</v>
          </cell>
        </row>
        <row r="537">
          <cell r="A537" t="str">
            <v>US</v>
          </cell>
          <cell r="B537" t="e">
            <v>#N/A</v>
          </cell>
        </row>
        <row r="538">
          <cell r="A538" t="str">
            <v>US</v>
          </cell>
          <cell r="B538" t="e">
            <v>#N/A</v>
          </cell>
        </row>
        <row r="539">
          <cell r="A539" t="str">
            <v>US</v>
          </cell>
          <cell r="B539" t="e">
            <v>#N/A</v>
          </cell>
        </row>
        <row r="540">
          <cell r="A540" t="str">
            <v>US</v>
          </cell>
          <cell r="B540" t="e">
            <v>#N/A</v>
          </cell>
        </row>
        <row r="541">
          <cell r="A541" t="str">
            <v>US</v>
          </cell>
          <cell r="B541" t="e">
            <v>#N/A</v>
          </cell>
        </row>
        <row r="542">
          <cell r="A542" t="str">
            <v>US</v>
          </cell>
          <cell r="B542" t="e">
            <v>#N/A</v>
          </cell>
        </row>
        <row r="543">
          <cell r="A543" t="str">
            <v>US</v>
          </cell>
          <cell r="B543" t="e">
            <v>#N/A</v>
          </cell>
        </row>
        <row r="544">
          <cell r="A544" t="str">
            <v>US</v>
          </cell>
          <cell r="B544" t="e">
            <v>#N/A</v>
          </cell>
        </row>
        <row r="545">
          <cell r="A545" t="str">
            <v>US</v>
          </cell>
          <cell r="B545" t="e">
            <v>#N/A</v>
          </cell>
        </row>
        <row r="546">
          <cell r="A546" t="str">
            <v>US</v>
          </cell>
          <cell r="B546" t="e">
            <v>#N/A</v>
          </cell>
        </row>
        <row r="547">
          <cell r="A547" t="str">
            <v>US</v>
          </cell>
          <cell r="B547" t="e">
            <v>#N/A</v>
          </cell>
        </row>
        <row r="548">
          <cell r="A548" t="str">
            <v>US</v>
          </cell>
          <cell r="B548" t="e">
            <v>#N/A</v>
          </cell>
        </row>
        <row r="549">
          <cell r="A549" t="str">
            <v>US</v>
          </cell>
          <cell r="B549" t="e">
            <v>#N/A</v>
          </cell>
        </row>
        <row r="550">
          <cell r="A550" t="str">
            <v>US</v>
          </cell>
          <cell r="B550" t="e">
            <v>#N/A</v>
          </cell>
        </row>
        <row r="551">
          <cell r="A551" t="str">
            <v>US</v>
          </cell>
          <cell r="B551" t="e">
            <v>#N/A</v>
          </cell>
        </row>
        <row r="552">
          <cell r="A552" t="str">
            <v>US</v>
          </cell>
          <cell r="B552" t="e">
            <v>#N/A</v>
          </cell>
        </row>
        <row r="553">
          <cell r="A553" t="str">
            <v>US</v>
          </cell>
          <cell r="B553" t="e">
            <v>#N/A</v>
          </cell>
        </row>
        <row r="554">
          <cell r="A554" t="str">
            <v>US</v>
          </cell>
          <cell r="B554" t="e">
            <v>#N/A</v>
          </cell>
        </row>
        <row r="555">
          <cell r="A555" t="str">
            <v>US</v>
          </cell>
          <cell r="B555" t="e">
            <v>#N/A</v>
          </cell>
        </row>
        <row r="556">
          <cell r="A556" t="str">
            <v>US</v>
          </cell>
          <cell r="B556" t="e">
            <v>#N/A</v>
          </cell>
        </row>
        <row r="557">
          <cell r="A557" t="str">
            <v>US</v>
          </cell>
          <cell r="B557" t="e">
            <v>#N/A</v>
          </cell>
        </row>
        <row r="558">
          <cell r="A558" t="str">
            <v>US</v>
          </cell>
          <cell r="B558" t="e">
            <v>#N/A</v>
          </cell>
        </row>
        <row r="559">
          <cell r="A559" t="str">
            <v>US</v>
          </cell>
          <cell r="B559" t="e">
            <v>#N/A</v>
          </cell>
        </row>
        <row r="560">
          <cell r="A560" t="str">
            <v>US</v>
          </cell>
          <cell r="B560" t="e">
            <v>#N/A</v>
          </cell>
        </row>
        <row r="561">
          <cell r="A561" t="str">
            <v>US</v>
          </cell>
          <cell r="B561" t="e">
            <v>#N/A</v>
          </cell>
        </row>
        <row r="562">
          <cell r="A562" t="str">
            <v>US</v>
          </cell>
          <cell r="B562" t="e">
            <v>#N/A</v>
          </cell>
        </row>
        <row r="563">
          <cell r="A563" t="str">
            <v>US</v>
          </cell>
          <cell r="B563" t="e">
            <v>#N/A</v>
          </cell>
        </row>
        <row r="564">
          <cell r="A564" t="str">
            <v>US</v>
          </cell>
          <cell r="B564" t="e">
            <v>#N/A</v>
          </cell>
        </row>
        <row r="565">
          <cell r="A565" t="str">
            <v>US</v>
          </cell>
          <cell r="B565" t="e">
            <v>#N/A</v>
          </cell>
        </row>
        <row r="566">
          <cell r="A566" t="str">
            <v>US</v>
          </cell>
          <cell r="B566" t="e">
            <v>#N/A</v>
          </cell>
        </row>
        <row r="567">
          <cell r="A567" t="str">
            <v>US</v>
          </cell>
          <cell r="B567" t="e">
            <v>#N/A</v>
          </cell>
        </row>
        <row r="568">
          <cell r="A568" t="str">
            <v>US</v>
          </cell>
          <cell r="B568" t="e">
            <v>#N/A</v>
          </cell>
        </row>
        <row r="569">
          <cell r="A569" t="str">
            <v>US</v>
          </cell>
          <cell r="B569" t="e">
            <v>#N/A</v>
          </cell>
        </row>
        <row r="570">
          <cell r="A570" t="str">
            <v>US</v>
          </cell>
          <cell r="B570" t="e">
            <v>#N/A</v>
          </cell>
        </row>
        <row r="571">
          <cell r="A571" t="str">
            <v>US</v>
          </cell>
          <cell r="B571" t="e">
            <v>#N/A</v>
          </cell>
        </row>
        <row r="572">
          <cell r="A572" t="str">
            <v>US</v>
          </cell>
          <cell r="B572" t="e">
            <v>#N/A</v>
          </cell>
        </row>
        <row r="573">
          <cell r="A573" t="str">
            <v>US</v>
          </cell>
          <cell r="B573" t="e">
            <v>#N/A</v>
          </cell>
        </row>
        <row r="574">
          <cell r="A574" t="str">
            <v>US</v>
          </cell>
          <cell r="B574" t="e">
            <v>#N/A</v>
          </cell>
        </row>
        <row r="575">
          <cell r="A575" t="str">
            <v>US</v>
          </cell>
          <cell r="B575" t="e">
            <v>#N/A</v>
          </cell>
        </row>
        <row r="576">
          <cell r="A576" t="str">
            <v>US</v>
          </cell>
          <cell r="B576" t="e">
            <v>#N/A</v>
          </cell>
        </row>
        <row r="577">
          <cell r="A577" t="str">
            <v>US</v>
          </cell>
          <cell r="B577" t="e">
            <v>#N/A</v>
          </cell>
        </row>
        <row r="578">
          <cell r="A578" t="str">
            <v>US</v>
          </cell>
          <cell r="B578" t="e">
            <v>#N/A</v>
          </cell>
        </row>
        <row r="579">
          <cell r="A579" t="str">
            <v>US</v>
          </cell>
          <cell r="B579" t="e">
            <v>#N/A</v>
          </cell>
        </row>
        <row r="580">
          <cell r="A580" t="str">
            <v>US</v>
          </cell>
          <cell r="B580" t="e">
            <v>#N/A</v>
          </cell>
        </row>
        <row r="581">
          <cell r="A581" t="str">
            <v>US</v>
          </cell>
          <cell r="B581" t="e">
            <v>#N/A</v>
          </cell>
        </row>
        <row r="582">
          <cell r="A582" t="str">
            <v>US</v>
          </cell>
          <cell r="B582" t="e">
            <v>#N/A</v>
          </cell>
        </row>
        <row r="583">
          <cell r="A583" t="str">
            <v>US</v>
          </cell>
          <cell r="B583" t="e">
            <v>#N/A</v>
          </cell>
        </row>
        <row r="584">
          <cell r="A584" t="str">
            <v>US</v>
          </cell>
          <cell r="B584" t="e">
            <v>#N/A</v>
          </cell>
        </row>
        <row r="585">
          <cell r="A585" t="str">
            <v>US</v>
          </cell>
          <cell r="B585" t="e">
            <v>#N/A</v>
          </cell>
        </row>
        <row r="586">
          <cell r="A586" t="str">
            <v>US</v>
          </cell>
          <cell r="B586" t="e">
            <v>#N/A</v>
          </cell>
        </row>
        <row r="587">
          <cell r="A587" t="str">
            <v>US</v>
          </cell>
          <cell r="B587" t="e">
            <v>#N/A</v>
          </cell>
        </row>
        <row r="588">
          <cell r="A588" t="str">
            <v>US</v>
          </cell>
          <cell r="B588" t="e">
            <v>#N/A</v>
          </cell>
        </row>
        <row r="589">
          <cell r="A589" t="str">
            <v>US</v>
          </cell>
          <cell r="B589" t="e">
            <v>#N/A</v>
          </cell>
        </row>
        <row r="590">
          <cell r="A590" t="str">
            <v>US</v>
          </cell>
          <cell r="B590" t="e">
            <v>#N/A</v>
          </cell>
        </row>
        <row r="591">
          <cell r="A591" t="str">
            <v>US</v>
          </cell>
          <cell r="B591" t="e">
            <v>#N/A</v>
          </cell>
        </row>
        <row r="592">
          <cell r="A592" t="str">
            <v>US</v>
          </cell>
          <cell r="B592" t="e">
            <v>#N/A</v>
          </cell>
        </row>
        <row r="593">
          <cell r="A593" t="str">
            <v>US</v>
          </cell>
          <cell r="B593" t="e">
            <v>#N/A</v>
          </cell>
        </row>
        <row r="594">
          <cell r="A594" t="str">
            <v>US</v>
          </cell>
          <cell r="B594" t="e">
            <v>#N/A</v>
          </cell>
        </row>
        <row r="595">
          <cell r="A595" t="str">
            <v>US</v>
          </cell>
          <cell r="B595" t="e">
            <v>#N/A</v>
          </cell>
        </row>
        <row r="596">
          <cell r="A596" t="str">
            <v>US</v>
          </cell>
          <cell r="B596" t="e">
            <v>#N/A</v>
          </cell>
        </row>
        <row r="597">
          <cell r="A597" t="str">
            <v>US</v>
          </cell>
          <cell r="B597" t="e">
            <v>#N/A</v>
          </cell>
        </row>
        <row r="598">
          <cell r="A598" t="str">
            <v>US</v>
          </cell>
          <cell r="B598" t="e">
            <v>#N/A</v>
          </cell>
        </row>
        <row r="599">
          <cell r="A599" t="str">
            <v>US</v>
          </cell>
          <cell r="B599" t="e">
            <v>#N/A</v>
          </cell>
        </row>
        <row r="600">
          <cell r="A600" t="str">
            <v>US</v>
          </cell>
          <cell r="B600" t="e">
            <v>#N/A</v>
          </cell>
        </row>
        <row r="601">
          <cell r="A601" t="str">
            <v>US</v>
          </cell>
          <cell r="B601" t="e">
            <v>#N/A</v>
          </cell>
        </row>
        <row r="602">
          <cell r="A602" t="str">
            <v>US</v>
          </cell>
          <cell r="B602" t="e">
            <v>#N/A</v>
          </cell>
        </row>
        <row r="603">
          <cell r="A603" t="str">
            <v>US</v>
          </cell>
          <cell r="B603" t="e">
            <v>#N/A</v>
          </cell>
        </row>
        <row r="604">
          <cell r="A604" t="str">
            <v>US</v>
          </cell>
          <cell r="B604" t="e">
            <v>#N/A</v>
          </cell>
        </row>
        <row r="605">
          <cell r="A605" t="str">
            <v>US</v>
          </cell>
          <cell r="B605" t="e">
            <v>#N/A</v>
          </cell>
        </row>
        <row r="606">
          <cell r="A606" t="str">
            <v>US</v>
          </cell>
          <cell r="B606" t="e">
            <v>#N/A</v>
          </cell>
        </row>
        <row r="607">
          <cell r="A607" t="str">
            <v>US</v>
          </cell>
          <cell r="B607" t="e">
            <v>#N/A</v>
          </cell>
        </row>
        <row r="608">
          <cell r="A608" t="str">
            <v>US</v>
          </cell>
          <cell r="B608" t="e">
            <v>#N/A</v>
          </cell>
        </row>
        <row r="609">
          <cell r="A609" t="str">
            <v>US</v>
          </cell>
          <cell r="B609" t="e">
            <v>#N/A</v>
          </cell>
        </row>
        <row r="610">
          <cell r="A610" t="str">
            <v>US</v>
          </cell>
          <cell r="B610" t="e">
            <v>#N/A</v>
          </cell>
        </row>
        <row r="611">
          <cell r="A611" t="str">
            <v>US</v>
          </cell>
          <cell r="B611" t="e">
            <v>#N/A</v>
          </cell>
        </row>
        <row r="612">
          <cell r="A612" t="str">
            <v>US</v>
          </cell>
          <cell r="B612" t="e">
            <v>#N/A</v>
          </cell>
        </row>
        <row r="613">
          <cell r="A613" t="str">
            <v>US</v>
          </cell>
          <cell r="B613" t="e">
            <v>#N/A</v>
          </cell>
        </row>
        <row r="614">
          <cell r="A614" t="str">
            <v>US</v>
          </cell>
          <cell r="B614" t="e">
            <v>#N/A</v>
          </cell>
        </row>
        <row r="615">
          <cell r="A615" t="str">
            <v>US</v>
          </cell>
          <cell r="B615" t="e">
            <v>#N/A</v>
          </cell>
        </row>
        <row r="616">
          <cell r="A616" t="str">
            <v>US</v>
          </cell>
          <cell r="B616" t="e">
            <v>#N/A</v>
          </cell>
        </row>
        <row r="617">
          <cell r="A617" t="str">
            <v>US</v>
          </cell>
          <cell r="B617" t="e">
            <v>#N/A</v>
          </cell>
        </row>
        <row r="618">
          <cell r="A618" t="str">
            <v>US</v>
          </cell>
          <cell r="B618" t="e">
            <v>#N/A</v>
          </cell>
        </row>
        <row r="619">
          <cell r="A619" t="str">
            <v>US</v>
          </cell>
          <cell r="B619" t="e">
            <v>#N/A</v>
          </cell>
        </row>
        <row r="620">
          <cell r="A620" t="str">
            <v>US</v>
          </cell>
          <cell r="B620" t="e">
            <v>#N/A</v>
          </cell>
        </row>
        <row r="621">
          <cell r="A621" t="str">
            <v>US</v>
          </cell>
          <cell r="B621" t="e">
            <v>#N/A</v>
          </cell>
        </row>
        <row r="622">
          <cell r="A622" t="str">
            <v>US</v>
          </cell>
          <cell r="B622" t="e">
            <v>#N/A</v>
          </cell>
        </row>
        <row r="623">
          <cell r="A623" t="str">
            <v>US</v>
          </cell>
          <cell r="B623" t="e">
            <v>#N/A</v>
          </cell>
        </row>
        <row r="624">
          <cell r="A624" t="str">
            <v>US</v>
          </cell>
          <cell r="B624" t="e">
            <v>#N/A</v>
          </cell>
        </row>
        <row r="625">
          <cell r="A625" t="str">
            <v>US</v>
          </cell>
          <cell r="B625" t="e">
            <v>#N/A</v>
          </cell>
        </row>
        <row r="626">
          <cell r="A626" t="str">
            <v>US</v>
          </cell>
          <cell r="B626" t="e">
            <v>#N/A</v>
          </cell>
        </row>
        <row r="627">
          <cell r="A627" t="str">
            <v>US</v>
          </cell>
          <cell r="B627" t="e">
            <v>#N/A</v>
          </cell>
        </row>
        <row r="628">
          <cell r="A628" t="str">
            <v>US</v>
          </cell>
          <cell r="B628" t="e">
            <v>#N/A</v>
          </cell>
        </row>
        <row r="629">
          <cell r="A629" t="str">
            <v>US</v>
          </cell>
          <cell r="B629" t="e">
            <v>#N/A</v>
          </cell>
        </row>
        <row r="630">
          <cell r="A630" t="str">
            <v>US</v>
          </cell>
          <cell r="B630" t="e">
            <v>#N/A</v>
          </cell>
        </row>
        <row r="631">
          <cell r="A631" t="str">
            <v>US</v>
          </cell>
          <cell r="B631" t="e">
            <v>#N/A</v>
          </cell>
        </row>
        <row r="632">
          <cell r="A632" t="str">
            <v>US</v>
          </cell>
          <cell r="B632" t="e">
            <v>#N/A</v>
          </cell>
        </row>
        <row r="633">
          <cell r="A633" t="str">
            <v>US</v>
          </cell>
          <cell r="B633" t="e">
            <v>#N/A</v>
          </cell>
        </row>
        <row r="634">
          <cell r="A634" t="str">
            <v>US</v>
          </cell>
          <cell r="B634" t="e">
            <v>#N/A</v>
          </cell>
        </row>
        <row r="635">
          <cell r="A635" t="str">
            <v>US</v>
          </cell>
          <cell r="B635" t="e">
            <v>#N/A</v>
          </cell>
        </row>
        <row r="636">
          <cell r="A636" t="str">
            <v>US</v>
          </cell>
          <cell r="B636" t="e">
            <v>#N/A</v>
          </cell>
        </row>
        <row r="637">
          <cell r="A637" t="str">
            <v>US</v>
          </cell>
          <cell r="B637" t="e">
            <v>#N/A</v>
          </cell>
        </row>
        <row r="638">
          <cell r="A638" t="str">
            <v>US</v>
          </cell>
          <cell r="B638" t="e">
            <v>#N/A</v>
          </cell>
        </row>
        <row r="639">
          <cell r="A639" t="str">
            <v>US</v>
          </cell>
          <cell r="B639" t="e">
            <v>#N/A</v>
          </cell>
        </row>
        <row r="640">
          <cell r="A640" t="str">
            <v>US</v>
          </cell>
          <cell r="B640" t="e">
            <v>#N/A</v>
          </cell>
        </row>
        <row r="641">
          <cell r="A641" t="str">
            <v>US</v>
          </cell>
          <cell r="B641" t="e">
            <v>#N/A</v>
          </cell>
        </row>
        <row r="642">
          <cell r="A642" t="str">
            <v>US</v>
          </cell>
          <cell r="B642" t="e">
            <v>#N/A</v>
          </cell>
        </row>
        <row r="643">
          <cell r="A643" t="str">
            <v>US</v>
          </cell>
          <cell r="B643" t="e">
            <v>#N/A</v>
          </cell>
        </row>
        <row r="644">
          <cell r="A644" t="str">
            <v>US</v>
          </cell>
          <cell r="B644" t="e">
            <v>#N/A</v>
          </cell>
        </row>
        <row r="645">
          <cell r="A645" t="str">
            <v>US</v>
          </cell>
          <cell r="B645" t="e">
            <v>#N/A</v>
          </cell>
        </row>
        <row r="646">
          <cell r="A646" t="str">
            <v>US</v>
          </cell>
          <cell r="B646" t="e">
            <v>#N/A</v>
          </cell>
        </row>
        <row r="647">
          <cell r="A647" t="str">
            <v>US</v>
          </cell>
          <cell r="B647" t="e">
            <v>#N/A</v>
          </cell>
        </row>
        <row r="648">
          <cell r="A648" t="str">
            <v>US</v>
          </cell>
          <cell r="B648" t="e">
            <v>#N/A</v>
          </cell>
        </row>
        <row r="649">
          <cell r="A649" t="str">
            <v>US</v>
          </cell>
          <cell r="B649" t="e">
            <v>#N/A</v>
          </cell>
        </row>
        <row r="650">
          <cell r="A650" t="str">
            <v>US</v>
          </cell>
          <cell r="B650" t="e">
            <v>#N/A</v>
          </cell>
        </row>
        <row r="651">
          <cell r="A651" t="str">
            <v>US</v>
          </cell>
          <cell r="B651" t="e">
            <v>#N/A</v>
          </cell>
        </row>
        <row r="652">
          <cell r="A652" t="str">
            <v>US</v>
          </cell>
          <cell r="B652" t="e">
            <v>#N/A</v>
          </cell>
        </row>
        <row r="653">
          <cell r="A653" t="str">
            <v>US</v>
          </cell>
          <cell r="B653" t="e">
            <v>#N/A</v>
          </cell>
        </row>
        <row r="654">
          <cell r="A654" t="str">
            <v>US</v>
          </cell>
          <cell r="B654" t="e">
            <v>#N/A</v>
          </cell>
        </row>
        <row r="655">
          <cell r="A655" t="str">
            <v>US</v>
          </cell>
          <cell r="B655" t="e">
            <v>#N/A</v>
          </cell>
        </row>
        <row r="656">
          <cell r="A656" t="str">
            <v>US</v>
          </cell>
          <cell r="B656" t="e">
            <v>#N/A</v>
          </cell>
        </row>
        <row r="657">
          <cell r="A657" t="str">
            <v>US</v>
          </cell>
          <cell r="B657" t="e">
            <v>#N/A</v>
          </cell>
        </row>
        <row r="658">
          <cell r="A658" t="str">
            <v>US</v>
          </cell>
          <cell r="B658" t="e">
            <v>#N/A</v>
          </cell>
        </row>
        <row r="659">
          <cell r="A659" t="str">
            <v>US</v>
          </cell>
          <cell r="B659" t="e">
            <v>#N/A</v>
          </cell>
        </row>
        <row r="660">
          <cell r="A660" t="str">
            <v>US</v>
          </cell>
          <cell r="B660" t="e">
            <v>#N/A</v>
          </cell>
        </row>
        <row r="661">
          <cell r="A661" t="str">
            <v>US</v>
          </cell>
          <cell r="B661" t="e">
            <v>#N/A</v>
          </cell>
        </row>
        <row r="662">
          <cell r="A662" t="str">
            <v>US</v>
          </cell>
          <cell r="B662" t="e">
            <v>#N/A</v>
          </cell>
        </row>
        <row r="663">
          <cell r="A663" t="str">
            <v>US</v>
          </cell>
          <cell r="B663" t="e">
            <v>#N/A</v>
          </cell>
        </row>
        <row r="664">
          <cell r="A664" t="str">
            <v>US</v>
          </cell>
          <cell r="B664" t="e">
            <v>#N/A</v>
          </cell>
        </row>
        <row r="665">
          <cell r="A665" t="str">
            <v>US</v>
          </cell>
          <cell r="B665" t="e">
            <v>#N/A</v>
          </cell>
        </row>
        <row r="666">
          <cell r="A666" t="str">
            <v>US</v>
          </cell>
          <cell r="B666" t="e">
            <v>#N/A</v>
          </cell>
        </row>
        <row r="667">
          <cell r="A667" t="str">
            <v>US</v>
          </cell>
          <cell r="B667" t="e">
            <v>#N/A</v>
          </cell>
        </row>
        <row r="668">
          <cell r="A668" t="str">
            <v>US</v>
          </cell>
          <cell r="B668" t="e">
            <v>#N/A</v>
          </cell>
        </row>
        <row r="669">
          <cell r="A669" t="str">
            <v>US</v>
          </cell>
          <cell r="B669" t="e">
            <v>#N/A</v>
          </cell>
        </row>
        <row r="670">
          <cell r="A670" t="str">
            <v>US</v>
          </cell>
          <cell r="B670" t="e">
            <v>#N/A</v>
          </cell>
        </row>
        <row r="671">
          <cell r="A671" t="str">
            <v>US</v>
          </cell>
          <cell r="B671" t="e">
            <v>#N/A</v>
          </cell>
        </row>
        <row r="672">
          <cell r="A672" t="str">
            <v>US</v>
          </cell>
          <cell r="B672" t="e">
            <v>#N/A</v>
          </cell>
        </row>
        <row r="673">
          <cell r="A673" t="str">
            <v>US</v>
          </cell>
          <cell r="B673" t="e">
            <v>#N/A</v>
          </cell>
        </row>
        <row r="674">
          <cell r="A674" t="str">
            <v>US</v>
          </cell>
          <cell r="B674" t="e">
            <v>#N/A</v>
          </cell>
        </row>
        <row r="675">
          <cell r="A675" t="str">
            <v>US</v>
          </cell>
          <cell r="B675" t="e">
            <v>#N/A</v>
          </cell>
        </row>
        <row r="676">
          <cell r="A676" t="str">
            <v>US</v>
          </cell>
          <cell r="B676" t="e">
            <v>#N/A</v>
          </cell>
        </row>
        <row r="677">
          <cell r="A677" t="str">
            <v>US</v>
          </cell>
          <cell r="B677" t="e">
            <v>#N/A</v>
          </cell>
        </row>
        <row r="678">
          <cell r="A678" t="str">
            <v>US</v>
          </cell>
          <cell r="B678" t="e">
            <v>#N/A</v>
          </cell>
        </row>
        <row r="679">
          <cell r="A679" t="str">
            <v>US</v>
          </cell>
          <cell r="B679" t="e">
            <v>#N/A</v>
          </cell>
        </row>
        <row r="680">
          <cell r="A680" t="str">
            <v>US</v>
          </cell>
          <cell r="B680" t="e">
            <v>#N/A</v>
          </cell>
        </row>
        <row r="681">
          <cell r="A681" t="str">
            <v>US</v>
          </cell>
          <cell r="B681" t="e">
            <v>#N/A</v>
          </cell>
        </row>
        <row r="682">
          <cell r="A682" t="str">
            <v>US</v>
          </cell>
          <cell r="B682" t="e">
            <v>#N/A</v>
          </cell>
        </row>
        <row r="683">
          <cell r="A683" t="str">
            <v>US</v>
          </cell>
          <cell r="B683" t="e">
            <v>#N/A</v>
          </cell>
        </row>
        <row r="684">
          <cell r="A684" t="str">
            <v>US</v>
          </cell>
          <cell r="B684" t="e">
            <v>#N/A</v>
          </cell>
        </row>
        <row r="685">
          <cell r="A685" t="str">
            <v>US</v>
          </cell>
          <cell r="B685" t="e">
            <v>#N/A</v>
          </cell>
        </row>
        <row r="686">
          <cell r="A686" t="str">
            <v>US</v>
          </cell>
          <cell r="B686" t="e">
            <v>#N/A</v>
          </cell>
        </row>
        <row r="687">
          <cell r="A687" t="str">
            <v>US</v>
          </cell>
          <cell r="B687" t="e">
            <v>#N/A</v>
          </cell>
        </row>
        <row r="688">
          <cell r="A688" t="str">
            <v>US</v>
          </cell>
          <cell r="B688" t="e">
            <v>#N/A</v>
          </cell>
        </row>
        <row r="689">
          <cell r="A689" t="str">
            <v>US</v>
          </cell>
          <cell r="B689" t="e">
            <v>#N/A</v>
          </cell>
        </row>
        <row r="690">
          <cell r="A690" t="str">
            <v>US</v>
          </cell>
          <cell r="B690" t="e">
            <v>#N/A</v>
          </cell>
        </row>
        <row r="691">
          <cell r="A691" t="str">
            <v>US</v>
          </cell>
          <cell r="B691" t="e">
            <v>#N/A</v>
          </cell>
        </row>
        <row r="692">
          <cell r="A692" t="str">
            <v>US</v>
          </cell>
          <cell r="B692" t="e">
            <v>#N/A</v>
          </cell>
        </row>
        <row r="693">
          <cell r="A693" t="str">
            <v>US</v>
          </cell>
          <cell r="B693" t="e">
            <v>#N/A</v>
          </cell>
        </row>
        <row r="694">
          <cell r="A694" t="str">
            <v>US</v>
          </cell>
          <cell r="B694" t="e">
            <v>#N/A</v>
          </cell>
        </row>
        <row r="695">
          <cell r="A695" t="str">
            <v>US</v>
          </cell>
          <cell r="B695" t="e">
            <v>#N/A</v>
          </cell>
        </row>
        <row r="696">
          <cell r="A696" t="str">
            <v>US</v>
          </cell>
          <cell r="B696" t="e">
            <v>#N/A</v>
          </cell>
        </row>
        <row r="697">
          <cell r="A697" t="str">
            <v>US</v>
          </cell>
          <cell r="B697" t="e">
            <v>#N/A</v>
          </cell>
        </row>
        <row r="698">
          <cell r="A698" t="str">
            <v>US</v>
          </cell>
          <cell r="B698" t="e">
            <v>#N/A</v>
          </cell>
        </row>
        <row r="699">
          <cell r="A699" t="str">
            <v>US</v>
          </cell>
          <cell r="B699" t="e">
            <v>#N/A</v>
          </cell>
        </row>
        <row r="700">
          <cell r="A700" t="str">
            <v>US</v>
          </cell>
          <cell r="B700" t="e">
            <v>#N/A</v>
          </cell>
        </row>
        <row r="701">
          <cell r="A701" t="str">
            <v>US</v>
          </cell>
          <cell r="B701" t="e">
            <v>#N/A</v>
          </cell>
        </row>
        <row r="702">
          <cell r="A702" t="str">
            <v>US</v>
          </cell>
          <cell r="B702" t="e">
            <v>#N/A</v>
          </cell>
        </row>
        <row r="703">
          <cell r="A703" t="str">
            <v>US</v>
          </cell>
          <cell r="B703" t="e">
            <v>#N/A</v>
          </cell>
        </row>
        <row r="704">
          <cell r="A704" t="str">
            <v>US</v>
          </cell>
          <cell r="B704" t="e">
            <v>#N/A</v>
          </cell>
        </row>
        <row r="705">
          <cell r="A705" t="str">
            <v>US</v>
          </cell>
          <cell r="B705" t="e">
            <v>#N/A</v>
          </cell>
        </row>
        <row r="706">
          <cell r="A706" t="str">
            <v>US</v>
          </cell>
          <cell r="B706" t="e">
            <v>#N/A</v>
          </cell>
        </row>
        <row r="707">
          <cell r="A707" t="str">
            <v>US</v>
          </cell>
          <cell r="B707" t="e">
            <v>#N/A</v>
          </cell>
        </row>
        <row r="708">
          <cell r="A708" t="str">
            <v>US</v>
          </cell>
          <cell r="B708" t="e">
            <v>#N/A</v>
          </cell>
        </row>
        <row r="709">
          <cell r="A709" t="str">
            <v>US</v>
          </cell>
          <cell r="B709" t="e">
            <v>#N/A</v>
          </cell>
        </row>
        <row r="710">
          <cell r="A710" t="str">
            <v>US</v>
          </cell>
          <cell r="B710" t="e">
            <v>#N/A</v>
          </cell>
        </row>
        <row r="711">
          <cell r="A711" t="str">
            <v>US</v>
          </cell>
          <cell r="B711" t="e">
            <v>#N/A</v>
          </cell>
        </row>
        <row r="712">
          <cell r="A712" t="str">
            <v>US</v>
          </cell>
          <cell r="B712" t="e">
            <v>#N/A</v>
          </cell>
        </row>
        <row r="713">
          <cell r="A713" t="str">
            <v>US</v>
          </cell>
          <cell r="B713" t="e">
            <v>#N/A</v>
          </cell>
        </row>
        <row r="714">
          <cell r="A714" t="str">
            <v>US</v>
          </cell>
          <cell r="B714" t="e">
            <v>#N/A</v>
          </cell>
        </row>
        <row r="715">
          <cell r="A715" t="str">
            <v>US</v>
          </cell>
          <cell r="B715" t="e">
            <v>#N/A</v>
          </cell>
        </row>
        <row r="716">
          <cell r="A716" t="str">
            <v>US</v>
          </cell>
          <cell r="B716" t="e">
            <v>#N/A</v>
          </cell>
        </row>
        <row r="717">
          <cell r="A717" t="str">
            <v>US</v>
          </cell>
          <cell r="B717" t="e">
            <v>#N/A</v>
          </cell>
        </row>
        <row r="718">
          <cell r="A718" t="str">
            <v>US</v>
          </cell>
          <cell r="B718" t="e">
            <v>#N/A</v>
          </cell>
        </row>
        <row r="719">
          <cell r="A719" t="str">
            <v>US</v>
          </cell>
          <cell r="B719" t="e">
            <v>#N/A</v>
          </cell>
        </row>
        <row r="720">
          <cell r="A720" t="str">
            <v>US</v>
          </cell>
          <cell r="B720" t="e">
            <v>#N/A</v>
          </cell>
        </row>
        <row r="721">
          <cell r="A721" t="str">
            <v>US</v>
          </cell>
          <cell r="B721" t="e">
            <v>#N/A</v>
          </cell>
        </row>
        <row r="722">
          <cell r="A722" t="str">
            <v>US</v>
          </cell>
          <cell r="B722" t="e">
            <v>#N/A</v>
          </cell>
        </row>
        <row r="723">
          <cell r="A723" t="str">
            <v>US</v>
          </cell>
          <cell r="B723" t="e">
            <v>#N/A</v>
          </cell>
        </row>
        <row r="724">
          <cell r="A724" t="str">
            <v>US</v>
          </cell>
          <cell r="B724" t="e">
            <v>#N/A</v>
          </cell>
        </row>
        <row r="725">
          <cell r="A725" t="str">
            <v>US</v>
          </cell>
          <cell r="B725" t="e">
            <v>#N/A</v>
          </cell>
        </row>
        <row r="726">
          <cell r="A726" t="str">
            <v>US</v>
          </cell>
          <cell r="B726" t="e">
            <v>#N/A</v>
          </cell>
        </row>
        <row r="727">
          <cell r="A727" t="str">
            <v>US</v>
          </cell>
          <cell r="B727" t="e">
            <v>#N/A</v>
          </cell>
        </row>
        <row r="728">
          <cell r="A728" t="str">
            <v>US</v>
          </cell>
          <cell r="B728" t="e">
            <v>#N/A</v>
          </cell>
        </row>
        <row r="729">
          <cell r="A729" t="str">
            <v>US</v>
          </cell>
          <cell r="B729" t="e">
            <v>#N/A</v>
          </cell>
        </row>
        <row r="730">
          <cell r="A730" t="str">
            <v>US</v>
          </cell>
          <cell r="B730" t="e">
            <v>#N/A</v>
          </cell>
        </row>
        <row r="731">
          <cell r="A731" t="str">
            <v>US</v>
          </cell>
          <cell r="B731" t="e">
            <v>#N/A</v>
          </cell>
        </row>
        <row r="732">
          <cell r="A732" t="str">
            <v>US</v>
          </cell>
          <cell r="B732" t="e">
            <v>#N/A</v>
          </cell>
        </row>
        <row r="733">
          <cell r="A733" t="str">
            <v>US</v>
          </cell>
          <cell r="B733" t="e">
            <v>#N/A</v>
          </cell>
        </row>
        <row r="734">
          <cell r="A734" t="str">
            <v>US</v>
          </cell>
          <cell r="B734" t="e">
            <v>#N/A</v>
          </cell>
        </row>
        <row r="735">
          <cell r="A735" t="str">
            <v>US</v>
          </cell>
          <cell r="B735" t="e">
            <v>#N/A</v>
          </cell>
        </row>
        <row r="736">
          <cell r="A736" t="str">
            <v>US</v>
          </cell>
          <cell r="B736" t="e">
            <v>#N/A</v>
          </cell>
        </row>
        <row r="737">
          <cell r="A737" t="str">
            <v>US</v>
          </cell>
          <cell r="B737" t="e">
            <v>#N/A</v>
          </cell>
        </row>
        <row r="738">
          <cell r="A738" t="str">
            <v>US</v>
          </cell>
          <cell r="B738" t="e">
            <v>#N/A</v>
          </cell>
        </row>
        <row r="739">
          <cell r="A739" t="str">
            <v>US</v>
          </cell>
          <cell r="B739" t="e">
            <v>#N/A</v>
          </cell>
        </row>
        <row r="740">
          <cell r="A740" t="str">
            <v>US</v>
          </cell>
          <cell r="B740" t="e">
            <v>#N/A</v>
          </cell>
        </row>
        <row r="741">
          <cell r="A741" t="str">
            <v>US</v>
          </cell>
          <cell r="B741" t="e">
            <v>#N/A</v>
          </cell>
        </row>
        <row r="742">
          <cell r="A742" t="str">
            <v>US</v>
          </cell>
          <cell r="B742" t="e">
            <v>#N/A</v>
          </cell>
        </row>
        <row r="743">
          <cell r="A743" t="str">
            <v>US</v>
          </cell>
          <cell r="B743" t="e">
            <v>#N/A</v>
          </cell>
        </row>
        <row r="744">
          <cell r="A744" t="str">
            <v>US</v>
          </cell>
          <cell r="B744" t="e">
            <v>#N/A</v>
          </cell>
        </row>
        <row r="745">
          <cell r="A745" t="str">
            <v>US</v>
          </cell>
          <cell r="B745" t="e">
            <v>#N/A</v>
          </cell>
        </row>
        <row r="746">
          <cell r="A746" t="str">
            <v>US</v>
          </cell>
          <cell r="B746" t="e">
            <v>#N/A</v>
          </cell>
        </row>
        <row r="747">
          <cell r="A747" t="str">
            <v>US</v>
          </cell>
          <cell r="B747" t="e">
            <v>#N/A</v>
          </cell>
        </row>
        <row r="748">
          <cell r="A748" t="str">
            <v>US</v>
          </cell>
          <cell r="B748" t="e">
            <v>#N/A</v>
          </cell>
        </row>
        <row r="749">
          <cell r="A749" t="str">
            <v>US</v>
          </cell>
          <cell r="B749" t="e">
            <v>#N/A</v>
          </cell>
        </row>
        <row r="750">
          <cell r="A750" t="str">
            <v>US</v>
          </cell>
          <cell r="B750" t="e">
            <v>#N/A</v>
          </cell>
        </row>
        <row r="751">
          <cell r="A751" t="str">
            <v>US</v>
          </cell>
          <cell r="B751" t="e">
            <v>#N/A</v>
          </cell>
        </row>
        <row r="752">
          <cell r="A752" t="str">
            <v>US</v>
          </cell>
          <cell r="B752" t="e">
            <v>#N/A</v>
          </cell>
        </row>
        <row r="753">
          <cell r="A753" t="str">
            <v>US</v>
          </cell>
          <cell r="B753" t="e">
            <v>#N/A</v>
          </cell>
        </row>
        <row r="754">
          <cell r="A754" t="str">
            <v>US</v>
          </cell>
          <cell r="B754" t="e">
            <v>#N/A</v>
          </cell>
        </row>
        <row r="755">
          <cell r="A755" t="str">
            <v>US</v>
          </cell>
          <cell r="B755" t="e">
            <v>#N/A</v>
          </cell>
        </row>
        <row r="756">
          <cell r="A756" t="str">
            <v>US</v>
          </cell>
          <cell r="B756" t="e">
            <v>#N/A</v>
          </cell>
        </row>
        <row r="757">
          <cell r="A757" t="str">
            <v>US</v>
          </cell>
          <cell r="B757" t="e">
            <v>#N/A</v>
          </cell>
        </row>
        <row r="758">
          <cell r="A758" t="str">
            <v>US</v>
          </cell>
          <cell r="B758" t="e">
            <v>#N/A</v>
          </cell>
        </row>
        <row r="759">
          <cell r="A759" t="str">
            <v>US</v>
          </cell>
          <cell r="B759" t="e">
            <v>#N/A</v>
          </cell>
        </row>
        <row r="760">
          <cell r="A760" t="str">
            <v>US</v>
          </cell>
          <cell r="B760" t="e">
            <v>#N/A</v>
          </cell>
        </row>
        <row r="761">
          <cell r="A761" t="str">
            <v>US</v>
          </cell>
          <cell r="B761" t="e">
            <v>#N/A</v>
          </cell>
        </row>
        <row r="762">
          <cell r="A762" t="str">
            <v>US</v>
          </cell>
          <cell r="B762" t="e">
            <v>#N/A</v>
          </cell>
        </row>
        <row r="763">
          <cell r="A763" t="str">
            <v>US</v>
          </cell>
          <cell r="B763" t="e">
            <v>#N/A</v>
          </cell>
        </row>
        <row r="764">
          <cell r="A764" t="str">
            <v>US</v>
          </cell>
          <cell r="B764" t="e">
            <v>#N/A</v>
          </cell>
        </row>
        <row r="765">
          <cell r="A765" t="str">
            <v>US</v>
          </cell>
          <cell r="B765" t="e">
            <v>#N/A</v>
          </cell>
        </row>
        <row r="766">
          <cell r="A766" t="str">
            <v>US</v>
          </cell>
          <cell r="B766" t="e">
            <v>#N/A</v>
          </cell>
        </row>
        <row r="767">
          <cell r="A767" t="str">
            <v>US</v>
          </cell>
          <cell r="B767" t="e">
            <v>#N/A</v>
          </cell>
        </row>
        <row r="768">
          <cell r="A768" t="str">
            <v>US</v>
          </cell>
          <cell r="B768" t="e">
            <v>#N/A</v>
          </cell>
        </row>
        <row r="769">
          <cell r="A769" t="str">
            <v>US</v>
          </cell>
          <cell r="B769" t="e">
            <v>#N/A</v>
          </cell>
        </row>
        <row r="770">
          <cell r="A770" t="str">
            <v>US</v>
          </cell>
          <cell r="B770" t="e">
            <v>#N/A</v>
          </cell>
        </row>
        <row r="771">
          <cell r="A771" t="str">
            <v>US</v>
          </cell>
          <cell r="B771" t="e">
            <v>#N/A</v>
          </cell>
        </row>
        <row r="772">
          <cell r="A772" t="str">
            <v>US</v>
          </cell>
          <cell r="B772" t="e">
            <v>#N/A</v>
          </cell>
        </row>
        <row r="773">
          <cell r="A773" t="str">
            <v>US</v>
          </cell>
          <cell r="B773" t="e">
            <v>#N/A</v>
          </cell>
        </row>
        <row r="774">
          <cell r="A774" t="str">
            <v>US</v>
          </cell>
          <cell r="B774" t="e">
            <v>#N/A</v>
          </cell>
        </row>
        <row r="775">
          <cell r="A775" t="str">
            <v>US</v>
          </cell>
          <cell r="B775" t="e">
            <v>#N/A</v>
          </cell>
        </row>
        <row r="776">
          <cell r="A776" t="str">
            <v>US</v>
          </cell>
          <cell r="B776" t="e">
            <v>#N/A</v>
          </cell>
        </row>
        <row r="777">
          <cell r="A777" t="str">
            <v>US</v>
          </cell>
          <cell r="B777" t="e">
            <v>#N/A</v>
          </cell>
        </row>
        <row r="778">
          <cell r="A778" t="str">
            <v>US</v>
          </cell>
          <cell r="B778" t="e">
            <v>#N/A</v>
          </cell>
        </row>
        <row r="779">
          <cell r="A779" t="str">
            <v>US</v>
          </cell>
          <cell r="B779" t="e">
            <v>#N/A</v>
          </cell>
        </row>
        <row r="780">
          <cell r="A780" t="str">
            <v>US</v>
          </cell>
          <cell r="B780" t="e">
            <v>#N/A</v>
          </cell>
        </row>
        <row r="781">
          <cell r="A781" t="str">
            <v>US</v>
          </cell>
          <cell r="B781" t="e">
            <v>#N/A</v>
          </cell>
        </row>
        <row r="782">
          <cell r="A782" t="str">
            <v>US</v>
          </cell>
          <cell r="B782" t="e">
            <v>#N/A</v>
          </cell>
        </row>
        <row r="783">
          <cell r="A783" t="str">
            <v>US</v>
          </cell>
          <cell r="B783" t="e">
            <v>#N/A</v>
          </cell>
        </row>
        <row r="784">
          <cell r="A784" t="str">
            <v>US</v>
          </cell>
          <cell r="B784" t="e">
            <v>#N/A</v>
          </cell>
        </row>
        <row r="785">
          <cell r="A785" t="str">
            <v>US</v>
          </cell>
          <cell r="B785" t="e">
            <v>#N/A</v>
          </cell>
        </row>
        <row r="786">
          <cell r="A786" t="str">
            <v>US</v>
          </cell>
          <cell r="B786" t="e">
            <v>#N/A</v>
          </cell>
        </row>
        <row r="787">
          <cell r="A787" t="str">
            <v>US</v>
          </cell>
          <cell r="B787" t="e">
            <v>#N/A</v>
          </cell>
        </row>
        <row r="788">
          <cell r="A788" t="str">
            <v>US</v>
          </cell>
          <cell r="B788" t="e">
            <v>#N/A</v>
          </cell>
        </row>
        <row r="789">
          <cell r="A789" t="str">
            <v>US</v>
          </cell>
          <cell r="B789" t="e">
            <v>#N/A</v>
          </cell>
        </row>
        <row r="790">
          <cell r="A790" t="str">
            <v>US</v>
          </cell>
          <cell r="B790" t="e">
            <v>#N/A</v>
          </cell>
        </row>
        <row r="791">
          <cell r="A791" t="str">
            <v>US</v>
          </cell>
          <cell r="B791" t="e">
            <v>#N/A</v>
          </cell>
        </row>
        <row r="792">
          <cell r="A792" t="str">
            <v>US</v>
          </cell>
          <cell r="B792" t="e">
            <v>#N/A</v>
          </cell>
        </row>
        <row r="793">
          <cell r="A793" t="str">
            <v>US</v>
          </cell>
          <cell r="B793" t="e">
            <v>#N/A</v>
          </cell>
        </row>
        <row r="794">
          <cell r="A794" t="str">
            <v>US</v>
          </cell>
          <cell r="B794" t="e">
            <v>#N/A</v>
          </cell>
        </row>
        <row r="795">
          <cell r="A795" t="str">
            <v>US</v>
          </cell>
          <cell r="B795" t="e">
            <v>#N/A</v>
          </cell>
        </row>
        <row r="796">
          <cell r="A796" t="str">
            <v>US</v>
          </cell>
          <cell r="B796" t="e">
            <v>#N/A</v>
          </cell>
        </row>
        <row r="797">
          <cell r="A797" t="str">
            <v>US</v>
          </cell>
          <cell r="B797" t="e">
            <v>#N/A</v>
          </cell>
        </row>
        <row r="798">
          <cell r="A798" t="str">
            <v>US</v>
          </cell>
          <cell r="B798" t="e">
            <v>#N/A</v>
          </cell>
        </row>
        <row r="799">
          <cell r="A799" t="str">
            <v>US</v>
          </cell>
          <cell r="B799" t="e">
            <v>#N/A</v>
          </cell>
        </row>
        <row r="800">
          <cell r="A800" t="str">
            <v>US</v>
          </cell>
          <cell r="B800" t="e">
            <v>#N/A</v>
          </cell>
        </row>
        <row r="801">
          <cell r="A801" t="str">
            <v>US</v>
          </cell>
          <cell r="B801" t="e">
            <v>#N/A</v>
          </cell>
        </row>
        <row r="802">
          <cell r="A802" t="str">
            <v>US</v>
          </cell>
          <cell r="B802" t="e">
            <v>#N/A</v>
          </cell>
        </row>
        <row r="803">
          <cell r="A803" t="str">
            <v>US</v>
          </cell>
          <cell r="B803" t="e">
            <v>#N/A</v>
          </cell>
        </row>
        <row r="804">
          <cell r="A804" t="str">
            <v>US</v>
          </cell>
          <cell r="B804" t="e">
            <v>#N/A</v>
          </cell>
        </row>
        <row r="805">
          <cell r="A805" t="str">
            <v>US</v>
          </cell>
          <cell r="B805" t="e">
            <v>#N/A</v>
          </cell>
        </row>
        <row r="806">
          <cell r="A806" t="str">
            <v>US</v>
          </cell>
          <cell r="B806" t="e">
            <v>#N/A</v>
          </cell>
        </row>
        <row r="807">
          <cell r="A807" t="str">
            <v>US</v>
          </cell>
          <cell r="B807" t="e">
            <v>#N/A</v>
          </cell>
        </row>
        <row r="808">
          <cell r="A808" t="str">
            <v>US</v>
          </cell>
          <cell r="B808" t="e">
            <v>#N/A</v>
          </cell>
        </row>
        <row r="809">
          <cell r="A809" t="str">
            <v>US</v>
          </cell>
          <cell r="B809" t="e">
            <v>#N/A</v>
          </cell>
        </row>
        <row r="810">
          <cell r="A810" t="str">
            <v>US</v>
          </cell>
          <cell r="B810" t="e">
            <v>#N/A</v>
          </cell>
        </row>
        <row r="811">
          <cell r="A811" t="str">
            <v>US</v>
          </cell>
          <cell r="B811" t="e">
            <v>#N/A</v>
          </cell>
        </row>
        <row r="812">
          <cell r="A812" t="str">
            <v>US</v>
          </cell>
          <cell r="B812" t="e">
            <v>#N/A</v>
          </cell>
        </row>
        <row r="813">
          <cell r="A813" t="str">
            <v>US</v>
          </cell>
          <cell r="B813" t="e">
            <v>#N/A</v>
          </cell>
        </row>
        <row r="814">
          <cell r="A814" t="str">
            <v>US</v>
          </cell>
          <cell r="B814" t="e">
            <v>#N/A</v>
          </cell>
        </row>
        <row r="815">
          <cell r="A815" t="str">
            <v>US</v>
          </cell>
          <cell r="B815" t="e">
            <v>#N/A</v>
          </cell>
        </row>
        <row r="816">
          <cell r="A816" t="str">
            <v>US</v>
          </cell>
          <cell r="B816" t="e">
            <v>#N/A</v>
          </cell>
        </row>
        <row r="817">
          <cell r="A817" t="str">
            <v>US</v>
          </cell>
          <cell r="B817" t="e">
            <v>#N/A</v>
          </cell>
        </row>
        <row r="818">
          <cell r="A818" t="str">
            <v>US</v>
          </cell>
          <cell r="B818" t="e">
            <v>#N/A</v>
          </cell>
        </row>
        <row r="819">
          <cell r="A819" t="str">
            <v>US</v>
          </cell>
          <cell r="B819" t="e">
            <v>#N/A</v>
          </cell>
        </row>
        <row r="820">
          <cell r="A820" t="str">
            <v>US</v>
          </cell>
          <cell r="B820" t="e">
            <v>#N/A</v>
          </cell>
        </row>
        <row r="821">
          <cell r="A821" t="str">
            <v>US</v>
          </cell>
          <cell r="B821" t="e">
            <v>#N/A</v>
          </cell>
        </row>
        <row r="822">
          <cell r="A822" t="str">
            <v>US</v>
          </cell>
          <cell r="B822" t="e">
            <v>#N/A</v>
          </cell>
        </row>
        <row r="823">
          <cell r="A823" t="str">
            <v>US</v>
          </cell>
          <cell r="B823" t="e">
            <v>#N/A</v>
          </cell>
        </row>
        <row r="824">
          <cell r="A824" t="str">
            <v>US</v>
          </cell>
          <cell r="B824" t="e">
            <v>#N/A</v>
          </cell>
        </row>
        <row r="825">
          <cell r="A825" t="str">
            <v>US</v>
          </cell>
          <cell r="B825" t="e">
            <v>#N/A</v>
          </cell>
        </row>
        <row r="826">
          <cell r="A826" t="str">
            <v>US</v>
          </cell>
          <cell r="B826" t="e">
            <v>#N/A</v>
          </cell>
        </row>
        <row r="827">
          <cell r="A827" t="str">
            <v>US</v>
          </cell>
          <cell r="B827" t="e">
            <v>#N/A</v>
          </cell>
        </row>
        <row r="828">
          <cell r="A828" t="str">
            <v>US</v>
          </cell>
          <cell r="B828" t="e">
            <v>#N/A</v>
          </cell>
        </row>
        <row r="829">
          <cell r="A829" t="str">
            <v>US</v>
          </cell>
          <cell r="B829" t="e">
            <v>#N/A</v>
          </cell>
        </row>
        <row r="830">
          <cell r="A830" t="str">
            <v>US</v>
          </cell>
          <cell r="B830" t="e">
            <v>#N/A</v>
          </cell>
        </row>
        <row r="831">
          <cell r="A831" t="str">
            <v>US</v>
          </cell>
          <cell r="B831" t="e">
            <v>#N/A</v>
          </cell>
        </row>
        <row r="832">
          <cell r="A832" t="str">
            <v>US</v>
          </cell>
          <cell r="B832" t="e">
            <v>#N/A</v>
          </cell>
        </row>
        <row r="833">
          <cell r="A833" t="str">
            <v>US</v>
          </cell>
          <cell r="B833" t="e">
            <v>#N/A</v>
          </cell>
        </row>
        <row r="834">
          <cell r="A834" t="str">
            <v>US</v>
          </cell>
          <cell r="B834" t="e">
            <v>#N/A</v>
          </cell>
        </row>
        <row r="835">
          <cell r="A835" t="str">
            <v>US</v>
          </cell>
          <cell r="B835" t="e">
            <v>#N/A</v>
          </cell>
        </row>
        <row r="836">
          <cell r="A836" t="str">
            <v>US</v>
          </cell>
          <cell r="B836" t="e">
            <v>#N/A</v>
          </cell>
        </row>
        <row r="837">
          <cell r="A837" t="str">
            <v>US</v>
          </cell>
          <cell r="B837" t="e">
            <v>#N/A</v>
          </cell>
        </row>
        <row r="838">
          <cell r="A838" t="str">
            <v>US</v>
          </cell>
          <cell r="B838" t="e">
            <v>#N/A</v>
          </cell>
        </row>
        <row r="839">
          <cell r="A839" t="str">
            <v>US</v>
          </cell>
          <cell r="B839" t="e">
            <v>#N/A</v>
          </cell>
        </row>
        <row r="840">
          <cell r="A840" t="str">
            <v>US</v>
          </cell>
          <cell r="B840" t="e">
            <v>#N/A</v>
          </cell>
        </row>
        <row r="841">
          <cell r="A841" t="str">
            <v>US</v>
          </cell>
          <cell r="B841" t="e">
            <v>#N/A</v>
          </cell>
        </row>
        <row r="842">
          <cell r="A842" t="str">
            <v>US</v>
          </cell>
          <cell r="B842" t="e">
            <v>#N/A</v>
          </cell>
        </row>
        <row r="843">
          <cell r="A843" t="str">
            <v>US</v>
          </cell>
          <cell r="B843" t="e">
            <v>#N/A</v>
          </cell>
        </row>
        <row r="844">
          <cell r="A844" t="str">
            <v>US</v>
          </cell>
          <cell r="B844" t="e">
            <v>#N/A</v>
          </cell>
        </row>
        <row r="845">
          <cell r="A845" t="str">
            <v>US</v>
          </cell>
          <cell r="B845" t="e">
            <v>#N/A</v>
          </cell>
        </row>
        <row r="846">
          <cell r="A846" t="str">
            <v>US</v>
          </cell>
          <cell r="B846" t="e">
            <v>#N/A</v>
          </cell>
        </row>
        <row r="847">
          <cell r="A847" t="str">
            <v>US</v>
          </cell>
          <cell r="B847" t="e">
            <v>#N/A</v>
          </cell>
        </row>
        <row r="848">
          <cell r="A848" t="str">
            <v>US</v>
          </cell>
          <cell r="B848" t="e">
            <v>#N/A</v>
          </cell>
        </row>
        <row r="849">
          <cell r="A849" t="str">
            <v>US</v>
          </cell>
          <cell r="B849" t="e">
            <v>#N/A</v>
          </cell>
        </row>
        <row r="850">
          <cell r="A850" t="str">
            <v>US</v>
          </cell>
          <cell r="B850" t="e">
            <v>#N/A</v>
          </cell>
        </row>
        <row r="851">
          <cell r="A851" t="str">
            <v>US</v>
          </cell>
          <cell r="B851" t="e">
            <v>#N/A</v>
          </cell>
        </row>
        <row r="852">
          <cell r="A852" t="str">
            <v>US</v>
          </cell>
          <cell r="B852" t="e">
            <v>#N/A</v>
          </cell>
        </row>
        <row r="853">
          <cell r="A853" t="str">
            <v>US</v>
          </cell>
          <cell r="B853" t="e">
            <v>#N/A</v>
          </cell>
        </row>
        <row r="854">
          <cell r="A854" t="str">
            <v>US</v>
          </cell>
          <cell r="B854" t="e">
            <v>#N/A</v>
          </cell>
        </row>
        <row r="855">
          <cell r="A855" t="str">
            <v>US</v>
          </cell>
          <cell r="B855" t="e">
            <v>#N/A</v>
          </cell>
        </row>
        <row r="856">
          <cell r="A856" t="str">
            <v>US</v>
          </cell>
          <cell r="B856" t="e">
            <v>#N/A</v>
          </cell>
        </row>
        <row r="857">
          <cell r="A857" t="str">
            <v>US</v>
          </cell>
          <cell r="B857" t="e">
            <v>#N/A</v>
          </cell>
        </row>
        <row r="858">
          <cell r="A858" t="str">
            <v>US</v>
          </cell>
          <cell r="B858" t="e">
            <v>#N/A</v>
          </cell>
        </row>
        <row r="859">
          <cell r="A859" t="str">
            <v>US</v>
          </cell>
          <cell r="B859" t="e">
            <v>#N/A</v>
          </cell>
        </row>
        <row r="860">
          <cell r="A860" t="str">
            <v>US</v>
          </cell>
          <cell r="B860" t="e">
            <v>#N/A</v>
          </cell>
        </row>
        <row r="861">
          <cell r="A861" t="str">
            <v>US</v>
          </cell>
          <cell r="B861" t="e">
            <v>#N/A</v>
          </cell>
        </row>
        <row r="862">
          <cell r="A862" t="str">
            <v>US</v>
          </cell>
          <cell r="B862" t="e">
            <v>#N/A</v>
          </cell>
        </row>
        <row r="863">
          <cell r="A863" t="str">
            <v>US</v>
          </cell>
          <cell r="B863" t="e">
            <v>#N/A</v>
          </cell>
        </row>
        <row r="864">
          <cell r="A864" t="str">
            <v>US</v>
          </cell>
          <cell r="B864" t="e">
            <v>#N/A</v>
          </cell>
        </row>
        <row r="865">
          <cell r="A865" t="str">
            <v>US</v>
          </cell>
          <cell r="B865" t="e">
            <v>#N/A</v>
          </cell>
        </row>
        <row r="866">
          <cell r="A866" t="str">
            <v>US</v>
          </cell>
          <cell r="B866" t="e">
            <v>#N/A</v>
          </cell>
        </row>
        <row r="867">
          <cell r="A867" t="str">
            <v>US</v>
          </cell>
          <cell r="B867" t="e">
            <v>#N/A</v>
          </cell>
        </row>
        <row r="868">
          <cell r="A868" t="str">
            <v>US</v>
          </cell>
          <cell r="B868" t="e">
            <v>#N/A</v>
          </cell>
        </row>
        <row r="869">
          <cell r="A869" t="str">
            <v>US</v>
          </cell>
          <cell r="B869" t="e">
            <v>#N/A</v>
          </cell>
        </row>
        <row r="870">
          <cell r="A870" t="str">
            <v>US</v>
          </cell>
          <cell r="B870" t="e">
            <v>#N/A</v>
          </cell>
        </row>
        <row r="871">
          <cell r="A871" t="str">
            <v>US</v>
          </cell>
          <cell r="B871" t="e">
            <v>#N/A</v>
          </cell>
        </row>
        <row r="872">
          <cell r="A872" t="str">
            <v>US</v>
          </cell>
          <cell r="B872" t="e">
            <v>#N/A</v>
          </cell>
        </row>
        <row r="873">
          <cell r="A873" t="str">
            <v>US</v>
          </cell>
          <cell r="B873" t="e">
            <v>#N/A</v>
          </cell>
        </row>
        <row r="874">
          <cell r="A874" t="str">
            <v>US</v>
          </cell>
          <cell r="B874" t="e">
            <v>#N/A</v>
          </cell>
        </row>
        <row r="875">
          <cell r="A875" t="str">
            <v>US</v>
          </cell>
          <cell r="B875" t="e">
            <v>#N/A</v>
          </cell>
        </row>
        <row r="876">
          <cell r="A876" t="str">
            <v>US</v>
          </cell>
          <cell r="B876" t="e">
            <v>#N/A</v>
          </cell>
        </row>
        <row r="877">
          <cell r="A877" t="str">
            <v>US</v>
          </cell>
          <cell r="B877" t="e">
            <v>#N/A</v>
          </cell>
        </row>
        <row r="878">
          <cell r="A878" t="str">
            <v>US</v>
          </cell>
          <cell r="B878" t="e">
            <v>#N/A</v>
          </cell>
        </row>
        <row r="879">
          <cell r="A879" t="str">
            <v>US</v>
          </cell>
          <cell r="B879" t="e">
            <v>#N/A</v>
          </cell>
        </row>
        <row r="880">
          <cell r="A880" t="str">
            <v>US</v>
          </cell>
          <cell r="B880" t="e">
            <v>#N/A</v>
          </cell>
        </row>
        <row r="881">
          <cell r="A881" t="str">
            <v>US</v>
          </cell>
          <cell r="B881" t="e">
            <v>#N/A</v>
          </cell>
        </row>
        <row r="882">
          <cell r="A882" t="str">
            <v>US</v>
          </cell>
          <cell r="B882" t="e">
            <v>#N/A</v>
          </cell>
        </row>
        <row r="883">
          <cell r="A883" t="str">
            <v>US</v>
          </cell>
          <cell r="B883" t="e">
            <v>#N/A</v>
          </cell>
        </row>
        <row r="884">
          <cell r="A884" t="str">
            <v>US</v>
          </cell>
          <cell r="B884" t="e">
            <v>#N/A</v>
          </cell>
        </row>
        <row r="885">
          <cell r="A885" t="str">
            <v>US</v>
          </cell>
          <cell r="B885" t="e">
            <v>#N/A</v>
          </cell>
        </row>
        <row r="886">
          <cell r="A886" t="str">
            <v>US</v>
          </cell>
          <cell r="B886" t="e">
            <v>#N/A</v>
          </cell>
        </row>
        <row r="887">
          <cell r="A887" t="str">
            <v>US</v>
          </cell>
          <cell r="B887" t="e">
            <v>#N/A</v>
          </cell>
        </row>
        <row r="888">
          <cell r="A888" t="str">
            <v>US</v>
          </cell>
          <cell r="B888" t="e">
            <v>#N/A</v>
          </cell>
        </row>
        <row r="889">
          <cell r="A889" t="str">
            <v>US</v>
          </cell>
          <cell r="B889" t="e">
            <v>#N/A</v>
          </cell>
        </row>
        <row r="890">
          <cell r="A890" t="str">
            <v>US</v>
          </cell>
          <cell r="B890" t="e">
            <v>#N/A</v>
          </cell>
        </row>
        <row r="891">
          <cell r="A891" t="str">
            <v>US</v>
          </cell>
          <cell r="B891" t="e">
            <v>#N/A</v>
          </cell>
        </row>
        <row r="892">
          <cell r="A892" t="str">
            <v>US</v>
          </cell>
          <cell r="B892" t="e">
            <v>#N/A</v>
          </cell>
        </row>
        <row r="893">
          <cell r="A893" t="str">
            <v>US</v>
          </cell>
          <cell r="B893" t="e">
            <v>#N/A</v>
          </cell>
        </row>
        <row r="894">
          <cell r="A894" t="str">
            <v>US</v>
          </cell>
          <cell r="B894" t="e">
            <v>#N/A</v>
          </cell>
        </row>
        <row r="895">
          <cell r="A895" t="str">
            <v>US</v>
          </cell>
          <cell r="B895" t="e">
            <v>#N/A</v>
          </cell>
        </row>
        <row r="896">
          <cell r="A896" t="str">
            <v>US</v>
          </cell>
          <cell r="B896" t="e">
            <v>#N/A</v>
          </cell>
        </row>
        <row r="897">
          <cell r="A897" t="str">
            <v>US</v>
          </cell>
          <cell r="B897" t="e">
            <v>#N/A</v>
          </cell>
        </row>
        <row r="898">
          <cell r="A898" t="str">
            <v>US</v>
          </cell>
          <cell r="B898" t="e">
            <v>#N/A</v>
          </cell>
        </row>
        <row r="899">
          <cell r="A899" t="str">
            <v>US</v>
          </cell>
          <cell r="B899" t="e">
            <v>#N/A</v>
          </cell>
        </row>
        <row r="900">
          <cell r="A900" t="str">
            <v>US</v>
          </cell>
          <cell r="B900" t="e">
            <v>#N/A</v>
          </cell>
        </row>
        <row r="901">
          <cell r="A901" t="str">
            <v>US</v>
          </cell>
          <cell r="B901" t="e">
            <v>#N/A</v>
          </cell>
        </row>
        <row r="902">
          <cell r="A902" t="str">
            <v>US</v>
          </cell>
          <cell r="B902" t="e">
            <v>#N/A</v>
          </cell>
        </row>
        <row r="903">
          <cell r="A903" t="str">
            <v>US</v>
          </cell>
          <cell r="B903" t="e">
            <v>#N/A</v>
          </cell>
        </row>
        <row r="904">
          <cell r="A904" t="str">
            <v>US</v>
          </cell>
          <cell r="B904" t="e">
            <v>#N/A</v>
          </cell>
        </row>
        <row r="905">
          <cell r="A905" t="str">
            <v>US</v>
          </cell>
          <cell r="B905" t="e">
            <v>#N/A</v>
          </cell>
        </row>
        <row r="906">
          <cell r="A906" t="str">
            <v>US</v>
          </cell>
          <cell r="B906" t="e">
            <v>#N/A</v>
          </cell>
        </row>
        <row r="907">
          <cell r="A907" t="str">
            <v>US</v>
          </cell>
          <cell r="B907" t="e">
            <v>#N/A</v>
          </cell>
        </row>
        <row r="908">
          <cell r="A908" t="str">
            <v>US</v>
          </cell>
          <cell r="B908" t="e">
            <v>#N/A</v>
          </cell>
        </row>
        <row r="909">
          <cell r="A909" t="str">
            <v>US</v>
          </cell>
          <cell r="B909" t="e">
            <v>#N/A</v>
          </cell>
        </row>
        <row r="910">
          <cell r="A910" t="str">
            <v>US</v>
          </cell>
          <cell r="B910" t="e">
            <v>#N/A</v>
          </cell>
        </row>
        <row r="911">
          <cell r="A911" t="str">
            <v>US</v>
          </cell>
          <cell r="B911" t="e">
            <v>#N/A</v>
          </cell>
        </row>
        <row r="912">
          <cell r="A912" t="str">
            <v>US</v>
          </cell>
          <cell r="B912" t="e">
            <v>#N/A</v>
          </cell>
        </row>
        <row r="913">
          <cell r="A913" t="str">
            <v>US</v>
          </cell>
          <cell r="B913" t="e">
            <v>#N/A</v>
          </cell>
        </row>
        <row r="914">
          <cell r="A914" t="str">
            <v>US</v>
          </cell>
          <cell r="B914" t="e">
            <v>#N/A</v>
          </cell>
        </row>
        <row r="915">
          <cell r="A915" t="str">
            <v>US</v>
          </cell>
          <cell r="B915" t="e">
            <v>#N/A</v>
          </cell>
        </row>
        <row r="916">
          <cell r="A916" t="str">
            <v>US</v>
          </cell>
          <cell r="B916" t="e">
            <v>#N/A</v>
          </cell>
        </row>
        <row r="917">
          <cell r="A917" t="str">
            <v>US</v>
          </cell>
          <cell r="B917" t="e">
            <v>#N/A</v>
          </cell>
        </row>
        <row r="918">
          <cell r="A918" t="str">
            <v>US</v>
          </cell>
          <cell r="B918" t="e">
            <v>#N/A</v>
          </cell>
        </row>
        <row r="919">
          <cell r="A919" t="str">
            <v>US</v>
          </cell>
          <cell r="B919" t="e">
            <v>#N/A</v>
          </cell>
        </row>
        <row r="920">
          <cell r="A920" t="str">
            <v>US</v>
          </cell>
          <cell r="B920" t="e">
            <v>#N/A</v>
          </cell>
        </row>
        <row r="921">
          <cell r="A921" t="str">
            <v>US</v>
          </cell>
          <cell r="B921" t="e">
            <v>#N/A</v>
          </cell>
        </row>
        <row r="922">
          <cell r="A922" t="str">
            <v>US</v>
          </cell>
          <cell r="B922" t="e">
            <v>#N/A</v>
          </cell>
        </row>
        <row r="923">
          <cell r="A923" t="str">
            <v>US</v>
          </cell>
          <cell r="B923" t="e">
            <v>#N/A</v>
          </cell>
        </row>
        <row r="924">
          <cell r="A924" t="str">
            <v>US</v>
          </cell>
          <cell r="B924" t="e">
            <v>#N/A</v>
          </cell>
        </row>
        <row r="925">
          <cell r="A925" t="str">
            <v>US</v>
          </cell>
          <cell r="B925" t="e">
            <v>#N/A</v>
          </cell>
        </row>
        <row r="926">
          <cell r="A926" t="str">
            <v>US</v>
          </cell>
          <cell r="B926" t="e">
            <v>#N/A</v>
          </cell>
        </row>
        <row r="927">
          <cell r="A927" t="str">
            <v>US</v>
          </cell>
          <cell r="B927" t="e">
            <v>#N/A</v>
          </cell>
        </row>
        <row r="928">
          <cell r="A928" t="str">
            <v>US</v>
          </cell>
          <cell r="B928" t="e">
            <v>#N/A</v>
          </cell>
        </row>
        <row r="929">
          <cell r="A929" t="str">
            <v>US</v>
          </cell>
          <cell r="B929" t="e">
            <v>#N/A</v>
          </cell>
        </row>
        <row r="930">
          <cell r="A930" t="str">
            <v>US</v>
          </cell>
          <cell r="B930" t="e">
            <v>#N/A</v>
          </cell>
        </row>
        <row r="931">
          <cell r="A931" t="str">
            <v>US</v>
          </cell>
          <cell r="B931" t="e">
            <v>#N/A</v>
          </cell>
        </row>
        <row r="932">
          <cell r="A932" t="str">
            <v>US</v>
          </cell>
          <cell r="B932" t="e">
            <v>#N/A</v>
          </cell>
        </row>
        <row r="933">
          <cell r="A933" t="str">
            <v>US</v>
          </cell>
          <cell r="B933" t="e">
            <v>#N/A</v>
          </cell>
        </row>
        <row r="934">
          <cell r="A934" t="str">
            <v>US</v>
          </cell>
          <cell r="B934" t="e">
            <v>#N/A</v>
          </cell>
        </row>
        <row r="935">
          <cell r="A935" t="str">
            <v>US</v>
          </cell>
          <cell r="B935" t="e">
            <v>#N/A</v>
          </cell>
        </row>
        <row r="936">
          <cell r="A936" t="str">
            <v>US</v>
          </cell>
          <cell r="B936" t="e">
            <v>#N/A</v>
          </cell>
        </row>
        <row r="937">
          <cell r="A937" t="str">
            <v>US</v>
          </cell>
          <cell r="B937" t="e">
            <v>#N/A</v>
          </cell>
        </row>
        <row r="938">
          <cell r="A938" t="str">
            <v>US</v>
          </cell>
          <cell r="B938" t="e">
            <v>#N/A</v>
          </cell>
        </row>
        <row r="939">
          <cell r="A939" t="str">
            <v>US</v>
          </cell>
          <cell r="B939" t="e">
            <v>#N/A</v>
          </cell>
        </row>
        <row r="940">
          <cell r="A940" t="str">
            <v>US</v>
          </cell>
          <cell r="B940" t="e">
            <v>#N/A</v>
          </cell>
        </row>
        <row r="941">
          <cell r="A941" t="str">
            <v>US</v>
          </cell>
          <cell r="B941" t="e">
            <v>#N/A</v>
          </cell>
        </row>
        <row r="942">
          <cell r="A942" t="str">
            <v>US</v>
          </cell>
          <cell r="B942" t="e">
            <v>#N/A</v>
          </cell>
        </row>
        <row r="943">
          <cell r="A943" t="str">
            <v>US</v>
          </cell>
          <cell r="B943" t="e">
            <v>#N/A</v>
          </cell>
        </row>
        <row r="944">
          <cell r="A944" t="str">
            <v>US</v>
          </cell>
          <cell r="B944" t="e">
            <v>#N/A</v>
          </cell>
        </row>
        <row r="945">
          <cell r="A945" t="str">
            <v>US</v>
          </cell>
          <cell r="B945" t="e">
            <v>#N/A</v>
          </cell>
        </row>
        <row r="946">
          <cell r="A946" t="str">
            <v>US</v>
          </cell>
          <cell r="B946" t="e">
            <v>#N/A</v>
          </cell>
        </row>
        <row r="947">
          <cell r="A947" t="str">
            <v>US</v>
          </cell>
          <cell r="B947" t="e">
            <v>#N/A</v>
          </cell>
        </row>
        <row r="948">
          <cell r="A948" t="str">
            <v>US</v>
          </cell>
          <cell r="B948" t="e">
            <v>#N/A</v>
          </cell>
        </row>
        <row r="949">
          <cell r="A949" t="str">
            <v>US</v>
          </cell>
          <cell r="B949" t="e">
            <v>#N/A</v>
          </cell>
        </row>
        <row r="950">
          <cell r="A950" t="str">
            <v>US</v>
          </cell>
          <cell r="B950" t="e">
            <v>#N/A</v>
          </cell>
        </row>
        <row r="951">
          <cell r="A951" t="str">
            <v>US</v>
          </cell>
          <cell r="B951" t="e">
            <v>#N/A</v>
          </cell>
        </row>
        <row r="952">
          <cell r="A952" t="str">
            <v>US</v>
          </cell>
          <cell r="B952" t="e">
            <v>#N/A</v>
          </cell>
        </row>
        <row r="953">
          <cell r="A953" t="str">
            <v>US</v>
          </cell>
          <cell r="B953" t="e">
            <v>#N/A</v>
          </cell>
        </row>
        <row r="954">
          <cell r="A954" t="str">
            <v>US</v>
          </cell>
          <cell r="B954" t="e">
            <v>#N/A</v>
          </cell>
        </row>
        <row r="955">
          <cell r="A955" t="str">
            <v>US</v>
          </cell>
          <cell r="B955" t="e">
            <v>#N/A</v>
          </cell>
        </row>
        <row r="956">
          <cell r="A956" t="str">
            <v>US</v>
          </cell>
          <cell r="B956" t="e">
            <v>#N/A</v>
          </cell>
        </row>
        <row r="957">
          <cell r="A957" t="str">
            <v>US</v>
          </cell>
          <cell r="B957" t="e">
            <v>#N/A</v>
          </cell>
        </row>
        <row r="958">
          <cell r="A958" t="str">
            <v>US</v>
          </cell>
          <cell r="B958" t="e">
            <v>#N/A</v>
          </cell>
        </row>
        <row r="959">
          <cell r="A959" t="str">
            <v>US</v>
          </cell>
          <cell r="B959" t="e">
            <v>#N/A</v>
          </cell>
        </row>
        <row r="960">
          <cell r="A960" t="str">
            <v>US</v>
          </cell>
          <cell r="B960" t="e">
            <v>#N/A</v>
          </cell>
        </row>
        <row r="961">
          <cell r="A961" t="str">
            <v>US</v>
          </cell>
          <cell r="B961" t="e">
            <v>#N/A</v>
          </cell>
        </row>
        <row r="962">
          <cell r="A962" t="str">
            <v>US</v>
          </cell>
          <cell r="B962" t="e">
            <v>#N/A</v>
          </cell>
        </row>
        <row r="963">
          <cell r="A963" t="str">
            <v>US</v>
          </cell>
          <cell r="B963" t="e">
            <v>#N/A</v>
          </cell>
        </row>
        <row r="964">
          <cell r="A964" t="str">
            <v>US</v>
          </cell>
          <cell r="B964" t="e">
            <v>#N/A</v>
          </cell>
        </row>
        <row r="965">
          <cell r="A965" t="str">
            <v>US</v>
          </cell>
          <cell r="B965" t="e">
            <v>#N/A</v>
          </cell>
        </row>
        <row r="966">
          <cell r="A966" t="str">
            <v>US</v>
          </cell>
          <cell r="B966" t="e">
            <v>#N/A</v>
          </cell>
        </row>
        <row r="967">
          <cell r="A967" t="str">
            <v>US</v>
          </cell>
          <cell r="B967" t="e">
            <v>#N/A</v>
          </cell>
        </row>
        <row r="968">
          <cell r="A968" t="str">
            <v>US</v>
          </cell>
          <cell r="B968" t="e">
            <v>#N/A</v>
          </cell>
        </row>
        <row r="969">
          <cell r="A969" t="str">
            <v>US</v>
          </cell>
          <cell r="B969" t="e">
            <v>#N/A</v>
          </cell>
        </row>
        <row r="970">
          <cell r="A970" t="str">
            <v>US</v>
          </cell>
          <cell r="B970" t="e">
            <v>#N/A</v>
          </cell>
        </row>
        <row r="971">
          <cell r="A971" t="str">
            <v>US</v>
          </cell>
          <cell r="B971" t="e">
            <v>#N/A</v>
          </cell>
        </row>
        <row r="972">
          <cell r="A972" t="str">
            <v>US</v>
          </cell>
          <cell r="B972" t="e">
            <v>#N/A</v>
          </cell>
        </row>
        <row r="973">
          <cell r="A973" t="str">
            <v>US</v>
          </cell>
          <cell r="B973" t="e">
            <v>#N/A</v>
          </cell>
        </row>
        <row r="974">
          <cell r="A974" t="str">
            <v>US</v>
          </cell>
          <cell r="B974" t="e">
            <v>#N/A</v>
          </cell>
        </row>
        <row r="975">
          <cell r="A975" t="str">
            <v>US</v>
          </cell>
          <cell r="B975" t="e">
            <v>#N/A</v>
          </cell>
        </row>
        <row r="976">
          <cell r="A976" t="str">
            <v>US</v>
          </cell>
          <cell r="B976" t="e">
            <v>#N/A</v>
          </cell>
        </row>
        <row r="977">
          <cell r="A977" t="str">
            <v>US</v>
          </cell>
          <cell r="B977" t="e">
            <v>#N/A</v>
          </cell>
        </row>
        <row r="978">
          <cell r="A978" t="str">
            <v>US</v>
          </cell>
          <cell r="B978" t="e">
            <v>#N/A</v>
          </cell>
        </row>
        <row r="979">
          <cell r="A979" t="str">
            <v>US</v>
          </cell>
          <cell r="B979" t="e">
            <v>#N/A</v>
          </cell>
        </row>
        <row r="980">
          <cell r="A980" t="str">
            <v>US</v>
          </cell>
          <cell r="B980" t="e">
            <v>#N/A</v>
          </cell>
        </row>
        <row r="981">
          <cell r="A981" t="str">
            <v>US</v>
          </cell>
          <cell r="B981" t="e">
            <v>#N/A</v>
          </cell>
        </row>
        <row r="982">
          <cell r="A982" t="str">
            <v>US</v>
          </cell>
          <cell r="B982" t="e">
            <v>#N/A</v>
          </cell>
        </row>
        <row r="983">
          <cell r="A983" t="str">
            <v>US</v>
          </cell>
          <cell r="B983" t="e">
            <v>#N/A</v>
          </cell>
        </row>
        <row r="984">
          <cell r="A984" t="str">
            <v>US</v>
          </cell>
          <cell r="B984" t="e">
            <v>#N/A</v>
          </cell>
        </row>
        <row r="985">
          <cell r="A985" t="str">
            <v>US</v>
          </cell>
          <cell r="B985" t="e">
            <v>#N/A</v>
          </cell>
        </row>
        <row r="986">
          <cell r="A986" t="str">
            <v>US</v>
          </cell>
          <cell r="B986" t="e">
            <v>#N/A</v>
          </cell>
        </row>
        <row r="987">
          <cell r="A987" t="str">
            <v>US</v>
          </cell>
          <cell r="B987" t="e">
            <v>#N/A</v>
          </cell>
        </row>
        <row r="988">
          <cell r="A988" t="str">
            <v>US</v>
          </cell>
          <cell r="B988" t="e">
            <v>#N/A</v>
          </cell>
        </row>
        <row r="989">
          <cell r="A989" t="str">
            <v>US</v>
          </cell>
          <cell r="B989" t="e">
            <v>#N/A</v>
          </cell>
        </row>
        <row r="990">
          <cell r="A990" t="str">
            <v>US</v>
          </cell>
          <cell r="B990" t="e">
            <v>#N/A</v>
          </cell>
        </row>
        <row r="991">
          <cell r="A991" t="str">
            <v>US</v>
          </cell>
          <cell r="B991" t="e">
            <v>#N/A</v>
          </cell>
        </row>
        <row r="992">
          <cell r="A992" t="str">
            <v>US</v>
          </cell>
          <cell r="B992" t="e">
            <v>#N/A</v>
          </cell>
        </row>
        <row r="993">
          <cell r="A993" t="str">
            <v>US</v>
          </cell>
          <cell r="B993" t="e">
            <v>#N/A</v>
          </cell>
        </row>
        <row r="994">
          <cell r="A994" t="str">
            <v>US</v>
          </cell>
          <cell r="B994" t="e">
            <v>#N/A</v>
          </cell>
        </row>
        <row r="995">
          <cell r="A995" t="str">
            <v>US</v>
          </cell>
          <cell r="B995" t="e">
            <v>#N/A</v>
          </cell>
        </row>
        <row r="996">
          <cell r="A996" t="str">
            <v>US</v>
          </cell>
          <cell r="B996" t="e">
            <v>#N/A</v>
          </cell>
        </row>
        <row r="997">
          <cell r="A997" t="str">
            <v>US</v>
          </cell>
          <cell r="B997" t="e">
            <v>#N/A</v>
          </cell>
        </row>
        <row r="998">
          <cell r="A998" t="str">
            <v>US</v>
          </cell>
          <cell r="B998" t="e">
            <v>#N/A</v>
          </cell>
        </row>
        <row r="999">
          <cell r="A999" t="str">
            <v>US</v>
          </cell>
          <cell r="B999" t="e">
            <v>#N/A</v>
          </cell>
        </row>
        <row r="1000">
          <cell r="A1000" t="str">
            <v>US</v>
          </cell>
          <cell r="B1000" t="e">
            <v>#N/A</v>
          </cell>
        </row>
        <row r="1001">
          <cell r="A1001" t="str">
            <v>US</v>
          </cell>
          <cell r="B1001" t="e">
            <v>#N/A</v>
          </cell>
        </row>
        <row r="1002">
          <cell r="A1002" t="str">
            <v>US</v>
          </cell>
          <cell r="B1002" t="e">
            <v>#N/A</v>
          </cell>
        </row>
        <row r="1003">
          <cell r="A1003" t="str">
            <v>US</v>
          </cell>
          <cell r="B1003" t="e">
            <v>#N/A</v>
          </cell>
        </row>
        <row r="1004">
          <cell r="A1004" t="str">
            <v>US</v>
          </cell>
          <cell r="B1004" t="e">
            <v>#N/A</v>
          </cell>
        </row>
        <row r="1005">
          <cell r="A1005" t="str">
            <v>US</v>
          </cell>
          <cell r="B1005" t="e">
            <v>#N/A</v>
          </cell>
        </row>
        <row r="1006">
          <cell r="A1006" t="str">
            <v>US</v>
          </cell>
          <cell r="B1006" t="e">
            <v>#N/A</v>
          </cell>
        </row>
        <row r="1007">
          <cell r="A1007" t="str">
            <v>US</v>
          </cell>
          <cell r="B1007" t="e">
            <v>#N/A</v>
          </cell>
        </row>
        <row r="1008">
          <cell r="A1008" t="str">
            <v>US</v>
          </cell>
          <cell r="B1008" t="e">
            <v>#N/A</v>
          </cell>
        </row>
        <row r="1009">
          <cell r="A1009" t="str">
            <v>US</v>
          </cell>
          <cell r="B1009" t="e">
            <v>#N/A</v>
          </cell>
        </row>
        <row r="1010">
          <cell r="A1010" t="str">
            <v>US</v>
          </cell>
          <cell r="B1010" t="e">
            <v>#N/A</v>
          </cell>
        </row>
        <row r="1011">
          <cell r="A1011" t="str">
            <v>US</v>
          </cell>
          <cell r="B1011" t="e">
            <v>#N/A</v>
          </cell>
        </row>
        <row r="1012">
          <cell r="A1012" t="str">
            <v>US</v>
          </cell>
          <cell r="B1012" t="e">
            <v>#N/A</v>
          </cell>
        </row>
        <row r="1013">
          <cell r="A1013" t="str">
            <v>US</v>
          </cell>
          <cell r="B1013" t="e">
            <v>#N/A</v>
          </cell>
        </row>
        <row r="1014">
          <cell r="A1014" t="str">
            <v>US</v>
          </cell>
          <cell r="B1014" t="e">
            <v>#N/A</v>
          </cell>
        </row>
        <row r="1015">
          <cell r="A1015" t="str">
            <v>US</v>
          </cell>
          <cell r="B1015" t="e">
            <v>#N/A</v>
          </cell>
        </row>
        <row r="1016">
          <cell r="A1016" t="str">
            <v>US</v>
          </cell>
          <cell r="B1016" t="e">
            <v>#N/A</v>
          </cell>
        </row>
        <row r="1017">
          <cell r="A1017" t="str">
            <v>US</v>
          </cell>
          <cell r="B1017" t="e">
            <v>#N/A</v>
          </cell>
        </row>
        <row r="1018">
          <cell r="A1018" t="str">
            <v>US</v>
          </cell>
          <cell r="B1018" t="e">
            <v>#N/A</v>
          </cell>
        </row>
        <row r="1019">
          <cell r="A1019" t="str">
            <v>US</v>
          </cell>
          <cell r="B1019" t="e">
            <v>#N/A</v>
          </cell>
        </row>
        <row r="1020">
          <cell r="A1020" t="str">
            <v>US</v>
          </cell>
          <cell r="B1020" t="e">
            <v>#N/A</v>
          </cell>
        </row>
        <row r="1021">
          <cell r="A1021" t="str">
            <v>US</v>
          </cell>
          <cell r="B1021" t="e">
            <v>#N/A</v>
          </cell>
        </row>
        <row r="1022">
          <cell r="A1022" t="str">
            <v>US</v>
          </cell>
          <cell r="B1022" t="e">
            <v>#N/A</v>
          </cell>
        </row>
        <row r="1023">
          <cell r="A1023" t="str">
            <v>US</v>
          </cell>
          <cell r="B1023" t="e">
            <v>#N/A</v>
          </cell>
        </row>
        <row r="1024">
          <cell r="A1024" t="str">
            <v>US</v>
          </cell>
          <cell r="B1024" t="e">
            <v>#N/A</v>
          </cell>
        </row>
        <row r="1025">
          <cell r="A1025" t="str">
            <v>US</v>
          </cell>
          <cell r="B1025" t="e">
            <v>#N/A</v>
          </cell>
        </row>
        <row r="1026">
          <cell r="A1026" t="str">
            <v>US</v>
          </cell>
          <cell r="B1026" t="e">
            <v>#N/A</v>
          </cell>
        </row>
        <row r="1027">
          <cell r="A1027" t="str">
            <v>US</v>
          </cell>
          <cell r="B1027" t="e">
            <v>#N/A</v>
          </cell>
        </row>
        <row r="1028">
          <cell r="A1028" t="str">
            <v>US</v>
          </cell>
          <cell r="B1028" t="e">
            <v>#N/A</v>
          </cell>
        </row>
        <row r="1029">
          <cell r="A1029" t="str">
            <v>US</v>
          </cell>
          <cell r="B1029" t="e">
            <v>#N/A</v>
          </cell>
        </row>
        <row r="1030">
          <cell r="A1030" t="str">
            <v>US</v>
          </cell>
          <cell r="B1030" t="e">
            <v>#N/A</v>
          </cell>
        </row>
        <row r="1031">
          <cell r="A1031" t="str">
            <v>US</v>
          </cell>
          <cell r="B1031" t="e">
            <v>#N/A</v>
          </cell>
        </row>
        <row r="1032">
          <cell r="A1032" t="str">
            <v>US</v>
          </cell>
          <cell r="B1032" t="e">
            <v>#N/A</v>
          </cell>
        </row>
        <row r="1033">
          <cell r="A1033" t="str">
            <v>US</v>
          </cell>
          <cell r="B1033" t="e">
            <v>#N/A</v>
          </cell>
        </row>
        <row r="1034">
          <cell r="A1034" t="str">
            <v>US</v>
          </cell>
          <cell r="B1034" t="e">
            <v>#N/A</v>
          </cell>
        </row>
        <row r="1035">
          <cell r="A1035" t="str">
            <v>US</v>
          </cell>
          <cell r="B1035" t="e">
            <v>#N/A</v>
          </cell>
        </row>
        <row r="1036">
          <cell r="A1036" t="str">
            <v>US</v>
          </cell>
          <cell r="B1036" t="e">
            <v>#N/A</v>
          </cell>
        </row>
        <row r="1037">
          <cell r="A1037" t="str">
            <v>US</v>
          </cell>
          <cell r="B1037" t="e">
            <v>#N/A</v>
          </cell>
        </row>
        <row r="1038">
          <cell r="A1038" t="str">
            <v>US</v>
          </cell>
          <cell r="B1038" t="e">
            <v>#N/A</v>
          </cell>
        </row>
        <row r="1039">
          <cell r="A1039" t="str">
            <v>US</v>
          </cell>
          <cell r="B1039" t="e">
            <v>#N/A</v>
          </cell>
        </row>
        <row r="1040">
          <cell r="A1040" t="str">
            <v>US</v>
          </cell>
          <cell r="B1040" t="e">
            <v>#N/A</v>
          </cell>
        </row>
        <row r="1041">
          <cell r="A1041" t="str">
            <v>US</v>
          </cell>
          <cell r="B1041" t="e">
            <v>#N/A</v>
          </cell>
        </row>
        <row r="1042">
          <cell r="A1042" t="str">
            <v>US</v>
          </cell>
          <cell r="B1042" t="e">
            <v>#N/A</v>
          </cell>
        </row>
        <row r="1043">
          <cell r="A1043" t="str">
            <v>US</v>
          </cell>
          <cell r="B1043" t="e">
            <v>#N/A</v>
          </cell>
        </row>
        <row r="1044">
          <cell r="A1044" t="str">
            <v>US</v>
          </cell>
          <cell r="B1044" t="e">
            <v>#N/A</v>
          </cell>
        </row>
        <row r="1045">
          <cell r="A1045" t="str">
            <v>US</v>
          </cell>
          <cell r="B1045" t="e">
            <v>#N/A</v>
          </cell>
        </row>
        <row r="1046">
          <cell r="A1046" t="str">
            <v>US</v>
          </cell>
          <cell r="B1046" t="e">
            <v>#N/A</v>
          </cell>
        </row>
        <row r="1047">
          <cell r="A1047" t="str">
            <v>US</v>
          </cell>
          <cell r="B1047" t="e">
            <v>#N/A</v>
          </cell>
        </row>
        <row r="1048">
          <cell r="A1048" t="str">
            <v>US</v>
          </cell>
          <cell r="B1048" t="e">
            <v>#N/A</v>
          </cell>
        </row>
        <row r="1049">
          <cell r="A1049" t="str">
            <v>US</v>
          </cell>
          <cell r="B1049" t="e">
            <v>#N/A</v>
          </cell>
        </row>
        <row r="1050">
          <cell r="A1050" t="str">
            <v>US</v>
          </cell>
          <cell r="B1050" t="e">
            <v>#N/A</v>
          </cell>
        </row>
        <row r="1051">
          <cell r="A1051" t="str">
            <v>US</v>
          </cell>
          <cell r="B1051" t="e">
            <v>#N/A</v>
          </cell>
        </row>
        <row r="1052">
          <cell r="A1052" t="str">
            <v>US</v>
          </cell>
          <cell r="B1052" t="e">
            <v>#N/A</v>
          </cell>
        </row>
        <row r="1053">
          <cell r="A1053" t="str">
            <v>US</v>
          </cell>
          <cell r="B1053" t="e">
            <v>#N/A</v>
          </cell>
        </row>
        <row r="1054">
          <cell r="A1054" t="str">
            <v>US</v>
          </cell>
          <cell r="B1054" t="e">
            <v>#N/A</v>
          </cell>
        </row>
        <row r="1055">
          <cell r="A1055" t="str">
            <v>US</v>
          </cell>
          <cell r="B1055" t="e">
            <v>#N/A</v>
          </cell>
        </row>
        <row r="1056">
          <cell r="A1056" t="str">
            <v>US</v>
          </cell>
          <cell r="B1056" t="e">
            <v>#N/A</v>
          </cell>
        </row>
        <row r="1057">
          <cell r="A1057" t="str">
            <v>US</v>
          </cell>
          <cell r="B1057" t="e">
            <v>#N/A</v>
          </cell>
        </row>
        <row r="1058">
          <cell r="A1058" t="str">
            <v>US</v>
          </cell>
          <cell r="B1058" t="e">
            <v>#N/A</v>
          </cell>
        </row>
        <row r="1059">
          <cell r="A1059" t="str">
            <v>US</v>
          </cell>
          <cell r="B1059" t="e">
            <v>#N/A</v>
          </cell>
        </row>
        <row r="1060">
          <cell r="A1060" t="str">
            <v>US</v>
          </cell>
          <cell r="B1060" t="e">
            <v>#N/A</v>
          </cell>
        </row>
        <row r="1061">
          <cell r="A1061" t="str">
            <v>US</v>
          </cell>
          <cell r="B1061" t="e">
            <v>#N/A</v>
          </cell>
        </row>
        <row r="1062">
          <cell r="A1062" t="str">
            <v>US</v>
          </cell>
          <cell r="B1062" t="e">
            <v>#N/A</v>
          </cell>
        </row>
        <row r="1063">
          <cell r="A1063" t="str">
            <v>US</v>
          </cell>
          <cell r="B1063" t="e">
            <v>#N/A</v>
          </cell>
        </row>
        <row r="1064">
          <cell r="A1064" t="str">
            <v>US</v>
          </cell>
          <cell r="B1064" t="e">
            <v>#N/A</v>
          </cell>
        </row>
        <row r="1065">
          <cell r="A1065" t="str">
            <v>US</v>
          </cell>
          <cell r="B1065" t="e">
            <v>#N/A</v>
          </cell>
        </row>
        <row r="1066">
          <cell r="A1066" t="str">
            <v>US</v>
          </cell>
          <cell r="B1066" t="e">
            <v>#N/A</v>
          </cell>
        </row>
        <row r="1067">
          <cell r="A1067" t="str">
            <v>US</v>
          </cell>
          <cell r="B1067" t="e">
            <v>#N/A</v>
          </cell>
        </row>
        <row r="1068">
          <cell r="A1068" t="str">
            <v>US</v>
          </cell>
          <cell r="B1068" t="e">
            <v>#N/A</v>
          </cell>
        </row>
        <row r="1069">
          <cell r="A1069" t="str">
            <v>US</v>
          </cell>
          <cell r="B1069" t="e">
            <v>#N/A</v>
          </cell>
        </row>
        <row r="1070">
          <cell r="A1070" t="str">
            <v>US</v>
          </cell>
          <cell r="B1070" t="e">
            <v>#N/A</v>
          </cell>
        </row>
        <row r="1071">
          <cell r="A1071" t="str">
            <v>US</v>
          </cell>
          <cell r="B1071" t="e">
            <v>#N/A</v>
          </cell>
        </row>
        <row r="1072">
          <cell r="A1072" t="str">
            <v>US</v>
          </cell>
          <cell r="B1072" t="e">
            <v>#N/A</v>
          </cell>
        </row>
        <row r="1073">
          <cell r="A1073" t="str">
            <v>US</v>
          </cell>
          <cell r="B1073" t="e">
            <v>#N/A</v>
          </cell>
        </row>
        <row r="1074">
          <cell r="A1074" t="str">
            <v>US</v>
          </cell>
          <cell r="B1074" t="e">
            <v>#N/A</v>
          </cell>
        </row>
        <row r="1075">
          <cell r="A1075" t="str">
            <v>US</v>
          </cell>
          <cell r="B1075" t="e">
            <v>#N/A</v>
          </cell>
        </row>
        <row r="1076">
          <cell r="A1076" t="str">
            <v>US</v>
          </cell>
          <cell r="B1076" t="e">
            <v>#N/A</v>
          </cell>
        </row>
        <row r="1077">
          <cell r="A1077" t="str">
            <v>US</v>
          </cell>
          <cell r="B1077" t="e">
            <v>#N/A</v>
          </cell>
        </row>
        <row r="1078">
          <cell r="A1078" t="str">
            <v>US</v>
          </cell>
          <cell r="B1078" t="e">
            <v>#N/A</v>
          </cell>
        </row>
        <row r="1079">
          <cell r="A1079" t="str">
            <v>US</v>
          </cell>
          <cell r="B1079" t="e">
            <v>#N/A</v>
          </cell>
        </row>
        <row r="1080">
          <cell r="A1080" t="str">
            <v>US</v>
          </cell>
          <cell r="B1080" t="e">
            <v>#N/A</v>
          </cell>
        </row>
        <row r="1081">
          <cell r="A1081" t="str">
            <v>US</v>
          </cell>
          <cell r="B1081" t="e">
            <v>#N/A</v>
          </cell>
        </row>
        <row r="1082">
          <cell r="A1082" t="str">
            <v>US</v>
          </cell>
          <cell r="B1082" t="e">
            <v>#N/A</v>
          </cell>
        </row>
        <row r="1083">
          <cell r="A1083" t="str">
            <v>US</v>
          </cell>
          <cell r="B1083" t="e">
            <v>#N/A</v>
          </cell>
        </row>
        <row r="1084">
          <cell r="A1084" t="str">
            <v>US</v>
          </cell>
          <cell r="B1084" t="e">
            <v>#N/A</v>
          </cell>
        </row>
        <row r="1085">
          <cell r="A1085" t="str">
            <v>US</v>
          </cell>
          <cell r="B1085" t="e">
            <v>#N/A</v>
          </cell>
        </row>
        <row r="1086">
          <cell r="A1086" t="str">
            <v>US</v>
          </cell>
          <cell r="B1086" t="e">
            <v>#N/A</v>
          </cell>
        </row>
        <row r="1087">
          <cell r="A1087" t="str">
            <v>US</v>
          </cell>
          <cell r="B1087" t="e">
            <v>#N/A</v>
          </cell>
        </row>
        <row r="1088">
          <cell r="A1088" t="str">
            <v>US</v>
          </cell>
          <cell r="B1088" t="e">
            <v>#N/A</v>
          </cell>
        </row>
        <row r="1089">
          <cell r="A1089" t="str">
            <v>US</v>
          </cell>
          <cell r="B1089" t="e">
            <v>#N/A</v>
          </cell>
        </row>
        <row r="1090">
          <cell r="A1090" t="str">
            <v>US</v>
          </cell>
          <cell r="B1090" t="e">
            <v>#N/A</v>
          </cell>
        </row>
        <row r="1091">
          <cell r="A1091" t="str">
            <v>US</v>
          </cell>
          <cell r="B1091" t="e">
            <v>#N/A</v>
          </cell>
        </row>
        <row r="1092">
          <cell r="A1092" t="str">
            <v>US</v>
          </cell>
          <cell r="B1092" t="e">
            <v>#N/A</v>
          </cell>
        </row>
        <row r="1093">
          <cell r="A1093" t="str">
            <v>US</v>
          </cell>
          <cell r="B1093" t="e">
            <v>#N/A</v>
          </cell>
        </row>
        <row r="1094">
          <cell r="A1094" t="str">
            <v>US</v>
          </cell>
          <cell r="B1094" t="e">
            <v>#N/A</v>
          </cell>
        </row>
        <row r="1095">
          <cell r="A1095" t="str">
            <v>US</v>
          </cell>
          <cell r="B1095" t="e">
            <v>#N/A</v>
          </cell>
        </row>
        <row r="1096">
          <cell r="A1096" t="str">
            <v>US</v>
          </cell>
          <cell r="B1096" t="e">
            <v>#N/A</v>
          </cell>
        </row>
        <row r="1097">
          <cell r="A1097" t="str">
            <v>US</v>
          </cell>
          <cell r="B1097" t="e">
            <v>#N/A</v>
          </cell>
        </row>
        <row r="1098">
          <cell r="A1098" t="str">
            <v>US</v>
          </cell>
          <cell r="B1098" t="e">
            <v>#N/A</v>
          </cell>
        </row>
        <row r="1099">
          <cell r="A1099" t="str">
            <v>US</v>
          </cell>
          <cell r="B1099" t="e">
            <v>#N/A</v>
          </cell>
        </row>
        <row r="1100">
          <cell r="A1100" t="str">
            <v>US</v>
          </cell>
          <cell r="B1100" t="e">
            <v>#N/A</v>
          </cell>
        </row>
        <row r="1101">
          <cell r="A1101" t="str">
            <v>US</v>
          </cell>
          <cell r="B1101" t="e">
            <v>#N/A</v>
          </cell>
        </row>
        <row r="1102">
          <cell r="A1102" t="str">
            <v>US</v>
          </cell>
          <cell r="B1102" t="e">
            <v>#N/A</v>
          </cell>
        </row>
        <row r="1103">
          <cell r="A1103" t="str">
            <v>US</v>
          </cell>
          <cell r="B1103" t="e">
            <v>#N/A</v>
          </cell>
        </row>
        <row r="1104">
          <cell r="A1104" t="str">
            <v>US</v>
          </cell>
          <cell r="B1104" t="e">
            <v>#N/A</v>
          </cell>
        </row>
        <row r="1105">
          <cell r="A1105" t="str">
            <v>US</v>
          </cell>
          <cell r="B1105" t="e">
            <v>#N/A</v>
          </cell>
        </row>
        <row r="1106">
          <cell r="A1106" t="str">
            <v>US</v>
          </cell>
          <cell r="B1106" t="e">
            <v>#N/A</v>
          </cell>
        </row>
        <row r="1107">
          <cell r="A1107" t="str">
            <v>US</v>
          </cell>
          <cell r="B1107" t="e">
            <v>#N/A</v>
          </cell>
        </row>
        <row r="1108">
          <cell r="A1108" t="str">
            <v>US</v>
          </cell>
          <cell r="B1108" t="e">
            <v>#N/A</v>
          </cell>
        </row>
        <row r="1109">
          <cell r="A1109" t="str">
            <v>US</v>
          </cell>
          <cell r="B1109" t="e">
            <v>#N/A</v>
          </cell>
        </row>
        <row r="1110">
          <cell r="A1110" t="str">
            <v>US</v>
          </cell>
          <cell r="B1110" t="e">
            <v>#N/A</v>
          </cell>
        </row>
        <row r="1111">
          <cell r="A1111" t="str">
            <v>US</v>
          </cell>
          <cell r="B1111" t="e">
            <v>#N/A</v>
          </cell>
        </row>
        <row r="1112">
          <cell r="A1112" t="str">
            <v>US</v>
          </cell>
          <cell r="B1112" t="e">
            <v>#N/A</v>
          </cell>
        </row>
        <row r="1113">
          <cell r="A1113" t="str">
            <v>US</v>
          </cell>
          <cell r="B1113" t="e">
            <v>#N/A</v>
          </cell>
        </row>
        <row r="1114">
          <cell r="A1114" t="str">
            <v>US</v>
          </cell>
          <cell r="B1114" t="e">
            <v>#N/A</v>
          </cell>
        </row>
        <row r="1115">
          <cell r="A1115" t="str">
            <v>US</v>
          </cell>
          <cell r="B1115" t="e">
            <v>#N/A</v>
          </cell>
        </row>
        <row r="1116">
          <cell r="A1116" t="str">
            <v>US</v>
          </cell>
          <cell r="B1116" t="e">
            <v>#N/A</v>
          </cell>
        </row>
        <row r="1117">
          <cell r="A1117" t="str">
            <v>US</v>
          </cell>
          <cell r="B1117" t="e">
            <v>#N/A</v>
          </cell>
        </row>
        <row r="1118">
          <cell r="A1118" t="str">
            <v>US</v>
          </cell>
          <cell r="B1118" t="e">
            <v>#N/A</v>
          </cell>
        </row>
        <row r="1119">
          <cell r="A1119" t="str">
            <v>US</v>
          </cell>
          <cell r="B1119" t="e">
            <v>#N/A</v>
          </cell>
        </row>
        <row r="1120">
          <cell r="A1120" t="str">
            <v>US</v>
          </cell>
          <cell r="B1120" t="e">
            <v>#N/A</v>
          </cell>
        </row>
        <row r="1121">
          <cell r="A1121" t="str">
            <v>US</v>
          </cell>
          <cell r="B1121" t="e">
            <v>#N/A</v>
          </cell>
        </row>
        <row r="1122">
          <cell r="A1122" t="str">
            <v>US</v>
          </cell>
          <cell r="B1122" t="e">
            <v>#N/A</v>
          </cell>
        </row>
        <row r="1123">
          <cell r="A1123" t="str">
            <v>US</v>
          </cell>
          <cell r="B1123" t="e">
            <v>#N/A</v>
          </cell>
        </row>
        <row r="1124">
          <cell r="A1124" t="str">
            <v>US</v>
          </cell>
          <cell r="B1124" t="e">
            <v>#N/A</v>
          </cell>
        </row>
        <row r="1125">
          <cell r="A1125" t="str">
            <v>US</v>
          </cell>
          <cell r="B1125" t="e">
            <v>#N/A</v>
          </cell>
        </row>
        <row r="1126">
          <cell r="A1126" t="str">
            <v>US</v>
          </cell>
          <cell r="B1126" t="e">
            <v>#N/A</v>
          </cell>
        </row>
        <row r="1127">
          <cell r="A1127" t="str">
            <v>US</v>
          </cell>
          <cell r="B1127" t="e">
            <v>#N/A</v>
          </cell>
        </row>
        <row r="1128">
          <cell r="A1128" t="str">
            <v>US</v>
          </cell>
          <cell r="B1128" t="e">
            <v>#N/A</v>
          </cell>
        </row>
        <row r="1129">
          <cell r="A1129" t="str">
            <v>US</v>
          </cell>
          <cell r="B1129" t="e">
            <v>#N/A</v>
          </cell>
        </row>
        <row r="1130">
          <cell r="A1130" t="str">
            <v>US</v>
          </cell>
          <cell r="B1130" t="e">
            <v>#N/A</v>
          </cell>
        </row>
        <row r="1131">
          <cell r="A1131" t="str">
            <v>US</v>
          </cell>
          <cell r="B1131" t="e">
            <v>#N/A</v>
          </cell>
        </row>
        <row r="1132">
          <cell r="A1132" t="str">
            <v>US</v>
          </cell>
          <cell r="B1132" t="e">
            <v>#N/A</v>
          </cell>
        </row>
        <row r="1133">
          <cell r="A1133" t="str">
            <v>US</v>
          </cell>
          <cell r="B1133" t="e">
            <v>#N/A</v>
          </cell>
        </row>
        <row r="1134">
          <cell r="A1134" t="str">
            <v>US</v>
          </cell>
          <cell r="B1134" t="e">
            <v>#N/A</v>
          </cell>
        </row>
        <row r="1135">
          <cell r="A1135" t="str">
            <v>US</v>
          </cell>
          <cell r="B1135" t="e">
            <v>#N/A</v>
          </cell>
        </row>
        <row r="1136">
          <cell r="A1136" t="str">
            <v>US</v>
          </cell>
          <cell r="B1136" t="e">
            <v>#N/A</v>
          </cell>
        </row>
        <row r="1137">
          <cell r="A1137" t="str">
            <v>US</v>
          </cell>
          <cell r="B1137" t="e">
            <v>#N/A</v>
          </cell>
        </row>
        <row r="1138">
          <cell r="A1138" t="str">
            <v>US</v>
          </cell>
          <cell r="B1138" t="e">
            <v>#N/A</v>
          </cell>
        </row>
        <row r="1139">
          <cell r="A1139" t="str">
            <v>US</v>
          </cell>
          <cell r="B1139" t="e">
            <v>#N/A</v>
          </cell>
        </row>
        <row r="1140">
          <cell r="A1140" t="str">
            <v>US</v>
          </cell>
          <cell r="B1140" t="e">
            <v>#N/A</v>
          </cell>
        </row>
        <row r="1141">
          <cell r="A1141" t="str">
            <v>US</v>
          </cell>
          <cell r="B1141" t="e">
            <v>#N/A</v>
          </cell>
        </row>
        <row r="1142">
          <cell r="A1142" t="str">
            <v>US</v>
          </cell>
          <cell r="B1142" t="e">
            <v>#N/A</v>
          </cell>
        </row>
        <row r="1143">
          <cell r="A1143" t="str">
            <v>US</v>
          </cell>
          <cell r="B1143" t="e">
            <v>#N/A</v>
          </cell>
        </row>
        <row r="1144">
          <cell r="A1144" t="str">
            <v>US</v>
          </cell>
          <cell r="B1144" t="e">
            <v>#N/A</v>
          </cell>
        </row>
        <row r="1145">
          <cell r="A1145" t="str">
            <v>US</v>
          </cell>
          <cell r="B1145" t="e">
            <v>#N/A</v>
          </cell>
        </row>
        <row r="1146">
          <cell r="A1146" t="str">
            <v>US</v>
          </cell>
          <cell r="B1146" t="e">
            <v>#N/A</v>
          </cell>
        </row>
        <row r="1147">
          <cell r="A1147" t="str">
            <v>US</v>
          </cell>
          <cell r="B1147" t="e">
            <v>#N/A</v>
          </cell>
        </row>
        <row r="1148">
          <cell r="A1148" t="str">
            <v>US</v>
          </cell>
          <cell r="B1148" t="e">
            <v>#N/A</v>
          </cell>
        </row>
        <row r="1149">
          <cell r="A1149" t="str">
            <v>US</v>
          </cell>
          <cell r="B1149" t="e">
            <v>#N/A</v>
          </cell>
        </row>
        <row r="1150">
          <cell r="A1150" t="str">
            <v>US</v>
          </cell>
          <cell r="B1150" t="e">
            <v>#N/A</v>
          </cell>
        </row>
        <row r="1151">
          <cell r="A1151" t="str">
            <v>US</v>
          </cell>
          <cell r="B1151" t="e">
            <v>#N/A</v>
          </cell>
        </row>
        <row r="1152">
          <cell r="A1152" t="str">
            <v>US</v>
          </cell>
          <cell r="B1152" t="e">
            <v>#N/A</v>
          </cell>
        </row>
        <row r="1153">
          <cell r="A1153" t="str">
            <v>US</v>
          </cell>
          <cell r="B1153" t="e">
            <v>#N/A</v>
          </cell>
        </row>
        <row r="1154">
          <cell r="A1154" t="str">
            <v>US</v>
          </cell>
          <cell r="B1154" t="e">
            <v>#N/A</v>
          </cell>
        </row>
        <row r="1155">
          <cell r="A1155" t="str">
            <v>US</v>
          </cell>
          <cell r="B1155" t="e">
            <v>#N/A</v>
          </cell>
        </row>
        <row r="1156">
          <cell r="A1156" t="str">
            <v>US</v>
          </cell>
          <cell r="B1156" t="e">
            <v>#N/A</v>
          </cell>
        </row>
        <row r="1157">
          <cell r="A1157" t="str">
            <v>US</v>
          </cell>
          <cell r="B1157" t="e">
            <v>#N/A</v>
          </cell>
        </row>
        <row r="1158">
          <cell r="A1158" t="str">
            <v>US</v>
          </cell>
          <cell r="B1158" t="e">
            <v>#N/A</v>
          </cell>
        </row>
        <row r="1159">
          <cell r="A1159" t="str">
            <v>US</v>
          </cell>
          <cell r="B1159" t="e">
            <v>#N/A</v>
          </cell>
        </row>
        <row r="1160">
          <cell r="A1160" t="str">
            <v>US</v>
          </cell>
          <cell r="B1160" t="e">
            <v>#N/A</v>
          </cell>
        </row>
        <row r="1161">
          <cell r="A1161" t="str">
            <v>US</v>
          </cell>
          <cell r="B1161" t="e">
            <v>#N/A</v>
          </cell>
        </row>
        <row r="1162">
          <cell r="A1162" t="str">
            <v>US</v>
          </cell>
          <cell r="B1162" t="e">
            <v>#N/A</v>
          </cell>
        </row>
        <row r="1163">
          <cell r="A1163" t="str">
            <v>US</v>
          </cell>
          <cell r="B1163" t="e">
            <v>#N/A</v>
          </cell>
        </row>
        <row r="1164">
          <cell r="A1164" t="str">
            <v>US</v>
          </cell>
          <cell r="B1164" t="e">
            <v>#N/A</v>
          </cell>
        </row>
        <row r="1165">
          <cell r="A1165" t="str">
            <v>US</v>
          </cell>
          <cell r="B1165" t="e">
            <v>#N/A</v>
          </cell>
        </row>
        <row r="1166">
          <cell r="A1166" t="str">
            <v>US</v>
          </cell>
          <cell r="B1166" t="e">
            <v>#N/A</v>
          </cell>
        </row>
        <row r="1167">
          <cell r="A1167" t="str">
            <v>US</v>
          </cell>
          <cell r="B1167" t="e">
            <v>#N/A</v>
          </cell>
        </row>
        <row r="1168">
          <cell r="A1168" t="str">
            <v>US</v>
          </cell>
          <cell r="B1168" t="e">
            <v>#N/A</v>
          </cell>
        </row>
        <row r="1169">
          <cell r="A1169" t="str">
            <v>US</v>
          </cell>
          <cell r="B1169" t="e">
            <v>#N/A</v>
          </cell>
        </row>
        <row r="1170">
          <cell r="A1170" t="str">
            <v>US</v>
          </cell>
          <cell r="B1170" t="e">
            <v>#N/A</v>
          </cell>
        </row>
        <row r="1171">
          <cell r="A1171" t="str">
            <v>US</v>
          </cell>
          <cell r="B1171" t="e">
            <v>#N/A</v>
          </cell>
        </row>
        <row r="1172">
          <cell r="A1172" t="str">
            <v>US</v>
          </cell>
          <cell r="B1172" t="e">
            <v>#N/A</v>
          </cell>
        </row>
        <row r="1173">
          <cell r="A1173" t="str">
            <v>US</v>
          </cell>
          <cell r="B1173" t="e">
            <v>#N/A</v>
          </cell>
        </row>
        <row r="1174">
          <cell r="A1174" t="str">
            <v>US</v>
          </cell>
          <cell r="B1174" t="e">
            <v>#N/A</v>
          </cell>
        </row>
        <row r="1175">
          <cell r="A1175" t="str">
            <v>US</v>
          </cell>
          <cell r="B1175" t="e">
            <v>#N/A</v>
          </cell>
        </row>
        <row r="1176">
          <cell r="A1176" t="str">
            <v>US</v>
          </cell>
          <cell r="B1176" t="e">
            <v>#N/A</v>
          </cell>
        </row>
        <row r="1177">
          <cell r="A1177" t="str">
            <v>US</v>
          </cell>
          <cell r="B1177" t="e">
            <v>#N/A</v>
          </cell>
        </row>
        <row r="1178">
          <cell r="A1178" t="str">
            <v>US</v>
          </cell>
          <cell r="B1178" t="e">
            <v>#N/A</v>
          </cell>
        </row>
        <row r="1179">
          <cell r="A1179" t="str">
            <v>US</v>
          </cell>
          <cell r="B1179" t="e">
            <v>#N/A</v>
          </cell>
        </row>
        <row r="1180">
          <cell r="A1180" t="str">
            <v>US</v>
          </cell>
          <cell r="B1180" t="e">
            <v>#N/A</v>
          </cell>
        </row>
        <row r="1181">
          <cell r="A1181" t="str">
            <v>US</v>
          </cell>
          <cell r="B1181" t="e">
            <v>#N/A</v>
          </cell>
        </row>
        <row r="1182">
          <cell r="A1182" t="str">
            <v>US</v>
          </cell>
          <cell r="B1182" t="e">
            <v>#N/A</v>
          </cell>
        </row>
        <row r="1183">
          <cell r="A1183" t="str">
            <v>US</v>
          </cell>
          <cell r="B1183" t="e">
            <v>#N/A</v>
          </cell>
        </row>
        <row r="1184">
          <cell r="A1184" t="str">
            <v>US</v>
          </cell>
          <cell r="B1184" t="e">
            <v>#N/A</v>
          </cell>
        </row>
        <row r="1185">
          <cell r="A1185" t="str">
            <v>US</v>
          </cell>
          <cell r="B1185" t="e">
            <v>#N/A</v>
          </cell>
        </row>
        <row r="1186">
          <cell r="A1186" t="str">
            <v>US</v>
          </cell>
          <cell r="B1186" t="e">
            <v>#N/A</v>
          </cell>
        </row>
        <row r="1187">
          <cell r="A1187" t="str">
            <v>US</v>
          </cell>
          <cell r="B1187" t="e">
            <v>#N/A</v>
          </cell>
        </row>
        <row r="1188">
          <cell r="A1188" t="str">
            <v>US</v>
          </cell>
          <cell r="B1188" t="e">
            <v>#N/A</v>
          </cell>
        </row>
        <row r="1189">
          <cell r="A1189" t="str">
            <v>US</v>
          </cell>
          <cell r="B1189" t="e">
            <v>#N/A</v>
          </cell>
        </row>
        <row r="1190">
          <cell r="A1190" t="str">
            <v>US</v>
          </cell>
          <cell r="B1190" t="e">
            <v>#N/A</v>
          </cell>
        </row>
        <row r="1191">
          <cell r="A1191" t="str">
            <v>US</v>
          </cell>
          <cell r="B1191" t="e">
            <v>#N/A</v>
          </cell>
        </row>
        <row r="1192">
          <cell r="A1192" t="str">
            <v>US</v>
          </cell>
          <cell r="B1192" t="e">
            <v>#N/A</v>
          </cell>
        </row>
        <row r="1193">
          <cell r="A1193" t="str">
            <v>US</v>
          </cell>
          <cell r="B1193" t="e">
            <v>#N/A</v>
          </cell>
        </row>
        <row r="1194">
          <cell r="A1194" t="str">
            <v>US</v>
          </cell>
          <cell r="B1194" t="e">
            <v>#N/A</v>
          </cell>
        </row>
        <row r="1195">
          <cell r="A1195" t="str">
            <v>US</v>
          </cell>
          <cell r="B1195" t="e">
            <v>#N/A</v>
          </cell>
        </row>
        <row r="1196">
          <cell r="A1196" t="str">
            <v>US</v>
          </cell>
          <cell r="B1196" t="e">
            <v>#N/A</v>
          </cell>
        </row>
        <row r="1197">
          <cell r="A1197" t="str">
            <v>US</v>
          </cell>
          <cell r="B1197" t="e">
            <v>#N/A</v>
          </cell>
        </row>
        <row r="1198">
          <cell r="A1198" t="str">
            <v>US</v>
          </cell>
          <cell r="B1198" t="e">
            <v>#N/A</v>
          </cell>
        </row>
        <row r="1199">
          <cell r="A1199" t="str">
            <v>US</v>
          </cell>
          <cell r="B1199" t="e">
            <v>#N/A</v>
          </cell>
        </row>
        <row r="1200">
          <cell r="A1200" t="str">
            <v>US</v>
          </cell>
          <cell r="B1200" t="e">
            <v>#N/A</v>
          </cell>
        </row>
        <row r="1201">
          <cell r="A1201" t="str">
            <v>US</v>
          </cell>
          <cell r="B1201" t="e">
            <v>#N/A</v>
          </cell>
        </row>
        <row r="1202">
          <cell r="A1202" t="str">
            <v>US</v>
          </cell>
          <cell r="B1202" t="e">
            <v>#N/A</v>
          </cell>
        </row>
        <row r="1203">
          <cell r="A1203" t="str">
            <v>US</v>
          </cell>
          <cell r="B1203" t="e">
            <v>#N/A</v>
          </cell>
        </row>
        <row r="1204">
          <cell r="A1204" t="str">
            <v>US</v>
          </cell>
          <cell r="B1204" t="e">
            <v>#N/A</v>
          </cell>
        </row>
        <row r="1205">
          <cell r="A1205" t="str">
            <v>US</v>
          </cell>
          <cell r="B1205" t="e">
            <v>#N/A</v>
          </cell>
        </row>
        <row r="1206">
          <cell r="A1206" t="str">
            <v>US</v>
          </cell>
          <cell r="B1206" t="e">
            <v>#N/A</v>
          </cell>
        </row>
        <row r="1207">
          <cell r="A1207" t="str">
            <v>US</v>
          </cell>
          <cell r="B1207" t="e">
            <v>#N/A</v>
          </cell>
        </row>
        <row r="1208">
          <cell r="A1208" t="str">
            <v>US</v>
          </cell>
          <cell r="B1208" t="e">
            <v>#N/A</v>
          </cell>
        </row>
        <row r="1209">
          <cell r="A1209" t="str">
            <v>US</v>
          </cell>
          <cell r="B1209" t="e">
            <v>#N/A</v>
          </cell>
        </row>
        <row r="1210">
          <cell r="A1210" t="str">
            <v>US</v>
          </cell>
          <cell r="B1210" t="e">
            <v>#N/A</v>
          </cell>
        </row>
        <row r="1211">
          <cell r="A1211" t="str">
            <v>US</v>
          </cell>
          <cell r="B1211" t="e">
            <v>#N/A</v>
          </cell>
        </row>
        <row r="1212">
          <cell r="A1212" t="str">
            <v>US</v>
          </cell>
          <cell r="B1212" t="e">
            <v>#N/A</v>
          </cell>
        </row>
        <row r="1213">
          <cell r="A1213" t="str">
            <v>US</v>
          </cell>
          <cell r="B1213" t="e">
            <v>#N/A</v>
          </cell>
        </row>
        <row r="1214">
          <cell r="A1214" t="str">
            <v>US</v>
          </cell>
          <cell r="B1214" t="e">
            <v>#N/A</v>
          </cell>
        </row>
        <row r="1215">
          <cell r="A1215" t="str">
            <v>US</v>
          </cell>
          <cell r="B1215" t="e">
            <v>#N/A</v>
          </cell>
        </row>
        <row r="1216">
          <cell r="A1216" t="str">
            <v>US</v>
          </cell>
          <cell r="B1216" t="e">
            <v>#N/A</v>
          </cell>
        </row>
        <row r="1217">
          <cell r="A1217" t="str">
            <v>US</v>
          </cell>
          <cell r="B1217" t="e">
            <v>#N/A</v>
          </cell>
        </row>
        <row r="1218">
          <cell r="A1218" t="str">
            <v>US</v>
          </cell>
          <cell r="B1218" t="e">
            <v>#N/A</v>
          </cell>
        </row>
        <row r="1219">
          <cell r="A1219" t="str">
            <v>US</v>
          </cell>
          <cell r="B1219" t="e">
            <v>#N/A</v>
          </cell>
        </row>
        <row r="1220">
          <cell r="A1220" t="str">
            <v>US</v>
          </cell>
          <cell r="B1220" t="e">
            <v>#N/A</v>
          </cell>
        </row>
        <row r="1221">
          <cell r="A1221" t="str">
            <v>US</v>
          </cell>
          <cell r="B1221" t="e">
            <v>#N/A</v>
          </cell>
        </row>
        <row r="1222">
          <cell r="A1222" t="str">
            <v>US</v>
          </cell>
          <cell r="B1222" t="e">
            <v>#N/A</v>
          </cell>
        </row>
        <row r="1223">
          <cell r="A1223" t="str">
            <v>US</v>
          </cell>
          <cell r="B1223" t="e">
            <v>#N/A</v>
          </cell>
        </row>
        <row r="1224">
          <cell r="A1224" t="str">
            <v>US</v>
          </cell>
          <cell r="B1224" t="e">
            <v>#N/A</v>
          </cell>
        </row>
        <row r="1225">
          <cell r="A1225" t="str">
            <v>US</v>
          </cell>
          <cell r="B1225" t="e">
            <v>#N/A</v>
          </cell>
        </row>
        <row r="1226">
          <cell r="A1226" t="str">
            <v>US</v>
          </cell>
          <cell r="B1226" t="e">
            <v>#N/A</v>
          </cell>
        </row>
        <row r="1227">
          <cell r="A1227" t="str">
            <v>US</v>
          </cell>
          <cell r="B1227" t="e">
            <v>#N/A</v>
          </cell>
        </row>
        <row r="1228">
          <cell r="A1228" t="str">
            <v>US</v>
          </cell>
          <cell r="B1228" t="e">
            <v>#N/A</v>
          </cell>
        </row>
        <row r="1229">
          <cell r="A1229" t="str">
            <v>US</v>
          </cell>
          <cell r="B1229" t="e">
            <v>#N/A</v>
          </cell>
        </row>
        <row r="1230">
          <cell r="A1230" t="str">
            <v>US</v>
          </cell>
          <cell r="B1230" t="e">
            <v>#N/A</v>
          </cell>
        </row>
        <row r="1231">
          <cell r="A1231" t="str">
            <v>US</v>
          </cell>
          <cell r="B1231" t="e">
            <v>#N/A</v>
          </cell>
        </row>
        <row r="1232">
          <cell r="A1232" t="str">
            <v>US</v>
          </cell>
          <cell r="B1232" t="e">
            <v>#N/A</v>
          </cell>
        </row>
        <row r="1233">
          <cell r="A1233" t="str">
            <v>US</v>
          </cell>
          <cell r="B1233" t="e">
            <v>#N/A</v>
          </cell>
        </row>
        <row r="1234">
          <cell r="A1234" t="str">
            <v>US</v>
          </cell>
          <cell r="B1234" t="e">
            <v>#N/A</v>
          </cell>
        </row>
        <row r="1235">
          <cell r="A1235" t="str">
            <v>US</v>
          </cell>
          <cell r="B1235" t="e">
            <v>#N/A</v>
          </cell>
        </row>
        <row r="1236">
          <cell r="A1236" t="str">
            <v>US</v>
          </cell>
          <cell r="B1236" t="e">
            <v>#N/A</v>
          </cell>
        </row>
        <row r="1237">
          <cell r="A1237" t="str">
            <v>US</v>
          </cell>
          <cell r="B1237" t="e">
            <v>#N/A</v>
          </cell>
        </row>
        <row r="1238">
          <cell r="A1238" t="str">
            <v>US</v>
          </cell>
          <cell r="B1238" t="e">
            <v>#N/A</v>
          </cell>
        </row>
        <row r="1239">
          <cell r="A1239" t="str">
            <v>US</v>
          </cell>
          <cell r="B1239" t="e">
            <v>#N/A</v>
          </cell>
        </row>
        <row r="1240">
          <cell r="A1240" t="str">
            <v>US</v>
          </cell>
          <cell r="B1240" t="e">
            <v>#N/A</v>
          </cell>
        </row>
        <row r="1241">
          <cell r="A1241" t="str">
            <v>US</v>
          </cell>
          <cell r="B1241" t="e">
            <v>#N/A</v>
          </cell>
        </row>
        <row r="1242">
          <cell r="A1242" t="str">
            <v>US</v>
          </cell>
          <cell r="B1242" t="e">
            <v>#N/A</v>
          </cell>
        </row>
        <row r="1243">
          <cell r="A1243" t="str">
            <v>US</v>
          </cell>
          <cell r="B1243" t="e">
            <v>#N/A</v>
          </cell>
        </row>
        <row r="1244">
          <cell r="A1244" t="str">
            <v>US</v>
          </cell>
          <cell r="B1244" t="e">
            <v>#N/A</v>
          </cell>
        </row>
        <row r="1245">
          <cell r="A1245" t="str">
            <v>US</v>
          </cell>
          <cell r="B1245" t="e">
            <v>#N/A</v>
          </cell>
        </row>
        <row r="1246">
          <cell r="A1246" t="str">
            <v>US</v>
          </cell>
          <cell r="B1246" t="e">
            <v>#N/A</v>
          </cell>
        </row>
        <row r="1247">
          <cell r="A1247" t="str">
            <v>US</v>
          </cell>
          <cell r="B1247" t="e">
            <v>#N/A</v>
          </cell>
        </row>
        <row r="1248">
          <cell r="A1248" t="str">
            <v>US</v>
          </cell>
          <cell r="B1248" t="e">
            <v>#N/A</v>
          </cell>
        </row>
        <row r="1249">
          <cell r="A1249" t="str">
            <v>US</v>
          </cell>
          <cell r="B1249" t="e">
            <v>#N/A</v>
          </cell>
        </row>
        <row r="1250">
          <cell r="A1250" t="str">
            <v>US</v>
          </cell>
          <cell r="B1250" t="e">
            <v>#N/A</v>
          </cell>
        </row>
        <row r="1251">
          <cell r="A1251" t="str">
            <v>US</v>
          </cell>
          <cell r="B1251" t="e">
            <v>#N/A</v>
          </cell>
        </row>
        <row r="1252">
          <cell r="A1252" t="str">
            <v>US</v>
          </cell>
          <cell r="B1252" t="e">
            <v>#N/A</v>
          </cell>
        </row>
        <row r="1253">
          <cell r="A1253" t="str">
            <v>US</v>
          </cell>
          <cell r="B1253" t="e">
            <v>#N/A</v>
          </cell>
        </row>
        <row r="1254">
          <cell r="A1254" t="str">
            <v>US</v>
          </cell>
          <cell r="B1254" t="e">
            <v>#N/A</v>
          </cell>
        </row>
        <row r="1255">
          <cell r="A1255" t="str">
            <v>US</v>
          </cell>
          <cell r="B1255" t="e">
            <v>#N/A</v>
          </cell>
        </row>
        <row r="1256">
          <cell r="A1256" t="str">
            <v>US</v>
          </cell>
          <cell r="B1256" t="e">
            <v>#N/A</v>
          </cell>
        </row>
        <row r="1257">
          <cell r="A1257" t="str">
            <v>US</v>
          </cell>
          <cell r="B1257" t="e">
            <v>#N/A</v>
          </cell>
        </row>
        <row r="1258">
          <cell r="A1258" t="str">
            <v>US</v>
          </cell>
          <cell r="B1258" t="e">
            <v>#N/A</v>
          </cell>
        </row>
        <row r="1259">
          <cell r="A1259" t="str">
            <v>US</v>
          </cell>
          <cell r="B1259" t="e">
            <v>#N/A</v>
          </cell>
        </row>
        <row r="1260">
          <cell r="A1260" t="str">
            <v>US</v>
          </cell>
          <cell r="B1260" t="e">
            <v>#N/A</v>
          </cell>
        </row>
        <row r="1261">
          <cell r="A1261" t="str">
            <v>US</v>
          </cell>
          <cell r="B1261" t="e">
            <v>#N/A</v>
          </cell>
        </row>
        <row r="1262">
          <cell r="A1262" t="str">
            <v>US</v>
          </cell>
          <cell r="B1262" t="e">
            <v>#N/A</v>
          </cell>
        </row>
        <row r="1263">
          <cell r="A1263" t="str">
            <v>US</v>
          </cell>
          <cell r="B1263" t="e">
            <v>#N/A</v>
          </cell>
        </row>
        <row r="1264">
          <cell r="A1264" t="str">
            <v>US</v>
          </cell>
          <cell r="B1264" t="e">
            <v>#N/A</v>
          </cell>
        </row>
        <row r="1265">
          <cell r="A1265" t="str">
            <v>US</v>
          </cell>
          <cell r="B1265" t="e">
            <v>#N/A</v>
          </cell>
        </row>
        <row r="1266">
          <cell r="A1266" t="str">
            <v>US</v>
          </cell>
          <cell r="B1266" t="e">
            <v>#N/A</v>
          </cell>
        </row>
        <row r="1267">
          <cell r="A1267" t="str">
            <v>US</v>
          </cell>
          <cell r="B1267" t="e">
            <v>#N/A</v>
          </cell>
        </row>
        <row r="1268">
          <cell r="A1268" t="str">
            <v>US</v>
          </cell>
          <cell r="B1268" t="e">
            <v>#N/A</v>
          </cell>
        </row>
        <row r="1269">
          <cell r="A1269" t="str">
            <v>US</v>
          </cell>
          <cell r="B1269" t="e">
            <v>#N/A</v>
          </cell>
        </row>
        <row r="1270">
          <cell r="A1270" t="str">
            <v>US</v>
          </cell>
          <cell r="B1270" t="e">
            <v>#N/A</v>
          </cell>
        </row>
        <row r="1271">
          <cell r="A1271" t="str">
            <v>US</v>
          </cell>
          <cell r="B1271" t="e">
            <v>#N/A</v>
          </cell>
        </row>
        <row r="1272">
          <cell r="A1272" t="str">
            <v>US</v>
          </cell>
          <cell r="B1272" t="e">
            <v>#N/A</v>
          </cell>
        </row>
        <row r="1273">
          <cell r="A1273" t="str">
            <v>US</v>
          </cell>
          <cell r="B1273" t="e">
            <v>#N/A</v>
          </cell>
        </row>
        <row r="1274">
          <cell r="A1274" t="str">
            <v>US</v>
          </cell>
          <cell r="B1274" t="e">
            <v>#N/A</v>
          </cell>
        </row>
        <row r="1275">
          <cell r="A1275" t="str">
            <v>US</v>
          </cell>
          <cell r="B1275" t="e">
            <v>#N/A</v>
          </cell>
        </row>
        <row r="1276">
          <cell r="A1276" t="str">
            <v>US</v>
          </cell>
          <cell r="B1276" t="e">
            <v>#N/A</v>
          </cell>
        </row>
        <row r="1277">
          <cell r="A1277" t="str">
            <v>US</v>
          </cell>
          <cell r="B1277" t="e">
            <v>#N/A</v>
          </cell>
        </row>
        <row r="1278">
          <cell r="A1278" t="str">
            <v>US</v>
          </cell>
          <cell r="B1278" t="e">
            <v>#N/A</v>
          </cell>
        </row>
        <row r="1279">
          <cell r="A1279" t="str">
            <v>US</v>
          </cell>
          <cell r="B1279" t="e">
            <v>#N/A</v>
          </cell>
        </row>
        <row r="1280">
          <cell r="A1280" t="str">
            <v>US</v>
          </cell>
          <cell r="B1280" t="e">
            <v>#N/A</v>
          </cell>
        </row>
        <row r="1281">
          <cell r="A1281" t="str">
            <v>US</v>
          </cell>
          <cell r="B1281" t="e">
            <v>#N/A</v>
          </cell>
        </row>
        <row r="1282">
          <cell r="A1282" t="str">
            <v>US</v>
          </cell>
          <cell r="B1282" t="e">
            <v>#N/A</v>
          </cell>
        </row>
        <row r="1283">
          <cell r="A1283" t="str">
            <v>US</v>
          </cell>
          <cell r="B1283" t="e">
            <v>#N/A</v>
          </cell>
        </row>
        <row r="1284">
          <cell r="A1284" t="str">
            <v>US</v>
          </cell>
          <cell r="B1284" t="e">
            <v>#N/A</v>
          </cell>
        </row>
        <row r="1285">
          <cell r="A1285" t="str">
            <v>US</v>
          </cell>
          <cell r="B1285" t="e">
            <v>#N/A</v>
          </cell>
        </row>
        <row r="1286">
          <cell r="A1286" t="str">
            <v>US</v>
          </cell>
          <cell r="B1286" t="e">
            <v>#N/A</v>
          </cell>
        </row>
        <row r="1287">
          <cell r="A1287" t="str">
            <v>US</v>
          </cell>
          <cell r="B1287" t="e">
            <v>#N/A</v>
          </cell>
        </row>
        <row r="1288">
          <cell r="A1288" t="str">
            <v>US</v>
          </cell>
          <cell r="B1288" t="e">
            <v>#N/A</v>
          </cell>
        </row>
        <row r="1289">
          <cell r="A1289" t="str">
            <v>US</v>
          </cell>
          <cell r="B1289" t="e">
            <v>#N/A</v>
          </cell>
        </row>
        <row r="1290">
          <cell r="A1290" t="str">
            <v>US</v>
          </cell>
          <cell r="B1290" t="e">
            <v>#N/A</v>
          </cell>
        </row>
        <row r="1291">
          <cell r="A1291" t="str">
            <v>US</v>
          </cell>
          <cell r="B1291" t="e">
            <v>#N/A</v>
          </cell>
        </row>
        <row r="1292">
          <cell r="A1292" t="str">
            <v>US</v>
          </cell>
          <cell r="B1292" t="e">
            <v>#N/A</v>
          </cell>
        </row>
        <row r="1293">
          <cell r="A1293" t="str">
            <v>US</v>
          </cell>
          <cell r="B1293" t="e">
            <v>#N/A</v>
          </cell>
        </row>
        <row r="1294">
          <cell r="A1294" t="str">
            <v>US</v>
          </cell>
          <cell r="B1294" t="e">
            <v>#N/A</v>
          </cell>
        </row>
        <row r="1295">
          <cell r="A1295" t="str">
            <v>US</v>
          </cell>
          <cell r="B1295" t="e">
            <v>#N/A</v>
          </cell>
        </row>
        <row r="1296">
          <cell r="A1296" t="str">
            <v>US</v>
          </cell>
          <cell r="B1296" t="e">
            <v>#N/A</v>
          </cell>
        </row>
        <row r="1297">
          <cell r="A1297" t="str">
            <v>US</v>
          </cell>
          <cell r="B1297" t="e">
            <v>#N/A</v>
          </cell>
        </row>
        <row r="1298">
          <cell r="A1298" t="str">
            <v>US</v>
          </cell>
          <cell r="B1298" t="e">
            <v>#N/A</v>
          </cell>
        </row>
        <row r="1299">
          <cell r="A1299" t="str">
            <v>US</v>
          </cell>
          <cell r="B1299" t="e">
            <v>#N/A</v>
          </cell>
        </row>
        <row r="1300">
          <cell r="A1300" t="str">
            <v>US</v>
          </cell>
          <cell r="B1300" t="e">
            <v>#N/A</v>
          </cell>
        </row>
        <row r="1301">
          <cell r="A1301" t="str">
            <v>US</v>
          </cell>
          <cell r="B1301" t="e">
            <v>#N/A</v>
          </cell>
        </row>
        <row r="1302">
          <cell r="A1302" t="str">
            <v>US</v>
          </cell>
          <cell r="B1302" t="e">
            <v>#N/A</v>
          </cell>
        </row>
        <row r="1303">
          <cell r="A1303" t="str">
            <v>US</v>
          </cell>
          <cell r="B1303" t="e">
            <v>#N/A</v>
          </cell>
        </row>
        <row r="1304">
          <cell r="A1304" t="str">
            <v>US</v>
          </cell>
          <cell r="B1304" t="e">
            <v>#N/A</v>
          </cell>
        </row>
        <row r="1305">
          <cell r="A1305" t="str">
            <v>US</v>
          </cell>
          <cell r="B1305" t="e">
            <v>#N/A</v>
          </cell>
        </row>
        <row r="1306">
          <cell r="A1306" t="str">
            <v>US</v>
          </cell>
          <cell r="B1306" t="e">
            <v>#N/A</v>
          </cell>
        </row>
        <row r="1307">
          <cell r="A1307" t="str">
            <v>US</v>
          </cell>
          <cell r="B1307" t="e">
            <v>#N/A</v>
          </cell>
        </row>
        <row r="1308">
          <cell r="A1308" t="str">
            <v>US</v>
          </cell>
          <cell r="B1308" t="e">
            <v>#N/A</v>
          </cell>
        </row>
        <row r="1309">
          <cell r="A1309" t="str">
            <v>US</v>
          </cell>
          <cell r="B1309" t="e">
            <v>#N/A</v>
          </cell>
        </row>
        <row r="1310">
          <cell r="A1310" t="str">
            <v>US</v>
          </cell>
          <cell r="B1310" t="e">
            <v>#N/A</v>
          </cell>
        </row>
        <row r="1311">
          <cell r="A1311" t="str">
            <v>US</v>
          </cell>
          <cell r="B1311" t="e">
            <v>#N/A</v>
          </cell>
        </row>
        <row r="1312">
          <cell r="A1312" t="str">
            <v>US</v>
          </cell>
          <cell r="B1312" t="e">
            <v>#N/A</v>
          </cell>
        </row>
        <row r="1313">
          <cell r="A1313" t="str">
            <v>US</v>
          </cell>
          <cell r="B1313" t="e">
            <v>#N/A</v>
          </cell>
        </row>
        <row r="1314">
          <cell r="A1314" t="str">
            <v>US</v>
          </cell>
          <cell r="B1314" t="e">
            <v>#N/A</v>
          </cell>
        </row>
        <row r="1315">
          <cell r="A1315" t="str">
            <v>US</v>
          </cell>
          <cell r="B1315" t="e">
            <v>#N/A</v>
          </cell>
        </row>
        <row r="1316">
          <cell r="A1316" t="str">
            <v>US</v>
          </cell>
          <cell r="B1316" t="e">
            <v>#N/A</v>
          </cell>
        </row>
        <row r="1317">
          <cell r="A1317" t="str">
            <v>US</v>
          </cell>
          <cell r="B1317" t="e">
            <v>#N/A</v>
          </cell>
        </row>
        <row r="1318">
          <cell r="A1318" t="str">
            <v>US</v>
          </cell>
          <cell r="B1318" t="e">
            <v>#N/A</v>
          </cell>
        </row>
        <row r="1319">
          <cell r="A1319" t="str">
            <v>US</v>
          </cell>
          <cell r="B1319" t="e">
            <v>#N/A</v>
          </cell>
        </row>
        <row r="1320">
          <cell r="A1320" t="str">
            <v>US</v>
          </cell>
          <cell r="B1320" t="e">
            <v>#N/A</v>
          </cell>
        </row>
        <row r="1321">
          <cell r="A1321" t="str">
            <v>US</v>
          </cell>
          <cell r="B1321" t="e">
            <v>#N/A</v>
          </cell>
        </row>
        <row r="1322">
          <cell r="A1322" t="str">
            <v>US</v>
          </cell>
          <cell r="B1322" t="e">
            <v>#N/A</v>
          </cell>
        </row>
        <row r="1323">
          <cell r="A1323" t="str">
            <v>US</v>
          </cell>
          <cell r="B1323" t="e">
            <v>#N/A</v>
          </cell>
        </row>
        <row r="1324">
          <cell r="A1324" t="str">
            <v>US</v>
          </cell>
          <cell r="B1324" t="e">
            <v>#N/A</v>
          </cell>
        </row>
        <row r="1325">
          <cell r="A1325" t="str">
            <v>US</v>
          </cell>
          <cell r="B1325" t="e">
            <v>#N/A</v>
          </cell>
        </row>
        <row r="1326">
          <cell r="A1326" t="str">
            <v>US</v>
          </cell>
          <cell r="B1326" t="e">
            <v>#N/A</v>
          </cell>
        </row>
        <row r="1327">
          <cell r="A1327" t="str">
            <v>US</v>
          </cell>
          <cell r="B1327" t="e">
            <v>#N/A</v>
          </cell>
        </row>
        <row r="1328">
          <cell r="A1328" t="str">
            <v>US</v>
          </cell>
          <cell r="B1328" t="e">
            <v>#N/A</v>
          </cell>
        </row>
        <row r="1329">
          <cell r="A1329" t="str">
            <v>US</v>
          </cell>
          <cell r="B1329" t="e">
            <v>#N/A</v>
          </cell>
        </row>
        <row r="1330">
          <cell r="A1330" t="str">
            <v>US</v>
          </cell>
          <cell r="B1330" t="e">
            <v>#N/A</v>
          </cell>
        </row>
        <row r="1331">
          <cell r="A1331" t="str">
            <v>US</v>
          </cell>
          <cell r="B1331" t="e">
            <v>#N/A</v>
          </cell>
        </row>
        <row r="1332">
          <cell r="A1332" t="str">
            <v>US</v>
          </cell>
          <cell r="B1332" t="e">
            <v>#N/A</v>
          </cell>
        </row>
        <row r="1333">
          <cell r="A1333" t="str">
            <v>US</v>
          </cell>
          <cell r="B1333" t="e">
            <v>#N/A</v>
          </cell>
        </row>
        <row r="1334">
          <cell r="A1334" t="str">
            <v>US</v>
          </cell>
          <cell r="B1334" t="e">
            <v>#N/A</v>
          </cell>
        </row>
        <row r="1335">
          <cell r="A1335" t="str">
            <v>US</v>
          </cell>
          <cell r="B1335" t="e">
            <v>#N/A</v>
          </cell>
        </row>
        <row r="1336">
          <cell r="A1336" t="str">
            <v>US</v>
          </cell>
          <cell r="B1336" t="e">
            <v>#N/A</v>
          </cell>
        </row>
        <row r="1337">
          <cell r="A1337" t="str">
            <v>US</v>
          </cell>
          <cell r="B1337" t="e">
            <v>#N/A</v>
          </cell>
        </row>
        <row r="1338">
          <cell r="A1338" t="str">
            <v>US</v>
          </cell>
          <cell r="B1338" t="e">
            <v>#N/A</v>
          </cell>
        </row>
        <row r="1339">
          <cell r="A1339" t="str">
            <v>US</v>
          </cell>
          <cell r="B1339" t="e">
            <v>#N/A</v>
          </cell>
        </row>
        <row r="1340">
          <cell r="A1340" t="str">
            <v>US</v>
          </cell>
          <cell r="B1340" t="e">
            <v>#N/A</v>
          </cell>
        </row>
        <row r="1341">
          <cell r="A1341" t="str">
            <v>US</v>
          </cell>
          <cell r="B1341" t="e">
            <v>#N/A</v>
          </cell>
        </row>
        <row r="1342">
          <cell r="A1342" t="str">
            <v>US</v>
          </cell>
          <cell r="B1342" t="e">
            <v>#N/A</v>
          </cell>
        </row>
        <row r="1343">
          <cell r="A1343" t="str">
            <v>US</v>
          </cell>
          <cell r="B1343" t="e">
            <v>#N/A</v>
          </cell>
        </row>
        <row r="1344">
          <cell r="A1344" t="str">
            <v>US</v>
          </cell>
          <cell r="B1344" t="e">
            <v>#N/A</v>
          </cell>
        </row>
        <row r="1345">
          <cell r="A1345" t="str">
            <v>US</v>
          </cell>
          <cell r="B1345" t="e">
            <v>#N/A</v>
          </cell>
        </row>
        <row r="1346">
          <cell r="A1346" t="str">
            <v>US</v>
          </cell>
          <cell r="B1346" t="e">
            <v>#N/A</v>
          </cell>
        </row>
        <row r="1347">
          <cell r="A1347" t="str">
            <v>US</v>
          </cell>
          <cell r="B1347" t="e">
            <v>#N/A</v>
          </cell>
        </row>
        <row r="1348">
          <cell r="A1348" t="str">
            <v>US</v>
          </cell>
          <cell r="B1348" t="e">
            <v>#N/A</v>
          </cell>
        </row>
        <row r="1349">
          <cell r="A1349" t="str">
            <v>US</v>
          </cell>
          <cell r="B1349" t="e">
            <v>#N/A</v>
          </cell>
        </row>
        <row r="1350">
          <cell r="A1350" t="str">
            <v>US</v>
          </cell>
          <cell r="B1350" t="e">
            <v>#N/A</v>
          </cell>
        </row>
        <row r="1351">
          <cell r="A1351" t="str">
            <v>US</v>
          </cell>
          <cell r="B1351" t="e">
            <v>#N/A</v>
          </cell>
        </row>
        <row r="1352">
          <cell r="A1352" t="str">
            <v>US</v>
          </cell>
          <cell r="B1352" t="e">
            <v>#N/A</v>
          </cell>
        </row>
        <row r="1353">
          <cell r="A1353" t="str">
            <v>US</v>
          </cell>
          <cell r="B1353" t="e">
            <v>#N/A</v>
          </cell>
        </row>
        <row r="1354">
          <cell r="A1354" t="str">
            <v>US</v>
          </cell>
          <cell r="B1354" t="e">
            <v>#N/A</v>
          </cell>
        </row>
        <row r="1355">
          <cell r="A1355" t="str">
            <v>US</v>
          </cell>
          <cell r="B1355" t="e">
            <v>#N/A</v>
          </cell>
        </row>
        <row r="1356">
          <cell r="A1356" t="str">
            <v>US</v>
          </cell>
          <cell r="B1356" t="e">
            <v>#N/A</v>
          </cell>
        </row>
        <row r="1357">
          <cell r="A1357" t="str">
            <v>US</v>
          </cell>
          <cell r="B1357" t="e">
            <v>#N/A</v>
          </cell>
        </row>
        <row r="1358">
          <cell r="A1358" t="str">
            <v>US</v>
          </cell>
          <cell r="B1358" t="e">
            <v>#N/A</v>
          </cell>
        </row>
        <row r="1359">
          <cell r="A1359" t="str">
            <v>US</v>
          </cell>
          <cell r="B1359" t="e">
            <v>#N/A</v>
          </cell>
        </row>
        <row r="1360">
          <cell r="A1360" t="str">
            <v>US</v>
          </cell>
          <cell r="B1360" t="e">
            <v>#N/A</v>
          </cell>
        </row>
        <row r="1361">
          <cell r="A1361" t="str">
            <v>US</v>
          </cell>
          <cell r="B1361" t="e">
            <v>#N/A</v>
          </cell>
        </row>
        <row r="1362">
          <cell r="A1362" t="str">
            <v>US</v>
          </cell>
          <cell r="B1362" t="e">
            <v>#N/A</v>
          </cell>
        </row>
        <row r="1363">
          <cell r="A1363" t="str">
            <v>US</v>
          </cell>
          <cell r="B1363" t="e">
            <v>#N/A</v>
          </cell>
        </row>
        <row r="1364">
          <cell r="A1364" t="str">
            <v>US</v>
          </cell>
          <cell r="B1364" t="e">
            <v>#N/A</v>
          </cell>
        </row>
        <row r="1365">
          <cell r="A1365" t="str">
            <v>US</v>
          </cell>
          <cell r="B1365" t="e">
            <v>#N/A</v>
          </cell>
        </row>
        <row r="1366">
          <cell r="A1366" t="str">
            <v>US</v>
          </cell>
          <cell r="B1366" t="e">
            <v>#N/A</v>
          </cell>
        </row>
        <row r="1367">
          <cell r="A1367" t="str">
            <v>US</v>
          </cell>
          <cell r="B1367" t="e">
            <v>#N/A</v>
          </cell>
        </row>
        <row r="1368">
          <cell r="A1368" t="str">
            <v>US</v>
          </cell>
          <cell r="B1368" t="e">
            <v>#N/A</v>
          </cell>
        </row>
        <row r="1369">
          <cell r="A1369" t="str">
            <v>US</v>
          </cell>
          <cell r="B1369" t="e">
            <v>#N/A</v>
          </cell>
        </row>
        <row r="1370">
          <cell r="A1370" t="str">
            <v>US</v>
          </cell>
          <cell r="B1370" t="e">
            <v>#N/A</v>
          </cell>
        </row>
        <row r="1371">
          <cell r="A1371" t="str">
            <v>US</v>
          </cell>
          <cell r="B1371" t="e">
            <v>#N/A</v>
          </cell>
        </row>
        <row r="1372">
          <cell r="A1372" t="str">
            <v>US</v>
          </cell>
          <cell r="B1372" t="e">
            <v>#N/A</v>
          </cell>
        </row>
        <row r="1373">
          <cell r="A1373" t="str">
            <v>US</v>
          </cell>
          <cell r="B1373" t="e">
            <v>#N/A</v>
          </cell>
        </row>
        <row r="1374">
          <cell r="A1374" t="str">
            <v>US</v>
          </cell>
          <cell r="B1374" t="e">
            <v>#N/A</v>
          </cell>
        </row>
        <row r="1375">
          <cell r="A1375" t="str">
            <v>US</v>
          </cell>
          <cell r="B1375" t="e">
            <v>#N/A</v>
          </cell>
        </row>
        <row r="1376">
          <cell r="A1376" t="str">
            <v>US</v>
          </cell>
          <cell r="B1376" t="e">
            <v>#N/A</v>
          </cell>
        </row>
        <row r="1377">
          <cell r="A1377" t="str">
            <v>US</v>
          </cell>
          <cell r="B1377" t="e">
            <v>#N/A</v>
          </cell>
        </row>
        <row r="1378">
          <cell r="A1378" t="str">
            <v>US</v>
          </cell>
          <cell r="B1378" t="e">
            <v>#N/A</v>
          </cell>
        </row>
        <row r="1379">
          <cell r="A1379" t="str">
            <v>US</v>
          </cell>
          <cell r="B1379" t="e">
            <v>#N/A</v>
          </cell>
        </row>
        <row r="1380">
          <cell r="A1380" t="str">
            <v>US</v>
          </cell>
          <cell r="B1380" t="e">
            <v>#N/A</v>
          </cell>
        </row>
        <row r="1381">
          <cell r="A1381" t="str">
            <v>US</v>
          </cell>
          <cell r="B1381" t="e">
            <v>#N/A</v>
          </cell>
        </row>
        <row r="1382">
          <cell r="A1382" t="str">
            <v>US</v>
          </cell>
          <cell r="B1382" t="e">
            <v>#N/A</v>
          </cell>
        </row>
        <row r="1383">
          <cell r="A1383" t="str">
            <v>US</v>
          </cell>
          <cell r="B1383" t="e">
            <v>#N/A</v>
          </cell>
        </row>
        <row r="1384">
          <cell r="A1384" t="str">
            <v>US</v>
          </cell>
          <cell r="B1384" t="e">
            <v>#N/A</v>
          </cell>
        </row>
        <row r="1385">
          <cell r="A1385" t="str">
            <v>US</v>
          </cell>
          <cell r="B1385" t="e">
            <v>#N/A</v>
          </cell>
        </row>
        <row r="1386">
          <cell r="A1386" t="str">
            <v>US</v>
          </cell>
          <cell r="B1386" t="e">
            <v>#N/A</v>
          </cell>
        </row>
        <row r="1387">
          <cell r="A1387" t="str">
            <v>US</v>
          </cell>
          <cell r="B1387" t="e">
            <v>#N/A</v>
          </cell>
        </row>
        <row r="1388">
          <cell r="A1388" t="str">
            <v>US</v>
          </cell>
          <cell r="B1388" t="e">
            <v>#N/A</v>
          </cell>
        </row>
        <row r="1389">
          <cell r="A1389" t="str">
            <v>US</v>
          </cell>
          <cell r="B1389" t="e">
            <v>#N/A</v>
          </cell>
        </row>
        <row r="1390">
          <cell r="A1390" t="str">
            <v>US</v>
          </cell>
          <cell r="B1390" t="e">
            <v>#N/A</v>
          </cell>
        </row>
        <row r="1391">
          <cell r="A1391" t="str">
            <v>US</v>
          </cell>
          <cell r="B1391" t="e">
            <v>#N/A</v>
          </cell>
        </row>
        <row r="1392">
          <cell r="A1392" t="str">
            <v>US</v>
          </cell>
          <cell r="B1392" t="e">
            <v>#N/A</v>
          </cell>
        </row>
        <row r="1393">
          <cell r="A1393" t="str">
            <v>US</v>
          </cell>
          <cell r="B1393" t="e">
            <v>#N/A</v>
          </cell>
        </row>
        <row r="1394">
          <cell r="A1394" t="str">
            <v>US</v>
          </cell>
          <cell r="B1394" t="e">
            <v>#N/A</v>
          </cell>
        </row>
        <row r="1395">
          <cell r="A1395" t="str">
            <v>US</v>
          </cell>
          <cell r="B1395" t="e">
            <v>#N/A</v>
          </cell>
        </row>
        <row r="1396">
          <cell r="A1396" t="str">
            <v>US</v>
          </cell>
          <cell r="B1396" t="e">
            <v>#N/A</v>
          </cell>
        </row>
        <row r="1397">
          <cell r="A1397" t="str">
            <v>US</v>
          </cell>
          <cell r="B1397" t="e">
            <v>#N/A</v>
          </cell>
        </row>
        <row r="1398">
          <cell r="A1398" t="str">
            <v>US</v>
          </cell>
          <cell r="B1398" t="e">
            <v>#N/A</v>
          </cell>
        </row>
        <row r="1399">
          <cell r="A1399" t="str">
            <v>US</v>
          </cell>
          <cell r="B1399" t="e">
            <v>#N/A</v>
          </cell>
        </row>
        <row r="1400">
          <cell r="A1400" t="str">
            <v>US</v>
          </cell>
          <cell r="B1400" t="e">
            <v>#N/A</v>
          </cell>
        </row>
        <row r="1401">
          <cell r="A1401" t="str">
            <v>US</v>
          </cell>
          <cell r="B1401" t="e">
            <v>#N/A</v>
          </cell>
        </row>
        <row r="1402">
          <cell r="A1402" t="str">
            <v>US</v>
          </cell>
          <cell r="B1402" t="e">
            <v>#N/A</v>
          </cell>
        </row>
        <row r="1403">
          <cell r="A1403" t="str">
            <v>US</v>
          </cell>
          <cell r="B1403" t="e">
            <v>#N/A</v>
          </cell>
        </row>
        <row r="1404">
          <cell r="A1404" t="str">
            <v>US</v>
          </cell>
          <cell r="B1404" t="e">
            <v>#N/A</v>
          </cell>
        </row>
        <row r="1405">
          <cell r="A1405" t="str">
            <v>US</v>
          </cell>
          <cell r="B1405" t="e">
            <v>#N/A</v>
          </cell>
        </row>
        <row r="1406">
          <cell r="A1406" t="str">
            <v>US</v>
          </cell>
          <cell r="B1406" t="e">
            <v>#N/A</v>
          </cell>
        </row>
        <row r="1407">
          <cell r="A1407" t="str">
            <v>US</v>
          </cell>
          <cell r="B1407" t="e">
            <v>#N/A</v>
          </cell>
        </row>
        <row r="1408">
          <cell r="A1408" t="str">
            <v>US</v>
          </cell>
          <cell r="B1408" t="e">
            <v>#N/A</v>
          </cell>
        </row>
        <row r="1409">
          <cell r="A1409" t="str">
            <v>US</v>
          </cell>
          <cell r="B1409" t="e">
            <v>#N/A</v>
          </cell>
        </row>
        <row r="1410">
          <cell r="A1410" t="str">
            <v>US</v>
          </cell>
          <cell r="B1410" t="e">
            <v>#N/A</v>
          </cell>
        </row>
        <row r="1411">
          <cell r="A1411" t="str">
            <v>US</v>
          </cell>
          <cell r="B1411" t="e">
            <v>#N/A</v>
          </cell>
        </row>
        <row r="1412">
          <cell r="A1412" t="str">
            <v>US</v>
          </cell>
          <cell r="B1412" t="e">
            <v>#N/A</v>
          </cell>
        </row>
        <row r="1413">
          <cell r="A1413" t="str">
            <v>US</v>
          </cell>
          <cell r="B1413" t="e">
            <v>#N/A</v>
          </cell>
        </row>
        <row r="1414">
          <cell r="A1414" t="str">
            <v>US</v>
          </cell>
          <cell r="B1414" t="e">
            <v>#N/A</v>
          </cell>
        </row>
        <row r="1415">
          <cell r="A1415" t="str">
            <v>US</v>
          </cell>
          <cell r="B1415" t="e">
            <v>#N/A</v>
          </cell>
        </row>
        <row r="1416">
          <cell r="A1416" t="str">
            <v>US</v>
          </cell>
          <cell r="B1416" t="e">
            <v>#N/A</v>
          </cell>
        </row>
        <row r="1417">
          <cell r="A1417" t="str">
            <v>US</v>
          </cell>
          <cell r="B1417" t="e">
            <v>#N/A</v>
          </cell>
        </row>
        <row r="1418">
          <cell r="A1418" t="str">
            <v>US</v>
          </cell>
          <cell r="B1418" t="e">
            <v>#N/A</v>
          </cell>
        </row>
        <row r="1419">
          <cell r="A1419" t="str">
            <v>US</v>
          </cell>
          <cell r="B1419" t="e">
            <v>#N/A</v>
          </cell>
        </row>
        <row r="1420">
          <cell r="A1420" t="str">
            <v>US</v>
          </cell>
          <cell r="B1420" t="e">
            <v>#N/A</v>
          </cell>
        </row>
        <row r="1421">
          <cell r="A1421" t="str">
            <v>US</v>
          </cell>
          <cell r="B1421" t="e">
            <v>#N/A</v>
          </cell>
        </row>
        <row r="1422">
          <cell r="A1422" t="str">
            <v>US</v>
          </cell>
          <cell r="B1422" t="e">
            <v>#N/A</v>
          </cell>
        </row>
        <row r="1423">
          <cell r="A1423" t="str">
            <v>US</v>
          </cell>
          <cell r="B1423" t="e">
            <v>#N/A</v>
          </cell>
        </row>
        <row r="1424">
          <cell r="A1424" t="str">
            <v>US</v>
          </cell>
          <cell r="B1424" t="e">
            <v>#N/A</v>
          </cell>
        </row>
        <row r="1425">
          <cell r="A1425" t="str">
            <v>US</v>
          </cell>
          <cell r="B1425" t="e">
            <v>#N/A</v>
          </cell>
        </row>
        <row r="1426">
          <cell r="A1426" t="str">
            <v>US</v>
          </cell>
          <cell r="B1426" t="e">
            <v>#N/A</v>
          </cell>
        </row>
        <row r="1427">
          <cell r="A1427" t="str">
            <v>US</v>
          </cell>
          <cell r="B1427" t="e">
            <v>#N/A</v>
          </cell>
        </row>
        <row r="1428">
          <cell r="A1428" t="str">
            <v>US</v>
          </cell>
          <cell r="B1428" t="e">
            <v>#N/A</v>
          </cell>
        </row>
        <row r="1429">
          <cell r="A1429" t="str">
            <v>US</v>
          </cell>
          <cell r="B1429" t="e">
            <v>#N/A</v>
          </cell>
        </row>
        <row r="1430">
          <cell r="A1430" t="str">
            <v>US</v>
          </cell>
          <cell r="B1430" t="e">
            <v>#N/A</v>
          </cell>
        </row>
        <row r="1431">
          <cell r="A1431" t="str">
            <v>US</v>
          </cell>
          <cell r="B1431" t="e">
            <v>#N/A</v>
          </cell>
        </row>
        <row r="1432">
          <cell r="A1432" t="str">
            <v>US</v>
          </cell>
          <cell r="B1432" t="e">
            <v>#N/A</v>
          </cell>
        </row>
        <row r="1433">
          <cell r="A1433" t="str">
            <v>US</v>
          </cell>
          <cell r="B1433" t="e">
            <v>#N/A</v>
          </cell>
        </row>
        <row r="1434">
          <cell r="A1434" t="str">
            <v>US</v>
          </cell>
          <cell r="B1434" t="e">
            <v>#N/A</v>
          </cell>
        </row>
        <row r="1435">
          <cell r="A1435" t="str">
            <v>US</v>
          </cell>
          <cell r="B1435" t="e">
            <v>#N/A</v>
          </cell>
        </row>
        <row r="1436">
          <cell r="A1436" t="str">
            <v>US</v>
          </cell>
          <cell r="B1436" t="e">
            <v>#N/A</v>
          </cell>
        </row>
        <row r="1437">
          <cell r="A1437" t="str">
            <v>US</v>
          </cell>
          <cell r="B1437" t="e">
            <v>#N/A</v>
          </cell>
        </row>
        <row r="1438">
          <cell r="A1438" t="str">
            <v>US</v>
          </cell>
          <cell r="B1438" t="e">
            <v>#N/A</v>
          </cell>
        </row>
        <row r="1439">
          <cell r="A1439" t="str">
            <v>US</v>
          </cell>
          <cell r="B1439" t="e">
            <v>#N/A</v>
          </cell>
        </row>
        <row r="1440">
          <cell r="A1440" t="str">
            <v>US</v>
          </cell>
          <cell r="B1440" t="e">
            <v>#N/A</v>
          </cell>
        </row>
        <row r="1441">
          <cell r="A1441" t="str">
            <v>US</v>
          </cell>
          <cell r="B1441" t="e">
            <v>#N/A</v>
          </cell>
        </row>
        <row r="1442">
          <cell r="A1442" t="str">
            <v>US</v>
          </cell>
          <cell r="B1442" t="e">
            <v>#N/A</v>
          </cell>
        </row>
        <row r="1443">
          <cell r="A1443" t="str">
            <v>US</v>
          </cell>
          <cell r="B1443" t="e">
            <v>#N/A</v>
          </cell>
        </row>
        <row r="1444">
          <cell r="A1444" t="str">
            <v>US</v>
          </cell>
          <cell r="B1444" t="e">
            <v>#N/A</v>
          </cell>
        </row>
        <row r="1445">
          <cell r="A1445" t="str">
            <v>US</v>
          </cell>
          <cell r="B1445" t="e">
            <v>#N/A</v>
          </cell>
        </row>
        <row r="1446">
          <cell r="A1446" t="str">
            <v>US</v>
          </cell>
          <cell r="B1446" t="e">
            <v>#N/A</v>
          </cell>
        </row>
        <row r="1447">
          <cell r="A1447" t="str">
            <v>US</v>
          </cell>
          <cell r="B1447" t="e">
            <v>#N/A</v>
          </cell>
        </row>
        <row r="1448">
          <cell r="A1448" t="str">
            <v>US</v>
          </cell>
          <cell r="B1448" t="e">
            <v>#N/A</v>
          </cell>
        </row>
        <row r="1449">
          <cell r="A1449" t="str">
            <v>US</v>
          </cell>
          <cell r="B1449" t="e">
            <v>#N/A</v>
          </cell>
        </row>
        <row r="1450">
          <cell r="A1450" t="str">
            <v>US</v>
          </cell>
          <cell r="B1450" t="e">
            <v>#N/A</v>
          </cell>
        </row>
        <row r="1451">
          <cell r="A1451" t="str">
            <v>US</v>
          </cell>
          <cell r="B1451" t="e">
            <v>#N/A</v>
          </cell>
        </row>
        <row r="1452">
          <cell r="A1452" t="str">
            <v>US</v>
          </cell>
          <cell r="B1452" t="e">
            <v>#N/A</v>
          </cell>
        </row>
        <row r="1453">
          <cell r="A1453" t="str">
            <v>US</v>
          </cell>
          <cell r="B1453" t="e">
            <v>#N/A</v>
          </cell>
        </row>
        <row r="1454">
          <cell r="A1454" t="str">
            <v>US</v>
          </cell>
          <cell r="B1454" t="e">
            <v>#N/A</v>
          </cell>
        </row>
        <row r="1455">
          <cell r="A1455" t="str">
            <v>US</v>
          </cell>
          <cell r="B1455" t="e">
            <v>#N/A</v>
          </cell>
        </row>
        <row r="1456">
          <cell r="A1456" t="str">
            <v>US</v>
          </cell>
          <cell r="B1456" t="e">
            <v>#N/A</v>
          </cell>
        </row>
        <row r="1457">
          <cell r="A1457" t="str">
            <v>US</v>
          </cell>
          <cell r="B1457" t="e">
            <v>#N/A</v>
          </cell>
        </row>
        <row r="1458">
          <cell r="A1458" t="str">
            <v>US</v>
          </cell>
          <cell r="B1458" t="e">
            <v>#N/A</v>
          </cell>
        </row>
        <row r="1459">
          <cell r="A1459" t="str">
            <v>US</v>
          </cell>
          <cell r="B1459" t="e">
            <v>#N/A</v>
          </cell>
        </row>
        <row r="1460">
          <cell r="A1460" t="str">
            <v>US</v>
          </cell>
          <cell r="B1460" t="e">
            <v>#N/A</v>
          </cell>
        </row>
        <row r="1461">
          <cell r="A1461" t="str">
            <v>US</v>
          </cell>
          <cell r="B1461" t="e">
            <v>#N/A</v>
          </cell>
        </row>
        <row r="1462">
          <cell r="A1462" t="str">
            <v>US</v>
          </cell>
          <cell r="B1462" t="e">
            <v>#N/A</v>
          </cell>
        </row>
        <row r="1463">
          <cell r="A1463" t="str">
            <v>US</v>
          </cell>
          <cell r="B1463" t="e">
            <v>#N/A</v>
          </cell>
        </row>
        <row r="1464">
          <cell r="A1464" t="str">
            <v>US</v>
          </cell>
          <cell r="B1464" t="e">
            <v>#N/A</v>
          </cell>
        </row>
        <row r="1465">
          <cell r="A1465" t="str">
            <v>US</v>
          </cell>
          <cell r="B1465" t="e">
            <v>#N/A</v>
          </cell>
        </row>
        <row r="1466">
          <cell r="A1466" t="str">
            <v>US</v>
          </cell>
          <cell r="B1466" t="e">
            <v>#N/A</v>
          </cell>
        </row>
        <row r="1467">
          <cell r="A1467" t="str">
            <v>US</v>
          </cell>
          <cell r="B1467" t="e">
            <v>#N/A</v>
          </cell>
        </row>
        <row r="1468">
          <cell r="A1468" t="str">
            <v>US</v>
          </cell>
          <cell r="B1468" t="e">
            <v>#N/A</v>
          </cell>
        </row>
        <row r="1469">
          <cell r="A1469" t="str">
            <v>US</v>
          </cell>
          <cell r="B1469" t="e">
            <v>#N/A</v>
          </cell>
        </row>
        <row r="1470">
          <cell r="A1470" t="str">
            <v>US</v>
          </cell>
          <cell r="B1470" t="e">
            <v>#N/A</v>
          </cell>
        </row>
        <row r="1471">
          <cell r="A1471" t="str">
            <v>US</v>
          </cell>
          <cell r="B1471" t="e">
            <v>#N/A</v>
          </cell>
        </row>
        <row r="1472">
          <cell r="A1472" t="str">
            <v>US</v>
          </cell>
          <cell r="B1472" t="e">
            <v>#N/A</v>
          </cell>
        </row>
        <row r="1473">
          <cell r="A1473" t="str">
            <v>US</v>
          </cell>
          <cell r="B1473" t="e">
            <v>#N/A</v>
          </cell>
        </row>
        <row r="1474">
          <cell r="A1474" t="str">
            <v>US</v>
          </cell>
          <cell r="B1474" t="e">
            <v>#N/A</v>
          </cell>
        </row>
        <row r="1475">
          <cell r="A1475" t="str">
            <v>US</v>
          </cell>
          <cell r="B1475" t="e">
            <v>#N/A</v>
          </cell>
        </row>
        <row r="1476">
          <cell r="A1476" t="str">
            <v>US</v>
          </cell>
          <cell r="B1476" t="e">
            <v>#N/A</v>
          </cell>
        </row>
        <row r="1477">
          <cell r="A1477" t="str">
            <v>US</v>
          </cell>
          <cell r="B1477" t="e">
            <v>#N/A</v>
          </cell>
        </row>
        <row r="1478">
          <cell r="A1478" t="str">
            <v>US</v>
          </cell>
          <cell r="B1478" t="e">
            <v>#N/A</v>
          </cell>
        </row>
        <row r="1479">
          <cell r="A1479" t="str">
            <v>US</v>
          </cell>
          <cell r="B1479" t="e">
            <v>#N/A</v>
          </cell>
        </row>
        <row r="1480">
          <cell r="A1480" t="str">
            <v>US</v>
          </cell>
          <cell r="B1480" t="e">
            <v>#N/A</v>
          </cell>
        </row>
        <row r="1481">
          <cell r="A1481" t="str">
            <v>US</v>
          </cell>
          <cell r="B1481" t="e">
            <v>#N/A</v>
          </cell>
        </row>
        <row r="1482">
          <cell r="A1482" t="str">
            <v>US</v>
          </cell>
          <cell r="B1482" t="e">
            <v>#N/A</v>
          </cell>
        </row>
        <row r="1483">
          <cell r="A1483" t="str">
            <v>US</v>
          </cell>
          <cell r="B1483" t="e">
            <v>#N/A</v>
          </cell>
        </row>
        <row r="1484">
          <cell r="A1484" t="str">
            <v>US</v>
          </cell>
          <cell r="B1484" t="e">
            <v>#N/A</v>
          </cell>
        </row>
        <row r="1485">
          <cell r="A1485" t="str">
            <v>US</v>
          </cell>
          <cell r="B1485" t="e">
            <v>#N/A</v>
          </cell>
        </row>
        <row r="1486">
          <cell r="A1486" t="str">
            <v>US</v>
          </cell>
          <cell r="B1486" t="e">
            <v>#N/A</v>
          </cell>
        </row>
        <row r="1487">
          <cell r="A1487" t="str">
            <v>US</v>
          </cell>
          <cell r="B1487" t="e">
            <v>#N/A</v>
          </cell>
        </row>
        <row r="1488">
          <cell r="A1488" t="str">
            <v>US</v>
          </cell>
          <cell r="B1488" t="e">
            <v>#N/A</v>
          </cell>
        </row>
        <row r="1489">
          <cell r="A1489" t="str">
            <v>US</v>
          </cell>
          <cell r="B1489" t="e">
            <v>#N/A</v>
          </cell>
        </row>
        <row r="1490">
          <cell r="A1490" t="str">
            <v>US</v>
          </cell>
          <cell r="B1490" t="e">
            <v>#N/A</v>
          </cell>
        </row>
        <row r="1491">
          <cell r="A1491" t="str">
            <v>US</v>
          </cell>
          <cell r="B1491" t="e">
            <v>#N/A</v>
          </cell>
        </row>
        <row r="1492">
          <cell r="A1492" t="str">
            <v>US</v>
          </cell>
          <cell r="B1492" t="e">
            <v>#N/A</v>
          </cell>
        </row>
        <row r="1493">
          <cell r="A1493" t="str">
            <v>US</v>
          </cell>
          <cell r="B1493" t="e">
            <v>#N/A</v>
          </cell>
        </row>
        <row r="1494">
          <cell r="A1494" t="str">
            <v>US</v>
          </cell>
          <cell r="B1494" t="e">
            <v>#N/A</v>
          </cell>
        </row>
        <row r="1495">
          <cell r="A1495" t="str">
            <v>US</v>
          </cell>
          <cell r="B1495" t="e">
            <v>#N/A</v>
          </cell>
        </row>
        <row r="1496">
          <cell r="A1496" t="str">
            <v>US</v>
          </cell>
          <cell r="B1496" t="e">
            <v>#N/A</v>
          </cell>
        </row>
        <row r="1497">
          <cell r="A1497" t="str">
            <v>US</v>
          </cell>
          <cell r="B1497" t="e">
            <v>#N/A</v>
          </cell>
        </row>
        <row r="1498">
          <cell r="A1498" t="str">
            <v>US</v>
          </cell>
          <cell r="B1498" t="e">
            <v>#N/A</v>
          </cell>
        </row>
        <row r="1499">
          <cell r="A1499" t="str">
            <v>US</v>
          </cell>
          <cell r="B1499" t="e">
            <v>#N/A</v>
          </cell>
        </row>
        <row r="1500">
          <cell r="A1500" t="str">
            <v>US</v>
          </cell>
          <cell r="B1500" t="e">
            <v>#N/A</v>
          </cell>
        </row>
        <row r="1501">
          <cell r="A1501" t="str">
            <v>US</v>
          </cell>
          <cell r="B1501" t="e">
            <v>#N/A</v>
          </cell>
        </row>
        <row r="1502">
          <cell r="A1502" t="str">
            <v>US</v>
          </cell>
          <cell r="B1502" t="e">
            <v>#N/A</v>
          </cell>
        </row>
        <row r="1503">
          <cell r="A1503" t="str">
            <v>US</v>
          </cell>
          <cell r="B1503" t="e">
            <v>#N/A</v>
          </cell>
        </row>
        <row r="1504">
          <cell r="A1504" t="str">
            <v>US</v>
          </cell>
          <cell r="B1504" t="e">
            <v>#N/A</v>
          </cell>
        </row>
        <row r="1505">
          <cell r="A1505" t="str">
            <v>US</v>
          </cell>
          <cell r="B1505" t="e">
            <v>#N/A</v>
          </cell>
        </row>
        <row r="1506">
          <cell r="A1506" t="str">
            <v>US</v>
          </cell>
          <cell r="B1506" t="e">
            <v>#N/A</v>
          </cell>
        </row>
        <row r="1507">
          <cell r="A1507" t="str">
            <v>US</v>
          </cell>
          <cell r="B1507" t="e">
            <v>#N/A</v>
          </cell>
        </row>
        <row r="1508">
          <cell r="A1508" t="str">
            <v>US</v>
          </cell>
          <cell r="B1508" t="e">
            <v>#N/A</v>
          </cell>
        </row>
        <row r="1509">
          <cell r="A1509" t="str">
            <v>US</v>
          </cell>
          <cell r="B1509" t="e">
            <v>#N/A</v>
          </cell>
        </row>
        <row r="1510">
          <cell r="A1510" t="str">
            <v>US</v>
          </cell>
          <cell r="B1510" t="e">
            <v>#N/A</v>
          </cell>
        </row>
        <row r="1511">
          <cell r="A1511" t="str">
            <v>US</v>
          </cell>
          <cell r="B1511" t="e">
            <v>#N/A</v>
          </cell>
        </row>
        <row r="1512">
          <cell r="A1512" t="str">
            <v>US</v>
          </cell>
          <cell r="B1512" t="e">
            <v>#N/A</v>
          </cell>
        </row>
        <row r="1513">
          <cell r="A1513" t="str">
            <v>US</v>
          </cell>
          <cell r="B1513" t="e">
            <v>#N/A</v>
          </cell>
        </row>
        <row r="1514">
          <cell r="A1514" t="str">
            <v>US</v>
          </cell>
          <cell r="B1514" t="e">
            <v>#N/A</v>
          </cell>
        </row>
        <row r="1515">
          <cell r="A1515" t="str">
            <v>US</v>
          </cell>
          <cell r="B1515" t="e">
            <v>#N/A</v>
          </cell>
        </row>
        <row r="1516">
          <cell r="A1516" t="str">
            <v>US</v>
          </cell>
          <cell r="B1516" t="e">
            <v>#N/A</v>
          </cell>
        </row>
        <row r="1517">
          <cell r="A1517" t="str">
            <v>US</v>
          </cell>
          <cell r="B1517" t="e">
            <v>#N/A</v>
          </cell>
        </row>
        <row r="1518">
          <cell r="A1518" t="str">
            <v>US</v>
          </cell>
          <cell r="B1518" t="e">
            <v>#N/A</v>
          </cell>
        </row>
        <row r="1519">
          <cell r="A1519" t="str">
            <v>US</v>
          </cell>
          <cell r="B1519" t="e">
            <v>#N/A</v>
          </cell>
        </row>
        <row r="1520">
          <cell r="A1520" t="str">
            <v>US</v>
          </cell>
          <cell r="B1520" t="e">
            <v>#N/A</v>
          </cell>
        </row>
        <row r="1521">
          <cell r="A1521" t="str">
            <v>US</v>
          </cell>
          <cell r="B1521" t="e">
            <v>#N/A</v>
          </cell>
        </row>
        <row r="1522">
          <cell r="A1522" t="str">
            <v>US</v>
          </cell>
          <cell r="B1522" t="e">
            <v>#N/A</v>
          </cell>
        </row>
        <row r="1523">
          <cell r="A1523" t="str">
            <v>US</v>
          </cell>
          <cell r="B1523" t="e">
            <v>#N/A</v>
          </cell>
        </row>
        <row r="1524">
          <cell r="A1524" t="str">
            <v>US</v>
          </cell>
          <cell r="B1524" t="e">
            <v>#N/A</v>
          </cell>
        </row>
        <row r="1525">
          <cell r="A1525" t="str">
            <v>US</v>
          </cell>
          <cell r="B1525" t="e">
            <v>#N/A</v>
          </cell>
        </row>
        <row r="1526">
          <cell r="A1526" t="str">
            <v>US</v>
          </cell>
          <cell r="B1526" t="e">
            <v>#N/A</v>
          </cell>
        </row>
        <row r="1527">
          <cell r="A1527" t="str">
            <v>US</v>
          </cell>
          <cell r="B1527" t="e">
            <v>#N/A</v>
          </cell>
        </row>
        <row r="1528">
          <cell r="A1528" t="str">
            <v>US</v>
          </cell>
          <cell r="B1528" t="e">
            <v>#N/A</v>
          </cell>
        </row>
        <row r="1529">
          <cell r="A1529" t="str">
            <v>US</v>
          </cell>
          <cell r="B1529" t="e">
            <v>#N/A</v>
          </cell>
        </row>
        <row r="1530">
          <cell r="A1530" t="str">
            <v>US</v>
          </cell>
          <cell r="B1530" t="e">
            <v>#N/A</v>
          </cell>
        </row>
        <row r="1531">
          <cell r="A1531" t="str">
            <v>US</v>
          </cell>
          <cell r="B1531" t="e">
            <v>#N/A</v>
          </cell>
        </row>
        <row r="1532">
          <cell r="A1532" t="str">
            <v>US</v>
          </cell>
          <cell r="B1532" t="e">
            <v>#N/A</v>
          </cell>
        </row>
        <row r="1533">
          <cell r="A1533" t="str">
            <v>US</v>
          </cell>
          <cell r="B1533" t="e">
            <v>#N/A</v>
          </cell>
        </row>
        <row r="1534">
          <cell r="A1534" t="str">
            <v>US</v>
          </cell>
          <cell r="B1534" t="e">
            <v>#N/A</v>
          </cell>
        </row>
        <row r="1535">
          <cell r="A1535" t="str">
            <v>US</v>
          </cell>
          <cell r="B1535" t="e">
            <v>#N/A</v>
          </cell>
        </row>
        <row r="1536">
          <cell r="A1536" t="str">
            <v>US</v>
          </cell>
          <cell r="B1536" t="e">
            <v>#N/A</v>
          </cell>
        </row>
        <row r="1537">
          <cell r="A1537" t="str">
            <v>US</v>
          </cell>
          <cell r="B1537" t="e">
            <v>#N/A</v>
          </cell>
        </row>
        <row r="1538">
          <cell r="A1538" t="str">
            <v>US</v>
          </cell>
          <cell r="B1538" t="e">
            <v>#N/A</v>
          </cell>
        </row>
        <row r="1539">
          <cell r="A1539" t="str">
            <v>US</v>
          </cell>
          <cell r="B1539" t="e">
            <v>#N/A</v>
          </cell>
        </row>
        <row r="1540">
          <cell r="A1540" t="str">
            <v>US</v>
          </cell>
          <cell r="B1540" t="e">
            <v>#N/A</v>
          </cell>
        </row>
        <row r="1541">
          <cell r="A1541" t="str">
            <v>US</v>
          </cell>
          <cell r="B1541" t="e">
            <v>#N/A</v>
          </cell>
        </row>
        <row r="1542">
          <cell r="A1542" t="str">
            <v>US</v>
          </cell>
          <cell r="B1542" t="e">
            <v>#N/A</v>
          </cell>
        </row>
        <row r="1543">
          <cell r="A1543" t="str">
            <v>US</v>
          </cell>
          <cell r="B1543" t="e">
            <v>#N/A</v>
          </cell>
        </row>
        <row r="1544">
          <cell r="A1544" t="str">
            <v>US</v>
          </cell>
          <cell r="B1544" t="e">
            <v>#N/A</v>
          </cell>
        </row>
        <row r="1545">
          <cell r="A1545" t="str">
            <v>US</v>
          </cell>
          <cell r="B1545" t="e">
            <v>#N/A</v>
          </cell>
        </row>
        <row r="1546">
          <cell r="A1546" t="str">
            <v>US</v>
          </cell>
          <cell r="B1546" t="e">
            <v>#N/A</v>
          </cell>
        </row>
        <row r="1547">
          <cell r="A1547" t="str">
            <v>US</v>
          </cell>
          <cell r="B1547" t="e">
            <v>#N/A</v>
          </cell>
        </row>
        <row r="1548">
          <cell r="A1548" t="str">
            <v>US</v>
          </cell>
          <cell r="B1548" t="e">
            <v>#N/A</v>
          </cell>
        </row>
        <row r="1549">
          <cell r="A1549" t="str">
            <v>US</v>
          </cell>
          <cell r="B1549" t="e">
            <v>#N/A</v>
          </cell>
        </row>
        <row r="1550">
          <cell r="A1550" t="str">
            <v>US</v>
          </cell>
          <cell r="B1550" t="e">
            <v>#N/A</v>
          </cell>
        </row>
        <row r="1551">
          <cell r="A1551" t="str">
            <v>US</v>
          </cell>
          <cell r="B1551" t="e">
            <v>#N/A</v>
          </cell>
        </row>
        <row r="1552">
          <cell r="A1552" t="str">
            <v>US</v>
          </cell>
          <cell r="B1552" t="e">
            <v>#N/A</v>
          </cell>
        </row>
        <row r="1553">
          <cell r="A1553" t="str">
            <v>US</v>
          </cell>
          <cell r="B1553" t="e">
            <v>#N/A</v>
          </cell>
        </row>
        <row r="1554">
          <cell r="A1554" t="str">
            <v>US</v>
          </cell>
          <cell r="B1554" t="e">
            <v>#N/A</v>
          </cell>
        </row>
        <row r="1555">
          <cell r="A1555" t="str">
            <v>US</v>
          </cell>
          <cell r="B1555" t="e">
            <v>#N/A</v>
          </cell>
        </row>
        <row r="1556">
          <cell r="A1556" t="str">
            <v>US</v>
          </cell>
          <cell r="B1556" t="e">
            <v>#N/A</v>
          </cell>
        </row>
        <row r="1557">
          <cell r="A1557" t="str">
            <v>US</v>
          </cell>
          <cell r="B1557" t="e">
            <v>#N/A</v>
          </cell>
        </row>
        <row r="1558">
          <cell r="A1558" t="str">
            <v>US</v>
          </cell>
          <cell r="B1558" t="e">
            <v>#N/A</v>
          </cell>
        </row>
        <row r="1559">
          <cell r="A1559" t="str">
            <v>US</v>
          </cell>
          <cell r="B1559" t="e">
            <v>#N/A</v>
          </cell>
        </row>
        <row r="1560">
          <cell r="A1560" t="str">
            <v>US</v>
          </cell>
          <cell r="B1560" t="e">
            <v>#N/A</v>
          </cell>
        </row>
        <row r="1561">
          <cell r="A1561" t="str">
            <v>US</v>
          </cell>
          <cell r="B1561" t="e">
            <v>#N/A</v>
          </cell>
        </row>
        <row r="1562">
          <cell r="A1562" t="str">
            <v>US</v>
          </cell>
          <cell r="B1562" t="e">
            <v>#N/A</v>
          </cell>
        </row>
        <row r="1563">
          <cell r="A1563" t="str">
            <v>US</v>
          </cell>
          <cell r="B1563" t="e">
            <v>#N/A</v>
          </cell>
        </row>
        <row r="1564">
          <cell r="A1564" t="str">
            <v>US</v>
          </cell>
          <cell r="B1564" t="e">
            <v>#N/A</v>
          </cell>
        </row>
        <row r="1565">
          <cell r="A1565" t="str">
            <v>US</v>
          </cell>
          <cell r="B1565" t="e">
            <v>#N/A</v>
          </cell>
        </row>
        <row r="1566">
          <cell r="A1566" t="str">
            <v>US</v>
          </cell>
          <cell r="B1566" t="e">
            <v>#N/A</v>
          </cell>
        </row>
        <row r="1567">
          <cell r="A1567" t="str">
            <v>US</v>
          </cell>
          <cell r="B1567" t="e">
            <v>#N/A</v>
          </cell>
        </row>
        <row r="1568">
          <cell r="A1568" t="str">
            <v>US</v>
          </cell>
          <cell r="B1568" t="e">
            <v>#N/A</v>
          </cell>
        </row>
        <row r="1569">
          <cell r="A1569" t="str">
            <v>US</v>
          </cell>
          <cell r="B1569" t="e">
            <v>#N/A</v>
          </cell>
        </row>
        <row r="1570">
          <cell r="A1570" t="str">
            <v>US</v>
          </cell>
          <cell r="B1570" t="e">
            <v>#N/A</v>
          </cell>
        </row>
        <row r="1571">
          <cell r="A1571" t="str">
            <v>US</v>
          </cell>
          <cell r="B1571" t="e">
            <v>#N/A</v>
          </cell>
        </row>
        <row r="1572">
          <cell r="A1572" t="str">
            <v>US</v>
          </cell>
          <cell r="B1572" t="e">
            <v>#N/A</v>
          </cell>
        </row>
        <row r="1573">
          <cell r="A1573" t="str">
            <v>US</v>
          </cell>
          <cell r="B1573" t="e">
            <v>#N/A</v>
          </cell>
        </row>
        <row r="1574">
          <cell r="A1574" t="str">
            <v>US</v>
          </cell>
          <cell r="B1574" t="e">
            <v>#N/A</v>
          </cell>
        </row>
        <row r="1575">
          <cell r="A1575" t="str">
            <v>US</v>
          </cell>
          <cell r="B1575" t="e">
            <v>#N/A</v>
          </cell>
        </row>
        <row r="1576">
          <cell r="A1576" t="str">
            <v>US</v>
          </cell>
          <cell r="B1576" t="e">
            <v>#N/A</v>
          </cell>
        </row>
        <row r="1577">
          <cell r="A1577" t="str">
            <v>US</v>
          </cell>
          <cell r="B1577" t="e">
            <v>#N/A</v>
          </cell>
        </row>
        <row r="1578">
          <cell r="A1578" t="str">
            <v>US</v>
          </cell>
          <cell r="B1578" t="e">
            <v>#N/A</v>
          </cell>
        </row>
        <row r="1579">
          <cell r="A1579" t="str">
            <v>US</v>
          </cell>
          <cell r="B1579" t="e">
            <v>#N/A</v>
          </cell>
        </row>
        <row r="1580">
          <cell r="A1580" t="str">
            <v>US</v>
          </cell>
          <cell r="B1580" t="e">
            <v>#N/A</v>
          </cell>
        </row>
        <row r="1581">
          <cell r="A1581" t="str">
            <v>US</v>
          </cell>
          <cell r="B1581" t="e">
            <v>#N/A</v>
          </cell>
        </row>
        <row r="1582">
          <cell r="A1582" t="str">
            <v>US</v>
          </cell>
          <cell r="B1582" t="e">
            <v>#N/A</v>
          </cell>
        </row>
        <row r="1583">
          <cell r="A1583" t="str">
            <v>US</v>
          </cell>
          <cell r="B1583" t="e">
            <v>#N/A</v>
          </cell>
        </row>
        <row r="1584">
          <cell r="A1584" t="str">
            <v>US</v>
          </cell>
          <cell r="B1584" t="e">
            <v>#N/A</v>
          </cell>
        </row>
        <row r="1585">
          <cell r="A1585" t="str">
            <v>US</v>
          </cell>
          <cell r="B1585" t="e">
            <v>#N/A</v>
          </cell>
        </row>
        <row r="1586">
          <cell r="A1586" t="str">
            <v>US</v>
          </cell>
          <cell r="B1586" t="e">
            <v>#N/A</v>
          </cell>
        </row>
        <row r="1587">
          <cell r="A1587" t="str">
            <v>US</v>
          </cell>
          <cell r="B1587" t="e">
            <v>#N/A</v>
          </cell>
        </row>
        <row r="1588">
          <cell r="A1588" t="str">
            <v>US</v>
          </cell>
          <cell r="B1588" t="e">
            <v>#N/A</v>
          </cell>
        </row>
        <row r="1589">
          <cell r="A1589" t="str">
            <v>US</v>
          </cell>
          <cell r="B1589" t="e">
            <v>#N/A</v>
          </cell>
        </row>
        <row r="1590">
          <cell r="A1590" t="str">
            <v>US</v>
          </cell>
          <cell r="B1590" t="e">
            <v>#N/A</v>
          </cell>
        </row>
        <row r="1591">
          <cell r="A1591" t="str">
            <v>US</v>
          </cell>
          <cell r="B1591" t="e">
            <v>#N/A</v>
          </cell>
        </row>
        <row r="1592">
          <cell r="A1592" t="str">
            <v>US</v>
          </cell>
          <cell r="B1592" t="e">
            <v>#N/A</v>
          </cell>
        </row>
        <row r="1593">
          <cell r="A1593" t="str">
            <v>US</v>
          </cell>
          <cell r="B1593" t="e">
            <v>#N/A</v>
          </cell>
        </row>
        <row r="1594">
          <cell r="A1594" t="str">
            <v>US</v>
          </cell>
          <cell r="B1594" t="e">
            <v>#N/A</v>
          </cell>
        </row>
        <row r="1595">
          <cell r="A1595" t="str">
            <v>US</v>
          </cell>
          <cell r="B1595" t="e">
            <v>#N/A</v>
          </cell>
        </row>
        <row r="1596">
          <cell r="A1596" t="str">
            <v>US</v>
          </cell>
          <cell r="B1596" t="e">
            <v>#N/A</v>
          </cell>
        </row>
        <row r="1597">
          <cell r="A1597" t="str">
            <v>US</v>
          </cell>
          <cell r="B1597" t="e">
            <v>#N/A</v>
          </cell>
        </row>
        <row r="1598">
          <cell r="A1598" t="str">
            <v>US</v>
          </cell>
          <cell r="B1598" t="e">
            <v>#N/A</v>
          </cell>
        </row>
        <row r="1599">
          <cell r="A1599" t="str">
            <v>US</v>
          </cell>
          <cell r="B1599" t="e">
            <v>#N/A</v>
          </cell>
        </row>
        <row r="1600">
          <cell r="A1600" t="str">
            <v>US</v>
          </cell>
          <cell r="B1600" t="e">
            <v>#N/A</v>
          </cell>
        </row>
        <row r="1601">
          <cell r="A1601" t="str">
            <v>US</v>
          </cell>
          <cell r="B1601" t="e">
            <v>#N/A</v>
          </cell>
        </row>
        <row r="1602">
          <cell r="A1602" t="str">
            <v>US</v>
          </cell>
          <cell r="B1602" t="e">
            <v>#N/A</v>
          </cell>
        </row>
        <row r="1603">
          <cell r="A1603" t="str">
            <v>US</v>
          </cell>
          <cell r="B1603" t="e">
            <v>#N/A</v>
          </cell>
        </row>
        <row r="1604">
          <cell r="A1604" t="str">
            <v>US</v>
          </cell>
          <cell r="B1604" t="e">
            <v>#N/A</v>
          </cell>
        </row>
        <row r="1605">
          <cell r="A1605" t="str">
            <v>US</v>
          </cell>
          <cell r="B1605" t="e">
            <v>#N/A</v>
          </cell>
        </row>
        <row r="1606">
          <cell r="A1606" t="str">
            <v>US</v>
          </cell>
          <cell r="B1606" t="e">
            <v>#N/A</v>
          </cell>
        </row>
        <row r="1607">
          <cell r="A1607" t="str">
            <v>US</v>
          </cell>
          <cell r="B1607" t="e">
            <v>#N/A</v>
          </cell>
        </row>
        <row r="1608">
          <cell r="A1608" t="str">
            <v>US</v>
          </cell>
          <cell r="B1608" t="e">
            <v>#N/A</v>
          </cell>
        </row>
        <row r="1609">
          <cell r="A1609" t="str">
            <v>US</v>
          </cell>
          <cell r="B1609" t="e">
            <v>#N/A</v>
          </cell>
        </row>
        <row r="1610">
          <cell r="A1610" t="str">
            <v>US</v>
          </cell>
          <cell r="B1610" t="e">
            <v>#N/A</v>
          </cell>
        </row>
        <row r="1611">
          <cell r="A1611" t="str">
            <v>US</v>
          </cell>
          <cell r="B1611" t="e">
            <v>#N/A</v>
          </cell>
        </row>
        <row r="1612">
          <cell r="A1612" t="str">
            <v>US</v>
          </cell>
          <cell r="B1612" t="e">
            <v>#N/A</v>
          </cell>
        </row>
        <row r="1613">
          <cell r="A1613" t="str">
            <v>US</v>
          </cell>
          <cell r="B1613" t="e">
            <v>#N/A</v>
          </cell>
        </row>
        <row r="1614">
          <cell r="A1614" t="str">
            <v>US</v>
          </cell>
          <cell r="B1614" t="e">
            <v>#N/A</v>
          </cell>
        </row>
        <row r="1615">
          <cell r="A1615" t="str">
            <v>US</v>
          </cell>
          <cell r="B1615" t="e">
            <v>#N/A</v>
          </cell>
        </row>
        <row r="1616">
          <cell r="A1616" t="str">
            <v>US</v>
          </cell>
          <cell r="B1616" t="e">
            <v>#N/A</v>
          </cell>
        </row>
        <row r="1617">
          <cell r="A1617" t="str">
            <v>US</v>
          </cell>
          <cell r="B1617" t="e">
            <v>#N/A</v>
          </cell>
        </row>
        <row r="1618">
          <cell r="A1618" t="str">
            <v>US</v>
          </cell>
          <cell r="B1618" t="e">
            <v>#N/A</v>
          </cell>
        </row>
        <row r="1619">
          <cell r="A1619" t="str">
            <v>US</v>
          </cell>
          <cell r="B1619" t="e">
            <v>#N/A</v>
          </cell>
        </row>
        <row r="1620">
          <cell r="A1620" t="str">
            <v>US</v>
          </cell>
          <cell r="B1620" t="e">
            <v>#N/A</v>
          </cell>
        </row>
        <row r="1621">
          <cell r="A1621" t="str">
            <v>US</v>
          </cell>
          <cell r="B1621" t="e">
            <v>#N/A</v>
          </cell>
        </row>
        <row r="1622">
          <cell r="A1622" t="str">
            <v>US</v>
          </cell>
          <cell r="B1622" t="e">
            <v>#N/A</v>
          </cell>
        </row>
        <row r="1623">
          <cell r="A1623" t="str">
            <v>US</v>
          </cell>
          <cell r="B1623" t="e">
            <v>#N/A</v>
          </cell>
        </row>
        <row r="1624">
          <cell r="A1624" t="str">
            <v>US</v>
          </cell>
          <cell r="B1624" t="e">
            <v>#N/A</v>
          </cell>
        </row>
        <row r="1625">
          <cell r="A1625" t="str">
            <v>US</v>
          </cell>
          <cell r="B1625" t="e">
            <v>#N/A</v>
          </cell>
        </row>
        <row r="1626">
          <cell r="A1626" t="str">
            <v>US</v>
          </cell>
          <cell r="B1626" t="e">
            <v>#N/A</v>
          </cell>
        </row>
        <row r="1627">
          <cell r="A1627" t="str">
            <v>US</v>
          </cell>
          <cell r="B1627" t="e">
            <v>#N/A</v>
          </cell>
        </row>
        <row r="1628">
          <cell r="A1628" t="str">
            <v>US</v>
          </cell>
          <cell r="B1628" t="e">
            <v>#N/A</v>
          </cell>
        </row>
        <row r="1629">
          <cell r="A1629" t="str">
            <v>US</v>
          </cell>
          <cell r="B1629" t="e">
            <v>#N/A</v>
          </cell>
        </row>
        <row r="1630">
          <cell r="A1630" t="str">
            <v>US</v>
          </cell>
          <cell r="B1630" t="e">
            <v>#N/A</v>
          </cell>
        </row>
        <row r="1631">
          <cell r="A1631" t="str">
            <v>US</v>
          </cell>
          <cell r="B1631" t="e">
            <v>#N/A</v>
          </cell>
        </row>
        <row r="1632">
          <cell r="A1632" t="str">
            <v>US</v>
          </cell>
          <cell r="B1632" t="e">
            <v>#N/A</v>
          </cell>
        </row>
        <row r="1633">
          <cell r="A1633" t="str">
            <v>US</v>
          </cell>
          <cell r="B1633" t="e">
            <v>#N/A</v>
          </cell>
        </row>
        <row r="1634">
          <cell r="A1634" t="str">
            <v>US</v>
          </cell>
          <cell r="B1634" t="e">
            <v>#N/A</v>
          </cell>
        </row>
        <row r="1635">
          <cell r="A1635" t="str">
            <v>US</v>
          </cell>
          <cell r="B1635" t="e">
            <v>#N/A</v>
          </cell>
        </row>
        <row r="1636">
          <cell r="A1636" t="str">
            <v>US</v>
          </cell>
          <cell r="B1636" t="e">
            <v>#N/A</v>
          </cell>
        </row>
        <row r="1637">
          <cell r="A1637" t="str">
            <v>US</v>
          </cell>
          <cell r="B1637" t="e">
            <v>#N/A</v>
          </cell>
        </row>
        <row r="1638">
          <cell r="A1638" t="str">
            <v>US</v>
          </cell>
          <cell r="B1638" t="e">
            <v>#N/A</v>
          </cell>
        </row>
        <row r="1639">
          <cell r="A1639" t="str">
            <v>US</v>
          </cell>
          <cell r="B1639" t="e">
            <v>#N/A</v>
          </cell>
        </row>
        <row r="1640">
          <cell r="A1640" t="str">
            <v>US</v>
          </cell>
          <cell r="B1640" t="e">
            <v>#N/A</v>
          </cell>
        </row>
        <row r="1641">
          <cell r="A1641" t="str">
            <v>US</v>
          </cell>
          <cell r="B1641" t="e">
            <v>#N/A</v>
          </cell>
        </row>
        <row r="1642">
          <cell r="A1642" t="str">
            <v>US</v>
          </cell>
          <cell r="B1642" t="e">
            <v>#N/A</v>
          </cell>
        </row>
        <row r="1643">
          <cell r="A1643" t="str">
            <v>US</v>
          </cell>
          <cell r="B1643" t="e">
            <v>#N/A</v>
          </cell>
        </row>
        <row r="1644">
          <cell r="A1644" t="str">
            <v>US</v>
          </cell>
          <cell r="B1644" t="e">
            <v>#N/A</v>
          </cell>
        </row>
        <row r="1645">
          <cell r="A1645" t="str">
            <v>US</v>
          </cell>
          <cell r="B1645" t="e">
            <v>#N/A</v>
          </cell>
        </row>
        <row r="1646">
          <cell r="A1646" t="str">
            <v>US</v>
          </cell>
          <cell r="B1646" t="e">
            <v>#N/A</v>
          </cell>
        </row>
        <row r="1647">
          <cell r="A1647" t="str">
            <v>US</v>
          </cell>
          <cell r="B1647" t="e">
            <v>#N/A</v>
          </cell>
        </row>
        <row r="1648">
          <cell r="A1648" t="str">
            <v>US</v>
          </cell>
          <cell r="B1648" t="e">
            <v>#N/A</v>
          </cell>
        </row>
        <row r="1649">
          <cell r="A1649" t="str">
            <v>US</v>
          </cell>
          <cell r="B1649" t="e">
            <v>#N/A</v>
          </cell>
        </row>
        <row r="1650">
          <cell r="A1650" t="str">
            <v>US</v>
          </cell>
          <cell r="B1650" t="e">
            <v>#N/A</v>
          </cell>
        </row>
        <row r="1651">
          <cell r="A1651" t="str">
            <v>US</v>
          </cell>
          <cell r="B1651" t="e">
            <v>#N/A</v>
          </cell>
        </row>
        <row r="1652">
          <cell r="A1652" t="str">
            <v>US</v>
          </cell>
          <cell r="B1652" t="e">
            <v>#N/A</v>
          </cell>
        </row>
        <row r="1653">
          <cell r="A1653" t="str">
            <v>US</v>
          </cell>
          <cell r="B1653" t="e">
            <v>#N/A</v>
          </cell>
        </row>
        <row r="1654">
          <cell r="A1654" t="str">
            <v>US</v>
          </cell>
          <cell r="B1654" t="e">
            <v>#N/A</v>
          </cell>
        </row>
        <row r="1655">
          <cell r="A1655" t="str">
            <v>US</v>
          </cell>
          <cell r="B1655" t="e">
            <v>#N/A</v>
          </cell>
        </row>
        <row r="1656">
          <cell r="A1656" t="str">
            <v>US</v>
          </cell>
          <cell r="B1656" t="e">
            <v>#N/A</v>
          </cell>
        </row>
        <row r="1657">
          <cell r="A1657" t="str">
            <v>US</v>
          </cell>
          <cell r="B1657" t="e">
            <v>#N/A</v>
          </cell>
        </row>
        <row r="1658">
          <cell r="A1658" t="str">
            <v>US</v>
          </cell>
          <cell r="B1658" t="e">
            <v>#N/A</v>
          </cell>
        </row>
        <row r="1659">
          <cell r="A1659" t="str">
            <v>US</v>
          </cell>
          <cell r="B1659" t="e">
            <v>#N/A</v>
          </cell>
        </row>
        <row r="1660">
          <cell r="A1660" t="str">
            <v>US</v>
          </cell>
          <cell r="B1660" t="e">
            <v>#N/A</v>
          </cell>
        </row>
        <row r="1661">
          <cell r="A1661" t="str">
            <v>US</v>
          </cell>
          <cell r="B1661" t="e">
            <v>#N/A</v>
          </cell>
        </row>
        <row r="1662">
          <cell r="A1662" t="str">
            <v>US</v>
          </cell>
          <cell r="B1662" t="e">
            <v>#N/A</v>
          </cell>
        </row>
        <row r="1663">
          <cell r="A1663" t="str">
            <v>US</v>
          </cell>
          <cell r="B1663" t="e">
            <v>#N/A</v>
          </cell>
        </row>
        <row r="1664">
          <cell r="A1664" t="str">
            <v>US</v>
          </cell>
          <cell r="B1664" t="e">
            <v>#N/A</v>
          </cell>
        </row>
        <row r="1665">
          <cell r="A1665" t="str">
            <v>US</v>
          </cell>
          <cell r="B1665" t="e">
            <v>#N/A</v>
          </cell>
        </row>
        <row r="1666">
          <cell r="A1666" t="str">
            <v>US</v>
          </cell>
          <cell r="B1666" t="e">
            <v>#N/A</v>
          </cell>
        </row>
        <row r="1667">
          <cell r="A1667" t="str">
            <v>US</v>
          </cell>
          <cell r="B1667" t="e">
            <v>#N/A</v>
          </cell>
        </row>
        <row r="1668">
          <cell r="A1668" t="str">
            <v>US</v>
          </cell>
          <cell r="B1668" t="e">
            <v>#N/A</v>
          </cell>
        </row>
        <row r="1669">
          <cell r="A1669" t="str">
            <v>US</v>
          </cell>
          <cell r="B1669" t="e">
            <v>#N/A</v>
          </cell>
        </row>
        <row r="1670">
          <cell r="A1670" t="str">
            <v>US</v>
          </cell>
          <cell r="B1670" t="e">
            <v>#N/A</v>
          </cell>
        </row>
        <row r="1671">
          <cell r="A1671" t="str">
            <v>US</v>
          </cell>
          <cell r="B1671" t="e">
            <v>#N/A</v>
          </cell>
        </row>
        <row r="1672">
          <cell r="A1672" t="str">
            <v>US</v>
          </cell>
          <cell r="B1672" t="e">
            <v>#N/A</v>
          </cell>
        </row>
        <row r="1673">
          <cell r="A1673" t="str">
            <v>US</v>
          </cell>
          <cell r="B1673" t="e">
            <v>#N/A</v>
          </cell>
        </row>
        <row r="1674">
          <cell r="A1674" t="str">
            <v>US</v>
          </cell>
          <cell r="B1674" t="e">
            <v>#N/A</v>
          </cell>
        </row>
        <row r="1675">
          <cell r="A1675" t="str">
            <v>US</v>
          </cell>
          <cell r="B1675" t="e">
            <v>#N/A</v>
          </cell>
        </row>
        <row r="1676">
          <cell r="A1676" t="str">
            <v>US</v>
          </cell>
          <cell r="B1676" t="e">
            <v>#N/A</v>
          </cell>
        </row>
        <row r="1677">
          <cell r="A1677" t="str">
            <v>US</v>
          </cell>
          <cell r="B1677" t="e">
            <v>#N/A</v>
          </cell>
        </row>
        <row r="1678">
          <cell r="A1678" t="str">
            <v>US</v>
          </cell>
          <cell r="B1678" t="e">
            <v>#N/A</v>
          </cell>
        </row>
        <row r="1679">
          <cell r="A1679" t="str">
            <v>US</v>
          </cell>
          <cell r="B1679" t="e">
            <v>#N/A</v>
          </cell>
        </row>
        <row r="1680">
          <cell r="A1680" t="str">
            <v>US</v>
          </cell>
          <cell r="B1680" t="e">
            <v>#N/A</v>
          </cell>
        </row>
        <row r="1681">
          <cell r="A1681" t="str">
            <v>US</v>
          </cell>
          <cell r="B1681" t="e">
            <v>#N/A</v>
          </cell>
        </row>
        <row r="1682">
          <cell r="A1682" t="str">
            <v>US</v>
          </cell>
          <cell r="B1682" t="e">
            <v>#N/A</v>
          </cell>
        </row>
        <row r="1683">
          <cell r="A1683" t="str">
            <v>US</v>
          </cell>
          <cell r="B1683" t="e">
            <v>#N/A</v>
          </cell>
        </row>
        <row r="1684">
          <cell r="A1684" t="str">
            <v>US</v>
          </cell>
          <cell r="B1684" t="e">
            <v>#N/A</v>
          </cell>
        </row>
        <row r="1685">
          <cell r="A1685" t="str">
            <v>US</v>
          </cell>
          <cell r="B1685" t="e">
            <v>#N/A</v>
          </cell>
        </row>
        <row r="1686">
          <cell r="A1686" t="str">
            <v>US</v>
          </cell>
          <cell r="B1686" t="e">
            <v>#N/A</v>
          </cell>
        </row>
        <row r="1687">
          <cell r="A1687" t="str">
            <v>US</v>
          </cell>
          <cell r="B1687" t="e">
            <v>#N/A</v>
          </cell>
        </row>
        <row r="1688">
          <cell r="A1688" t="str">
            <v>US</v>
          </cell>
          <cell r="B1688" t="e">
            <v>#N/A</v>
          </cell>
        </row>
        <row r="1689">
          <cell r="A1689" t="str">
            <v>US</v>
          </cell>
          <cell r="B1689" t="e">
            <v>#N/A</v>
          </cell>
        </row>
        <row r="1690">
          <cell r="A1690" t="str">
            <v>US</v>
          </cell>
          <cell r="B1690" t="e">
            <v>#N/A</v>
          </cell>
        </row>
        <row r="1691">
          <cell r="A1691" t="str">
            <v>US</v>
          </cell>
          <cell r="B1691" t="e">
            <v>#N/A</v>
          </cell>
        </row>
        <row r="1692">
          <cell r="A1692" t="str">
            <v>US</v>
          </cell>
          <cell r="B1692" t="e">
            <v>#N/A</v>
          </cell>
        </row>
        <row r="1693">
          <cell r="A1693" t="str">
            <v>US</v>
          </cell>
          <cell r="B1693" t="e">
            <v>#N/A</v>
          </cell>
        </row>
        <row r="1694">
          <cell r="A1694" t="str">
            <v>US</v>
          </cell>
          <cell r="B1694" t="e">
            <v>#N/A</v>
          </cell>
        </row>
        <row r="1695">
          <cell r="A1695" t="str">
            <v>US</v>
          </cell>
          <cell r="B1695" t="e">
            <v>#N/A</v>
          </cell>
        </row>
        <row r="1696">
          <cell r="A1696" t="str">
            <v>US</v>
          </cell>
          <cell r="B1696" t="e">
            <v>#N/A</v>
          </cell>
        </row>
        <row r="1697">
          <cell r="A1697" t="str">
            <v>US</v>
          </cell>
          <cell r="B1697" t="e">
            <v>#N/A</v>
          </cell>
        </row>
        <row r="1698">
          <cell r="A1698" t="str">
            <v>US</v>
          </cell>
          <cell r="B1698" t="e">
            <v>#N/A</v>
          </cell>
        </row>
        <row r="1699">
          <cell r="A1699" t="str">
            <v>US</v>
          </cell>
          <cell r="B1699" t="e">
            <v>#N/A</v>
          </cell>
        </row>
        <row r="1700">
          <cell r="A1700" t="str">
            <v>US</v>
          </cell>
          <cell r="B1700" t="e">
            <v>#N/A</v>
          </cell>
        </row>
        <row r="1701">
          <cell r="A1701" t="str">
            <v>US</v>
          </cell>
          <cell r="B1701" t="e">
            <v>#N/A</v>
          </cell>
        </row>
        <row r="1702">
          <cell r="A1702" t="str">
            <v>US</v>
          </cell>
          <cell r="B1702" t="e">
            <v>#N/A</v>
          </cell>
        </row>
        <row r="1703">
          <cell r="A1703" t="str">
            <v>US</v>
          </cell>
          <cell r="B1703" t="e">
            <v>#N/A</v>
          </cell>
        </row>
        <row r="1704">
          <cell r="A1704" t="str">
            <v>US</v>
          </cell>
          <cell r="B1704" t="e">
            <v>#N/A</v>
          </cell>
        </row>
        <row r="1705">
          <cell r="A1705" t="str">
            <v>US</v>
          </cell>
          <cell r="B1705" t="e">
            <v>#N/A</v>
          </cell>
        </row>
        <row r="1706">
          <cell r="A1706" t="str">
            <v>US</v>
          </cell>
          <cell r="B1706" t="e">
            <v>#N/A</v>
          </cell>
        </row>
        <row r="1707">
          <cell r="A1707" t="str">
            <v>US</v>
          </cell>
          <cell r="B1707" t="e">
            <v>#N/A</v>
          </cell>
        </row>
        <row r="1708">
          <cell r="A1708" t="str">
            <v>US</v>
          </cell>
          <cell r="B1708" t="e">
            <v>#N/A</v>
          </cell>
        </row>
        <row r="1709">
          <cell r="A1709" t="str">
            <v>US</v>
          </cell>
          <cell r="B1709" t="e">
            <v>#N/A</v>
          </cell>
        </row>
        <row r="1710">
          <cell r="A1710" t="str">
            <v>US</v>
          </cell>
          <cell r="B1710" t="e">
            <v>#N/A</v>
          </cell>
        </row>
        <row r="1711">
          <cell r="A1711" t="str">
            <v>US</v>
          </cell>
          <cell r="B1711" t="e">
            <v>#N/A</v>
          </cell>
        </row>
        <row r="1712">
          <cell r="A1712" t="str">
            <v>US</v>
          </cell>
          <cell r="B1712" t="e">
            <v>#N/A</v>
          </cell>
        </row>
        <row r="1713">
          <cell r="A1713" t="str">
            <v>US</v>
          </cell>
          <cell r="B1713" t="e">
            <v>#N/A</v>
          </cell>
        </row>
        <row r="1714">
          <cell r="A1714" t="str">
            <v>US</v>
          </cell>
          <cell r="B1714" t="e">
            <v>#N/A</v>
          </cell>
        </row>
        <row r="1715">
          <cell r="A1715" t="str">
            <v>US</v>
          </cell>
          <cell r="B1715" t="e">
            <v>#N/A</v>
          </cell>
        </row>
        <row r="1716">
          <cell r="A1716" t="str">
            <v>US</v>
          </cell>
          <cell r="B1716" t="e">
            <v>#N/A</v>
          </cell>
        </row>
        <row r="1717">
          <cell r="A1717" t="str">
            <v>US</v>
          </cell>
          <cell r="B1717" t="e">
            <v>#N/A</v>
          </cell>
        </row>
        <row r="1718">
          <cell r="A1718" t="str">
            <v>US</v>
          </cell>
          <cell r="B1718" t="e">
            <v>#N/A</v>
          </cell>
        </row>
        <row r="1719">
          <cell r="A1719" t="str">
            <v>US</v>
          </cell>
          <cell r="B1719" t="e">
            <v>#N/A</v>
          </cell>
        </row>
        <row r="1720">
          <cell r="A1720" t="str">
            <v>US</v>
          </cell>
          <cell r="B1720" t="e">
            <v>#N/A</v>
          </cell>
        </row>
        <row r="1721">
          <cell r="A1721" t="str">
            <v>US</v>
          </cell>
          <cell r="B1721" t="e">
            <v>#N/A</v>
          </cell>
        </row>
        <row r="1722">
          <cell r="A1722" t="str">
            <v>US</v>
          </cell>
          <cell r="B1722" t="e">
            <v>#N/A</v>
          </cell>
        </row>
        <row r="1723">
          <cell r="A1723" t="str">
            <v>US</v>
          </cell>
          <cell r="B1723" t="e">
            <v>#N/A</v>
          </cell>
        </row>
        <row r="1724">
          <cell r="A1724" t="str">
            <v>US</v>
          </cell>
          <cell r="B1724" t="e">
            <v>#N/A</v>
          </cell>
        </row>
        <row r="1725">
          <cell r="A1725" t="str">
            <v>US</v>
          </cell>
          <cell r="B1725" t="e">
            <v>#N/A</v>
          </cell>
        </row>
        <row r="1726">
          <cell r="A1726" t="str">
            <v>US</v>
          </cell>
          <cell r="B1726" t="e">
            <v>#N/A</v>
          </cell>
        </row>
        <row r="1727">
          <cell r="A1727" t="str">
            <v>US</v>
          </cell>
          <cell r="B1727" t="e">
            <v>#N/A</v>
          </cell>
        </row>
        <row r="1728">
          <cell r="A1728" t="str">
            <v>US</v>
          </cell>
          <cell r="B1728" t="e">
            <v>#N/A</v>
          </cell>
        </row>
        <row r="1729">
          <cell r="A1729" t="str">
            <v>US</v>
          </cell>
          <cell r="B1729" t="e">
            <v>#N/A</v>
          </cell>
        </row>
        <row r="1730">
          <cell r="A1730" t="str">
            <v>US</v>
          </cell>
          <cell r="B1730" t="e">
            <v>#N/A</v>
          </cell>
        </row>
        <row r="1731">
          <cell r="A1731" t="str">
            <v>US</v>
          </cell>
          <cell r="B1731" t="e">
            <v>#N/A</v>
          </cell>
        </row>
        <row r="1732">
          <cell r="A1732" t="str">
            <v>US</v>
          </cell>
          <cell r="B1732" t="e">
            <v>#N/A</v>
          </cell>
        </row>
        <row r="1733">
          <cell r="A1733" t="str">
            <v>US</v>
          </cell>
          <cell r="B1733" t="e">
            <v>#N/A</v>
          </cell>
        </row>
        <row r="1734">
          <cell r="A1734" t="str">
            <v>US</v>
          </cell>
          <cell r="B1734" t="e">
            <v>#N/A</v>
          </cell>
        </row>
        <row r="1735">
          <cell r="A1735" t="str">
            <v>US</v>
          </cell>
          <cell r="B1735" t="e">
            <v>#N/A</v>
          </cell>
        </row>
        <row r="1736">
          <cell r="A1736" t="str">
            <v>US</v>
          </cell>
          <cell r="B1736" t="e">
            <v>#N/A</v>
          </cell>
        </row>
        <row r="1737">
          <cell r="A1737" t="str">
            <v>US</v>
          </cell>
          <cell r="B1737" t="e">
            <v>#N/A</v>
          </cell>
        </row>
        <row r="1738">
          <cell r="A1738" t="str">
            <v>US</v>
          </cell>
          <cell r="B1738" t="e">
            <v>#N/A</v>
          </cell>
        </row>
        <row r="1739">
          <cell r="A1739" t="str">
            <v>US</v>
          </cell>
          <cell r="B1739" t="e">
            <v>#N/A</v>
          </cell>
        </row>
        <row r="1740">
          <cell r="A1740" t="str">
            <v>US</v>
          </cell>
          <cell r="B1740" t="e">
            <v>#N/A</v>
          </cell>
        </row>
        <row r="1741">
          <cell r="A1741" t="str">
            <v>US</v>
          </cell>
          <cell r="B1741" t="e">
            <v>#N/A</v>
          </cell>
        </row>
        <row r="1742">
          <cell r="A1742" t="str">
            <v>US</v>
          </cell>
          <cell r="B1742" t="e">
            <v>#N/A</v>
          </cell>
        </row>
        <row r="1743">
          <cell r="A1743" t="str">
            <v>US</v>
          </cell>
          <cell r="B1743" t="e">
            <v>#N/A</v>
          </cell>
        </row>
        <row r="1744">
          <cell r="A1744" t="str">
            <v>US</v>
          </cell>
          <cell r="B1744" t="e">
            <v>#N/A</v>
          </cell>
        </row>
        <row r="1745">
          <cell r="A1745" t="str">
            <v>US</v>
          </cell>
          <cell r="B1745" t="e">
            <v>#N/A</v>
          </cell>
        </row>
        <row r="1746">
          <cell r="A1746" t="str">
            <v>US</v>
          </cell>
          <cell r="B1746" t="e">
            <v>#N/A</v>
          </cell>
        </row>
        <row r="1747">
          <cell r="A1747" t="str">
            <v>US</v>
          </cell>
          <cell r="B1747" t="e">
            <v>#N/A</v>
          </cell>
        </row>
        <row r="1748">
          <cell r="A1748" t="str">
            <v>US</v>
          </cell>
          <cell r="B1748" t="e">
            <v>#N/A</v>
          </cell>
        </row>
        <row r="1749">
          <cell r="A1749" t="str">
            <v>US</v>
          </cell>
          <cell r="B1749" t="e">
            <v>#N/A</v>
          </cell>
        </row>
        <row r="1750">
          <cell r="A1750" t="str">
            <v>US</v>
          </cell>
          <cell r="B1750" t="e">
            <v>#N/A</v>
          </cell>
        </row>
        <row r="1751">
          <cell r="A1751" t="str">
            <v>US</v>
          </cell>
          <cell r="B1751" t="e">
            <v>#N/A</v>
          </cell>
        </row>
        <row r="1752">
          <cell r="A1752" t="str">
            <v>US</v>
          </cell>
          <cell r="B1752" t="e">
            <v>#N/A</v>
          </cell>
        </row>
        <row r="1753">
          <cell r="A1753" t="str">
            <v>US</v>
          </cell>
          <cell r="B1753" t="e">
            <v>#N/A</v>
          </cell>
        </row>
        <row r="1754">
          <cell r="A1754" t="str">
            <v>US</v>
          </cell>
          <cell r="B1754" t="e">
            <v>#N/A</v>
          </cell>
        </row>
        <row r="1755">
          <cell r="A1755" t="str">
            <v>US</v>
          </cell>
          <cell r="B1755" t="e">
            <v>#N/A</v>
          </cell>
        </row>
        <row r="1756">
          <cell r="A1756" t="str">
            <v>US</v>
          </cell>
          <cell r="B1756" t="e">
            <v>#N/A</v>
          </cell>
        </row>
        <row r="1757">
          <cell r="A1757" t="str">
            <v>US</v>
          </cell>
          <cell r="B1757" t="e">
            <v>#N/A</v>
          </cell>
        </row>
        <row r="1758">
          <cell r="A1758" t="str">
            <v>US</v>
          </cell>
          <cell r="B1758" t="e">
            <v>#N/A</v>
          </cell>
        </row>
        <row r="1759">
          <cell r="A1759" t="str">
            <v>US</v>
          </cell>
          <cell r="B1759" t="e">
            <v>#N/A</v>
          </cell>
        </row>
        <row r="1760">
          <cell r="A1760" t="str">
            <v>US</v>
          </cell>
          <cell r="B1760" t="e">
            <v>#N/A</v>
          </cell>
        </row>
        <row r="1761">
          <cell r="A1761" t="str">
            <v>US</v>
          </cell>
          <cell r="B1761" t="e">
            <v>#N/A</v>
          </cell>
        </row>
        <row r="1762">
          <cell r="A1762" t="str">
            <v>US</v>
          </cell>
          <cell r="B1762" t="e">
            <v>#N/A</v>
          </cell>
        </row>
        <row r="1763">
          <cell r="A1763" t="str">
            <v>US</v>
          </cell>
          <cell r="B1763" t="e">
            <v>#N/A</v>
          </cell>
        </row>
        <row r="1764">
          <cell r="A1764" t="str">
            <v>US</v>
          </cell>
          <cell r="B1764" t="e">
            <v>#N/A</v>
          </cell>
        </row>
        <row r="1765">
          <cell r="A1765" t="str">
            <v>US</v>
          </cell>
          <cell r="B1765" t="e">
            <v>#N/A</v>
          </cell>
        </row>
        <row r="1766">
          <cell r="A1766" t="str">
            <v>US</v>
          </cell>
          <cell r="B1766" t="e">
            <v>#N/A</v>
          </cell>
        </row>
        <row r="1767">
          <cell r="A1767" t="str">
            <v>US</v>
          </cell>
          <cell r="B1767" t="e">
            <v>#N/A</v>
          </cell>
        </row>
        <row r="1768">
          <cell r="A1768" t="str">
            <v>US</v>
          </cell>
          <cell r="B1768" t="e">
            <v>#N/A</v>
          </cell>
        </row>
        <row r="1769">
          <cell r="A1769" t="str">
            <v>US</v>
          </cell>
          <cell r="B1769" t="e">
            <v>#N/A</v>
          </cell>
        </row>
        <row r="1770">
          <cell r="A1770" t="str">
            <v>US</v>
          </cell>
          <cell r="B1770" t="e">
            <v>#N/A</v>
          </cell>
        </row>
        <row r="1771">
          <cell r="A1771" t="str">
            <v>US</v>
          </cell>
          <cell r="B1771" t="e">
            <v>#N/A</v>
          </cell>
        </row>
        <row r="1772">
          <cell r="A1772" t="str">
            <v>US</v>
          </cell>
          <cell r="B1772" t="e">
            <v>#N/A</v>
          </cell>
        </row>
        <row r="1773">
          <cell r="A1773" t="str">
            <v>US</v>
          </cell>
          <cell r="B1773" t="e">
            <v>#N/A</v>
          </cell>
        </row>
        <row r="1774">
          <cell r="A1774" t="str">
            <v>US</v>
          </cell>
          <cell r="B1774" t="e">
            <v>#N/A</v>
          </cell>
        </row>
        <row r="1775">
          <cell r="A1775" t="str">
            <v>US</v>
          </cell>
          <cell r="B1775" t="e">
            <v>#N/A</v>
          </cell>
        </row>
        <row r="1776">
          <cell r="A1776" t="str">
            <v>US</v>
          </cell>
          <cell r="B1776" t="e">
            <v>#N/A</v>
          </cell>
        </row>
        <row r="1777">
          <cell r="A1777" t="str">
            <v>US</v>
          </cell>
          <cell r="B1777" t="e">
            <v>#N/A</v>
          </cell>
        </row>
        <row r="1778">
          <cell r="A1778" t="str">
            <v>US</v>
          </cell>
          <cell r="B1778" t="e">
            <v>#N/A</v>
          </cell>
        </row>
        <row r="1779">
          <cell r="A1779" t="str">
            <v>US</v>
          </cell>
          <cell r="B1779" t="e">
            <v>#N/A</v>
          </cell>
        </row>
        <row r="1780">
          <cell r="A1780" t="str">
            <v>US</v>
          </cell>
          <cell r="B1780" t="e">
            <v>#N/A</v>
          </cell>
        </row>
        <row r="1781">
          <cell r="A1781" t="str">
            <v>US</v>
          </cell>
          <cell r="B1781" t="e">
            <v>#N/A</v>
          </cell>
        </row>
        <row r="1782">
          <cell r="A1782" t="str">
            <v>US</v>
          </cell>
          <cell r="B1782" t="e">
            <v>#N/A</v>
          </cell>
        </row>
        <row r="1783">
          <cell r="A1783" t="str">
            <v>US</v>
          </cell>
          <cell r="B1783" t="e">
            <v>#N/A</v>
          </cell>
        </row>
        <row r="1784">
          <cell r="A1784" t="str">
            <v>US</v>
          </cell>
          <cell r="B1784" t="e">
            <v>#N/A</v>
          </cell>
        </row>
        <row r="1785">
          <cell r="A1785" t="str">
            <v>US</v>
          </cell>
          <cell r="B1785" t="e">
            <v>#N/A</v>
          </cell>
        </row>
        <row r="1786">
          <cell r="A1786" t="str">
            <v>US</v>
          </cell>
          <cell r="B1786" t="e">
            <v>#N/A</v>
          </cell>
        </row>
        <row r="1787">
          <cell r="A1787" t="str">
            <v>US</v>
          </cell>
          <cell r="B1787" t="e">
            <v>#N/A</v>
          </cell>
        </row>
        <row r="1788">
          <cell r="A1788" t="str">
            <v>US</v>
          </cell>
          <cell r="B1788" t="e">
            <v>#N/A</v>
          </cell>
        </row>
        <row r="1789">
          <cell r="A1789" t="str">
            <v>US</v>
          </cell>
          <cell r="B1789" t="e">
            <v>#N/A</v>
          </cell>
        </row>
        <row r="1790">
          <cell r="A1790" t="str">
            <v>US</v>
          </cell>
          <cell r="B1790" t="e">
            <v>#N/A</v>
          </cell>
        </row>
        <row r="1791">
          <cell r="A1791" t="str">
            <v>US</v>
          </cell>
          <cell r="B1791" t="e">
            <v>#N/A</v>
          </cell>
        </row>
        <row r="1792">
          <cell r="A1792" t="str">
            <v>US</v>
          </cell>
          <cell r="B1792" t="e">
            <v>#N/A</v>
          </cell>
        </row>
        <row r="1793">
          <cell r="A1793" t="str">
            <v>US</v>
          </cell>
          <cell r="B1793" t="e">
            <v>#N/A</v>
          </cell>
        </row>
        <row r="1794">
          <cell r="A1794" t="str">
            <v>US</v>
          </cell>
          <cell r="B1794" t="e">
            <v>#N/A</v>
          </cell>
        </row>
        <row r="1795">
          <cell r="A1795" t="str">
            <v>US</v>
          </cell>
          <cell r="B1795" t="e">
            <v>#N/A</v>
          </cell>
        </row>
        <row r="1796">
          <cell r="A1796" t="str">
            <v>US</v>
          </cell>
          <cell r="B1796" t="e">
            <v>#N/A</v>
          </cell>
        </row>
        <row r="1797">
          <cell r="A1797" t="str">
            <v>US</v>
          </cell>
          <cell r="B1797" t="e">
            <v>#N/A</v>
          </cell>
        </row>
        <row r="1798">
          <cell r="A1798" t="str">
            <v>US</v>
          </cell>
          <cell r="B1798" t="e">
            <v>#N/A</v>
          </cell>
        </row>
        <row r="1799">
          <cell r="A1799" t="str">
            <v>US</v>
          </cell>
          <cell r="B1799" t="e">
            <v>#N/A</v>
          </cell>
        </row>
        <row r="1800">
          <cell r="A1800" t="str">
            <v>US</v>
          </cell>
          <cell r="B1800" t="e">
            <v>#N/A</v>
          </cell>
        </row>
        <row r="1801">
          <cell r="A1801" t="str">
            <v>US</v>
          </cell>
          <cell r="B1801" t="e">
            <v>#N/A</v>
          </cell>
        </row>
        <row r="1802">
          <cell r="A1802" t="str">
            <v>US</v>
          </cell>
          <cell r="B1802" t="e">
            <v>#N/A</v>
          </cell>
        </row>
        <row r="1803">
          <cell r="A1803" t="str">
            <v>US</v>
          </cell>
          <cell r="B1803" t="e">
            <v>#N/A</v>
          </cell>
        </row>
        <row r="1804">
          <cell r="A1804" t="str">
            <v>US</v>
          </cell>
          <cell r="B1804" t="e">
            <v>#N/A</v>
          </cell>
        </row>
        <row r="1805">
          <cell r="A1805" t="str">
            <v>US</v>
          </cell>
          <cell r="B1805" t="e">
            <v>#N/A</v>
          </cell>
        </row>
        <row r="1806">
          <cell r="A1806" t="str">
            <v>US</v>
          </cell>
          <cell r="B1806" t="e">
            <v>#N/A</v>
          </cell>
        </row>
        <row r="1807">
          <cell r="A1807" t="str">
            <v>US</v>
          </cell>
          <cell r="B1807" t="e">
            <v>#N/A</v>
          </cell>
        </row>
        <row r="1808">
          <cell r="A1808" t="str">
            <v>US</v>
          </cell>
          <cell r="B1808" t="e">
            <v>#N/A</v>
          </cell>
        </row>
        <row r="1809">
          <cell r="A1809" t="str">
            <v>US</v>
          </cell>
          <cell r="B1809" t="e">
            <v>#N/A</v>
          </cell>
        </row>
        <row r="1810">
          <cell r="A1810" t="str">
            <v>US</v>
          </cell>
          <cell r="B1810" t="e">
            <v>#N/A</v>
          </cell>
        </row>
        <row r="1811">
          <cell r="A1811" t="str">
            <v>US</v>
          </cell>
          <cell r="B1811" t="e">
            <v>#N/A</v>
          </cell>
        </row>
        <row r="1812">
          <cell r="A1812" t="str">
            <v>US</v>
          </cell>
          <cell r="B1812" t="e">
            <v>#N/A</v>
          </cell>
        </row>
        <row r="1813">
          <cell r="A1813" t="str">
            <v>US</v>
          </cell>
          <cell r="B1813" t="e">
            <v>#N/A</v>
          </cell>
        </row>
        <row r="1814">
          <cell r="A1814" t="str">
            <v>US</v>
          </cell>
          <cell r="B1814" t="e">
            <v>#N/A</v>
          </cell>
        </row>
        <row r="1815">
          <cell r="A1815" t="str">
            <v>US</v>
          </cell>
          <cell r="B1815" t="e">
            <v>#N/A</v>
          </cell>
        </row>
        <row r="1816">
          <cell r="A1816" t="str">
            <v>US</v>
          </cell>
          <cell r="B1816" t="e">
            <v>#N/A</v>
          </cell>
        </row>
        <row r="1817">
          <cell r="A1817" t="str">
            <v>US</v>
          </cell>
          <cell r="B1817" t="e">
            <v>#N/A</v>
          </cell>
        </row>
        <row r="1818">
          <cell r="A1818" t="str">
            <v>US</v>
          </cell>
          <cell r="B1818" t="e">
            <v>#N/A</v>
          </cell>
        </row>
        <row r="1819">
          <cell r="A1819" t="str">
            <v>US</v>
          </cell>
          <cell r="B1819" t="e">
            <v>#N/A</v>
          </cell>
        </row>
        <row r="1820">
          <cell r="A1820" t="str">
            <v>US</v>
          </cell>
          <cell r="B1820" t="e">
            <v>#N/A</v>
          </cell>
        </row>
        <row r="1821">
          <cell r="A1821" t="str">
            <v>US</v>
          </cell>
          <cell r="B1821" t="e">
            <v>#N/A</v>
          </cell>
        </row>
        <row r="1822">
          <cell r="A1822" t="str">
            <v>US</v>
          </cell>
          <cell r="B1822" t="e">
            <v>#N/A</v>
          </cell>
        </row>
        <row r="1823">
          <cell r="A1823" t="str">
            <v>US</v>
          </cell>
          <cell r="B1823" t="e">
            <v>#N/A</v>
          </cell>
        </row>
        <row r="1824">
          <cell r="A1824" t="str">
            <v>US</v>
          </cell>
          <cell r="B1824" t="e">
            <v>#N/A</v>
          </cell>
        </row>
        <row r="1825">
          <cell r="A1825" t="str">
            <v>US</v>
          </cell>
          <cell r="B1825" t="e">
            <v>#N/A</v>
          </cell>
        </row>
        <row r="1826">
          <cell r="A1826" t="str">
            <v>US</v>
          </cell>
          <cell r="B1826" t="e">
            <v>#N/A</v>
          </cell>
        </row>
        <row r="1827">
          <cell r="A1827" t="str">
            <v>US</v>
          </cell>
          <cell r="B1827" t="e">
            <v>#N/A</v>
          </cell>
        </row>
        <row r="1828">
          <cell r="A1828" t="str">
            <v>US</v>
          </cell>
          <cell r="B1828" t="e">
            <v>#N/A</v>
          </cell>
        </row>
        <row r="1829">
          <cell r="A1829" t="str">
            <v>US</v>
          </cell>
          <cell r="B1829" t="e">
            <v>#N/A</v>
          </cell>
        </row>
        <row r="1830">
          <cell r="A1830" t="str">
            <v>US</v>
          </cell>
          <cell r="B1830" t="e">
            <v>#N/A</v>
          </cell>
        </row>
        <row r="1831">
          <cell r="A1831" t="str">
            <v>US</v>
          </cell>
          <cell r="B1831" t="e">
            <v>#N/A</v>
          </cell>
        </row>
        <row r="1832">
          <cell r="A1832" t="str">
            <v>US</v>
          </cell>
          <cell r="B1832" t="e">
            <v>#N/A</v>
          </cell>
        </row>
        <row r="1833">
          <cell r="A1833" t="str">
            <v>US</v>
          </cell>
          <cell r="B1833" t="e">
            <v>#N/A</v>
          </cell>
        </row>
        <row r="1834">
          <cell r="A1834" t="str">
            <v>US</v>
          </cell>
          <cell r="B1834" t="e">
            <v>#N/A</v>
          </cell>
        </row>
        <row r="1835">
          <cell r="A1835" t="str">
            <v>US</v>
          </cell>
          <cell r="B1835" t="e">
            <v>#N/A</v>
          </cell>
        </row>
        <row r="1836">
          <cell r="A1836" t="str">
            <v>US</v>
          </cell>
          <cell r="B1836" t="e">
            <v>#N/A</v>
          </cell>
        </row>
        <row r="1837">
          <cell r="A1837" t="str">
            <v>US</v>
          </cell>
          <cell r="B1837" t="e">
            <v>#N/A</v>
          </cell>
        </row>
        <row r="1838">
          <cell r="A1838" t="str">
            <v>US</v>
          </cell>
          <cell r="B1838" t="e">
            <v>#N/A</v>
          </cell>
        </row>
        <row r="1839">
          <cell r="A1839" t="str">
            <v>US</v>
          </cell>
          <cell r="B1839" t="e">
            <v>#N/A</v>
          </cell>
        </row>
        <row r="1840">
          <cell r="A1840" t="str">
            <v>US</v>
          </cell>
          <cell r="B1840" t="e">
            <v>#N/A</v>
          </cell>
        </row>
        <row r="1841">
          <cell r="A1841" t="str">
            <v>US</v>
          </cell>
          <cell r="B1841" t="e">
            <v>#N/A</v>
          </cell>
        </row>
        <row r="1842">
          <cell r="A1842" t="str">
            <v>US</v>
          </cell>
          <cell r="B1842" t="e">
            <v>#N/A</v>
          </cell>
        </row>
        <row r="1843">
          <cell r="A1843" t="str">
            <v>US</v>
          </cell>
          <cell r="B1843" t="e">
            <v>#N/A</v>
          </cell>
        </row>
        <row r="1844">
          <cell r="A1844" t="str">
            <v>US</v>
          </cell>
          <cell r="B1844" t="e">
            <v>#N/A</v>
          </cell>
        </row>
        <row r="1845">
          <cell r="A1845" t="str">
            <v>US</v>
          </cell>
          <cell r="B1845" t="e">
            <v>#N/A</v>
          </cell>
        </row>
        <row r="1846">
          <cell r="A1846" t="str">
            <v>US</v>
          </cell>
          <cell r="B1846" t="e">
            <v>#N/A</v>
          </cell>
        </row>
        <row r="1847">
          <cell r="A1847" t="str">
            <v>US</v>
          </cell>
          <cell r="B1847" t="e">
            <v>#N/A</v>
          </cell>
        </row>
        <row r="1848">
          <cell r="A1848" t="str">
            <v>US</v>
          </cell>
          <cell r="B1848" t="e">
            <v>#N/A</v>
          </cell>
        </row>
        <row r="1849">
          <cell r="A1849" t="str">
            <v>US</v>
          </cell>
          <cell r="B1849" t="e">
            <v>#N/A</v>
          </cell>
        </row>
        <row r="1850">
          <cell r="A1850" t="str">
            <v>US</v>
          </cell>
          <cell r="B1850" t="e">
            <v>#N/A</v>
          </cell>
        </row>
        <row r="1851">
          <cell r="A1851" t="str">
            <v>US</v>
          </cell>
          <cell r="B1851" t="e">
            <v>#N/A</v>
          </cell>
        </row>
        <row r="1852">
          <cell r="A1852" t="str">
            <v>US</v>
          </cell>
          <cell r="B1852" t="e">
            <v>#N/A</v>
          </cell>
        </row>
        <row r="1853">
          <cell r="A1853" t="str">
            <v>US</v>
          </cell>
          <cell r="B1853" t="e">
            <v>#N/A</v>
          </cell>
        </row>
        <row r="1854">
          <cell r="A1854" t="str">
            <v>US</v>
          </cell>
          <cell r="B1854" t="e">
            <v>#N/A</v>
          </cell>
        </row>
        <row r="1855">
          <cell r="A1855" t="str">
            <v>US</v>
          </cell>
          <cell r="B1855" t="e">
            <v>#N/A</v>
          </cell>
        </row>
        <row r="1856">
          <cell r="A1856" t="str">
            <v>US</v>
          </cell>
          <cell r="B1856" t="e">
            <v>#N/A</v>
          </cell>
        </row>
        <row r="1857">
          <cell r="A1857" t="str">
            <v>US</v>
          </cell>
          <cell r="B1857" t="e">
            <v>#N/A</v>
          </cell>
        </row>
        <row r="1858">
          <cell r="A1858" t="str">
            <v>US</v>
          </cell>
          <cell r="B1858" t="e">
            <v>#N/A</v>
          </cell>
        </row>
        <row r="1859">
          <cell r="A1859" t="str">
            <v>US</v>
          </cell>
          <cell r="B1859" t="e">
            <v>#N/A</v>
          </cell>
        </row>
        <row r="1860">
          <cell r="A1860" t="str">
            <v>US</v>
          </cell>
          <cell r="B1860" t="e">
            <v>#N/A</v>
          </cell>
        </row>
        <row r="1861">
          <cell r="A1861" t="str">
            <v>US</v>
          </cell>
          <cell r="B1861" t="e">
            <v>#N/A</v>
          </cell>
        </row>
        <row r="1862">
          <cell r="A1862" t="str">
            <v>US</v>
          </cell>
          <cell r="B1862" t="e">
            <v>#N/A</v>
          </cell>
        </row>
        <row r="1863">
          <cell r="A1863" t="str">
            <v>US</v>
          </cell>
          <cell r="B1863" t="e">
            <v>#N/A</v>
          </cell>
        </row>
        <row r="1864">
          <cell r="A1864" t="str">
            <v>US</v>
          </cell>
          <cell r="B1864" t="e">
            <v>#N/A</v>
          </cell>
        </row>
        <row r="1865">
          <cell r="A1865" t="str">
            <v>US</v>
          </cell>
          <cell r="B1865" t="e">
            <v>#N/A</v>
          </cell>
        </row>
        <row r="1866">
          <cell r="A1866" t="str">
            <v>US</v>
          </cell>
          <cell r="B1866" t="e">
            <v>#N/A</v>
          </cell>
        </row>
        <row r="1867">
          <cell r="A1867" t="str">
            <v>US</v>
          </cell>
          <cell r="B1867" t="e">
            <v>#N/A</v>
          </cell>
        </row>
        <row r="1868">
          <cell r="A1868" t="str">
            <v>US</v>
          </cell>
          <cell r="B1868" t="e">
            <v>#N/A</v>
          </cell>
        </row>
        <row r="1869">
          <cell r="A1869" t="str">
            <v>US</v>
          </cell>
          <cell r="B1869" t="e">
            <v>#N/A</v>
          </cell>
        </row>
        <row r="1870">
          <cell r="A1870" t="str">
            <v>US</v>
          </cell>
          <cell r="B1870" t="e">
            <v>#N/A</v>
          </cell>
        </row>
        <row r="1871">
          <cell r="A1871" t="str">
            <v>US</v>
          </cell>
          <cell r="B1871" t="e">
            <v>#N/A</v>
          </cell>
        </row>
        <row r="1872">
          <cell r="A1872" t="str">
            <v>US</v>
          </cell>
          <cell r="B1872" t="e">
            <v>#N/A</v>
          </cell>
        </row>
        <row r="1873">
          <cell r="A1873" t="str">
            <v>US</v>
          </cell>
          <cell r="B1873" t="e">
            <v>#N/A</v>
          </cell>
        </row>
        <row r="1874">
          <cell r="A1874" t="str">
            <v>US</v>
          </cell>
          <cell r="B1874" t="e">
            <v>#N/A</v>
          </cell>
        </row>
        <row r="1875">
          <cell r="A1875" t="str">
            <v>US</v>
          </cell>
          <cell r="B1875" t="e">
            <v>#N/A</v>
          </cell>
        </row>
        <row r="1876">
          <cell r="A1876" t="str">
            <v>US</v>
          </cell>
          <cell r="B1876" t="e">
            <v>#N/A</v>
          </cell>
        </row>
        <row r="1877">
          <cell r="A1877" t="str">
            <v>US</v>
          </cell>
          <cell r="B1877" t="e">
            <v>#N/A</v>
          </cell>
        </row>
        <row r="1878">
          <cell r="A1878" t="str">
            <v>US</v>
          </cell>
          <cell r="B1878" t="e">
            <v>#N/A</v>
          </cell>
        </row>
        <row r="1879">
          <cell r="A1879" t="str">
            <v>US</v>
          </cell>
          <cell r="B1879" t="e">
            <v>#N/A</v>
          </cell>
        </row>
        <row r="1880">
          <cell r="A1880" t="str">
            <v>US</v>
          </cell>
          <cell r="B1880" t="e">
            <v>#N/A</v>
          </cell>
        </row>
        <row r="1881">
          <cell r="A1881" t="str">
            <v>US</v>
          </cell>
          <cell r="B1881" t="e">
            <v>#N/A</v>
          </cell>
        </row>
        <row r="1882">
          <cell r="A1882" t="str">
            <v>US</v>
          </cell>
          <cell r="B1882" t="e">
            <v>#N/A</v>
          </cell>
        </row>
        <row r="1883">
          <cell r="A1883" t="str">
            <v>US</v>
          </cell>
          <cell r="B1883" t="e">
            <v>#N/A</v>
          </cell>
        </row>
        <row r="1884">
          <cell r="A1884" t="str">
            <v>US</v>
          </cell>
          <cell r="B1884" t="e">
            <v>#N/A</v>
          </cell>
        </row>
        <row r="1885">
          <cell r="A1885" t="str">
            <v>US</v>
          </cell>
          <cell r="B1885" t="e">
            <v>#N/A</v>
          </cell>
        </row>
        <row r="1886">
          <cell r="A1886" t="str">
            <v>US</v>
          </cell>
          <cell r="B1886" t="e">
            <v>#N/A</v>
          </cell>
        </row>
        <row r="1887">
          <cell r="A1887" t="str">
            <v>US</v>
          </cell>
          <cell r="B1887" t="e">
            <v>#N/A</v>
          </cell>
        </row>
        <row r="1888">
          <cell r="A1888" t="str">
            <v>US</v>
          </cell>
          <cell r="B1888" t="e">
            <v>#N/A</v>
          </cell>
        </row>
        <row r="1889">
          <cell r="A1889" t="str">
            <v>US</v>
          </cell>
          <cell r="B1889" t="e">
            <v>#N/A</v>
          </cell>
        </row>
        <row r="1890">
          <cell r="A1890" t="str">
            <v>US</v>
          </cell>
          <cell r="B1890" t="e">
            <v>#N/A</v>
          </cell>
        </row>
        <row r="1891">
          <cell r="A1891" t="str">
            <v>US</v>
          </cell>
          <cell r="B1891" t="e">
            <v>#N/A</v>
          </cell>
        </row>
        <row r="1892">
          <cell r="A1892" t="str">
            <v>US</v>
          </cell>
          <cell r="B1892" t="e">
            <v>#N/A</v>
          </cell>
        </row>
        <row r="1893">
          <cell r="A1893" t="str">
            <v>US</v>
          </cell>
          <cell r="B1893" t="e">
            <v>#N/A</v>
          </cell>
        </row>
        <row r="1894">
          <cell r="A1894" t="str">
            <v>US</v>
          </cell>
          <cell r="B1894" t="e">
            <v>#N/A</v>
          </cell>
        </row>
        <row r="1895">
          <cell r="A1895" t="str">
            <v>US</v>
          </cell>
          <cell r="B1895" t="e">
            <v>#N/A</v>
          </cell>
        </row>
        <row r="1896">
          <cell r="A1896" t="str">
            <v>US</v>
          </cell>
          <cell r="B1896" t="e">
            <v>#N/A</v>
          </cell>
        </row>
        <row r="1897">
          <cell r="A1897" t="str">
            <v>US</v>
          </cell>
          <cell r="B1897" t="e">
            <v>#N/A</v>
          </cell>
        </row>
        <row r="1898">
          <cell r="A1898" t="str">
            <v>US</v>
          </cell>
          <cell r="B1898" t="e">
            <v>#N/A</v>
          </cell>
        </row>
        <row r="1899">
          <cell r="A1899" t="str">
            <v>US</v>
          </cell>
          <cell r="B1899" t="e">
            <v>#N/A</v>
          </cell>
        </row>
        <row r="1900">
          <cell r="A1900" t="str">
            <v>US</v>
          </cell>
          <cell r="B1900" t="e">
            <v>#N/A</v>
          </cell>
        </row>
        <row r="1901">
          <cell r="A1901" t="str">
            <v>US</v>
          </cell>
          <cell r="B1901" t="e">
            <v>#N/A</v>
          </cell>
        </row>
        <row r="1902">
          <cell r="A1902" t="str">
            <v>US</v>
          </cell>
          <cell r="B1902" t="e">
            <v>#N/A</v>
          </cell>
        </row>
        <row r="1903">
          <cell r="A1903" t="str">
            <v>US</v>
          </cell>
          <cell r="B1903" t="e">
            <v>#N/A</v>
          </cell>
        </row>
        <row r="1904">
          <cell r="A1904" t="str">
            <v>US</v>
          </cell>
          <cell r="B1904" t="e">
            <v>#N/A</v>
          </cell>
        </row>
        <row r="1905">
          <cell r="A1905" t="str">
            <v>US</v>
          </cell>
          <cell r="B1905" t="e">
            <v>#N/A</v>
          </cell>
        </row>
        <row r="1906">
          <cell r="A1906" t="str">
            <v>US</v>
          </cell>
          <cell r="B1906" t="e">
            <v>#N/A</v>
          </cell>
        </row>
        <row r="1907">
          <cell r="A1907" t="str">
            <v>US</v>
          </cell>
          <cell r="B1907" t="e">
            <v>#N/A</v>
          </cell>
        </row>
        <row r="1908">
          <cell r="A1908" t="str">
            <v>US</v>
          </cell>
          <cell r="B1908" t="e">
            <v>#N/A</v>
          </cell>
        </row>
        <row r="1909">
          <cell r="A1909" t="str">
            <v>US</v>
          </cell>
          <cell r="B1909" t="e">
            <v>#N/A</v>
          </cell>
        </row>
        <row r="1910">
          <cell r="A1910" t="str">
            <v>US</v>
          </cell>
          <cell r="B1910" t="e">
            <v>#N/A</v>
          </cell>
        </row>
        <row r="1911">
          <cell r="A1911" t="str">
            <v>US</v>
          </cell>
          <cell r="B1911" t="e">
            <v>#N/A</v>
          </cell>
        </row>
        <row r="1912">
          <cell r="A1912" t="str">
            <v>US</v>
          </cell>
          <cell r="B1912" t="e">
            <v>#N/A</v>
          </cell>
        </row>
        <row r="1913">
          <cell r="A1913" t="str">
            <v>US</v>
          </cell>
          <cell r="B1913" t="e">
            <v>#N/A</v>
          </cell>
        </row>
        <row r="1914">
          <cell r="A1914" t="str">
            <v>US</v>
          </cell>
          <cell r="B1914" t="e">
            <v>#N/A</v>
          </cell>
        </row>
        <row r="1915">
          <cell r="A1915" t="str">
            <v>US</v>
          </cell>
          <cell r="B1915" t="e">
            <v>#N/A</v>
          </cell>
        </row>
        <row r="1916">
          <cell r="A1916" t="str">
            <v>US</v>
          </cell>
          <cell r="B1916" t="e">
            <v>#N/A</v>
          </cell>
        </row>
        <row r="1917">
          <cell r="A1917" t="str">
            <v>US</v>
          </cell>
          <cell r="B1917" t="e">
            <v>#N/A</v>
          </cell>
        </row>
        <row r="1918">
          <cell r="A1918" t="str">
            <v>US</v>
          </cell>
          <cell r="B1918" t="e">
            <v>#N/A</v>
          </cell>
        </row>
        <row r="1919">
          <cell r="A1919" t="str">
            <v>US</v>
          </cell>
          <cell r="B1919" t="e">
            <v>#N/A</v>
          </cell>
        </row>
        <row r="1920">
          <cell r="A1920" t="str">
            <v>US</v>
          </cell>
          <cell r="B1920" t="e">
            <v>#N/A</v>
          </cell>
        </row>
        <row r="1921">
          <cell r="A1921" t="str">
            <v>US</v>
          </cell>
          <cell r="B1921" t="e">
            <v>#N/A</v>
          </cell>
        </row>
        <row r="1922">
          <cell r="A1922" t="str">
            <v>US</v>
          </cell>
          <cell r="B1922" t="e">
            <v>#N/A</v>
          </cell>
        </row>
        <row r="1923">
          <cell r="A1923" t="str">
            <v>US</v>
          </cell>
          <cell r="B1923" t="e">
            <v>#N/A</v>
          </cell>
        </row>
        <row r="1924">
          <cell r="A1924" t="str">
            <v>US</v>
          </cell>
          <cell r="B1924" t="e">
            <v>#N/A</v>
          </cell>
        </row>
        <row r="1925">
          <cell r="A1925" t="str">
            <v>US</v>
          </cell>
          <cell r="B1925" t="e">
            <v>#N/A</v>
          </cell>
        </row>
        <row r="1926">
          <cell r="A1926" t="str">
            <v>US</v>
          </cell>
          <cell r="B1926" t="e">
            <v>#N/A</v>
          </cell>
        </row>
        <row r="1927">
          <cell r="A1927" t="str">
            <v>US</v>
          </cell>
          <cell r="B1927" t="e">
            <v>#N/A</v>
          </cell>
        </row>
        <row r="1928">
          <cell r="A1928" t="str">
            <v>US</v>
          </cell>
          <cell r="B1928" t="e">
            <v>#N/A</v>
          </cell>
        </row>
        <row r="1929">
          <cell r="A1929" t="str">
            <v>US</v>
          </cell>
          <cell r="B1929" t="e">
            <v>#N/A</v>
          </cell>
        </row>
        <row r="1930">
          <cell r="A1930" t="str">
            <v>US</v>
          </cell>
          <cell r="B1930" t="e">
            <v>#N/A</v>
          </cell>
        </row>
        <row r="1931">
          <cell r="A1931" t="str">
            <v>US</v>
          </cell>
          <cell r="B1931" t="e">
            <v>#N/A</v>
          </cell>
        </row>
        <row r="1932">
          <cell r="A1932" t="str">
            <v>US</v>
          </cell>
          <cell r="B1932" t="e">
            <v>#N/A</v>
          </cell>
        </row>
        <row r="1933">
          <cell r="A1933" t="str">
            <v>US</v>
          </cell>
          <cell r="B1933" t="e">
            <v>#N/A</v>
          </cell>
        </row>
        <row r="1934">
          <cell r="A1934" t="str">
            <v>US</v>
          </cell>
          <cell r="B1934" t="e">
            <v>#N/A</v>
          </cell>
        </row>
        <row r="1935">
          <cell r="A1935" t="str">
            <v>US</v>
          </cell>
          <cell r="B1935" t="e">
            <v>#N/A</v>
          </cell>
        </row>
        <row r="1936">
          <cell r="A1936" t="str">
            <v>US</v>
          </cell>
          <cell r="B1936" t="e">
            <v>#N/A</v>
          </cell>
        </row>
        <row r="1937">
          <cell r="A1937" t="str">
            <v>US</v>
          </cell>
          <cell r="B1937" t="e">
            <v>#N/A</v>
          </cell>
        </row>
        <row r="1938">
          <cell r="A1938" t="str">
            <v>US</v>
          </cell>
          <cell r="B1938" t="e">
            <v>#N/A</v>
          </cell>
        </row>
        <row r="1939">
          <cell r="A1939" t="str">
            <v>US</v>
          </cell>
          <cell r="B1939" t="e">
            <v>#N/A</v>
          </cell>
        </row>
        <row r="1940">
          <cell r="A1940" t="str">
            <v>US</v>
          </cell>
          <cell r="B1940" t="e">
            <v>#N/A</v>
          </cell>
        </row>
        <row r="1941">
          <cell r="A1941" t="str">
            <v>US</v>
          </cell>
          <cell r="B1941" t="e">
            <v>#N/A</v>
          </cell>
        </row>
        <row r="1942">
          <cell r="A1942" t="str">
            <v>US</v>
          </cell>
          <cell r="B1942" t="e">
            <v>#N/A</v>
          </cell>
        </row>
        <row r="1943">
          <cell r="A1943" t="str">
            <v>US</v>
          </cell>
          <cell r="B1943" t="e">
            <v>#N/A</v>
          </cell>
        </row>
        <row r="1944">
          <cell r="A1944" t="str">
            <v>US</v>
          </cell>
          <cell r="B1944" t="e">
            <v>#N/A</v>
          </cell>
        </row>
        <row r="1945">
          <cell r="A1945" t="str">
            <v>US</v>
          </cell>
          <cell r="B1945" t="e">
            <v>#N/A</v>
          </cell>
        </row>
        <row r="1946">
          <cell r="A1946" t="str">
            <v>US</v>
          </cell>
          <cell r="B1946" t="e">
            <v>#N/A</v>
          </cell>
        </row>
        <row r="1947">
          <cell r="A1947" t="str">
            <v>US</v>
          </cell>
          <cell r="B1947" t="e">
            <v>#N/A</v>
          </cell>
        </row>
        <row r="1948">
          <cell r="A1948" t="str">
            <v>US</v>
          </cell>
          <cell r="B1948" t="e">
            <v>#N/A</v>
          </cell>
        </row>
        <row r="1949">
          <cell r="A1949" t="str">
            <v>US</v>
          </cell>
          <cell r="B1949" t="e">
            <v>#N/A</v>
          </cell>
        </row>
        <row r="1950">
          <cell r="A1950" t="str">
            <v>US</v>
          </cell>
          <cell r="B1950" t="e">
            <v>#N/A</v>
          </cell>
        </row>
        <row r="1951">
          <cell r="A1951" t="str">
            <v>US</v>
          </cell>
          <cell r="B1951" t="e">
            <v>#N/A</v>
          </cell>
        </row>
        <row r="1952">
          <cell r="A1952" t="str">
            <v>US</v>
          </cell>
          <cell r="B1952" t="e">
            <v>#N/A</v>
          </cell>
        </row>
        <row r="1953">
          <cell r="A1953" t="str">
            <v>US</v>
          </cell>
          <cell r="B1953" t="e">
            <v>#N/A</v>
          </cell>
        </row>
        <row r="1954">
          <cell r="A1954" t="str">
            <v>US</v>
          </cell>
          <cell r="B1954" t="e">
            <v>#N/A</v>
          </cell>
        </row>
        <row r="1955">
          <cell r="A1955" t="str">
            <v>US</v>
          </cell>
          <cell r="B1955" t="e">
            <v>#N/A</v>
          </cell>
        </row>
        <row r="1956">
          <cell r="A1956" t="str">
            <v>US</v>
          </cell>
          <cell r="B1956" t="e">
            <v>#N/A</v>
          </cell>
        </row>
        <row r="1957">
          <cell r="A1957" t="str">
            <v>US</v>
          </cell>
          <cell r="B1957" t="e">
            <v>#N/A</v>
          </cell>
        </row>
        <row r="1958">
          <cell r="A1958" t="str">
            <v>US</v>
          </cell>
          <cell r="B1958" t="e">
            <v>#N/A</v>
          </cell>
        </row>
        <row r="1959">
          <cell r="A1959" t="str">
            <v>US</v>
          </cell>
          <cell r="B1959" t="e">
            <v>#N/A</v>
          </cell>
        </row>
        <row r="1960">
          <cell r="A1960" t="str">
            <v>US</v>
          </cell>
          <cell r="B1960" t="e">
            <v>#N/A</v>
          </cell>
        </row>
        <row r="1961">
          <cell r="A1961" t="str">
            <v>US</v>
          </cell>
          <cell r="B1961" t="e">
            <v>#N/A</v>
          </cell>
        </row>
        <row r="1962">
          <cell r="A1962" t="str">
            <v>US</v>
          </cell>
          <cell r="B1962" t="e">
            <v>#N/A</v>
          </cell>
        </row>
        <row r="1963">
          <cell r="A1963" t="str">
            <v>US</v>
          </cell>
          <cell r="B1963" t="e">
            <v>#N/A</v>
          </cell>
        </row>
        <row r="1964">
          <cell r="A1964" t="str">
            <v>US</v>
          </cell>
          <cell r="B1964" t="e">
            <v>#N/A</v>
          </cell>
        </row>
        <row r="1965">
          <cell r="A1965" t="str">
            <v>US</v>
          </cell>
          <cell r="B1965" t="e">
            <v>#N/A</v>
          </cell>
        </row>
        <row r="1966">
          <cell r="A1966" t="str">
            <v>US</v>
          </cell>
          <cell r="B1966" t="e">
            <v>#N/A</v>
          </cell>
        </row>
        <row r="1967">
          <cell r="A1967" t="str">
            <v>US</v>
          </cell>
          <cell r="B1967" t="e">
            <v>#N/A</v>
          </cell>
        </row>
        <row r="1968">
          <cell r="A1968" t="str">
            <v>US</v>
          </cell>
          <cell r="B1968" t="e">
            <v>#N/A</v>
          </cell>
        </row>
        <row r="1969">
          <cell r="A1969" t="str">
            <v>US</v>
          </cell>
          <cell r="B1969" t="e">
            <v>#N/A</v>
          </cell>
        </row>
        <row r="1970">
          <cell r="A1970" t="str">
            <v>US</v>
          </cell>
          <cell r="B1970" t="e">
            <v>#N/A</v>
          </cell>
        </row>
        <row r="1971">
          <cell r="A1971" t="str">
            <v>US</v>
          </cell>
          <cell r="B1971" t="e">
            <v>#N/A</v>
          </cell>
        </row>
        <row r="1972">
          <cell r="A1972" t="str">
            <v>US</v>
          </cell>
          <cell r="B1972" t="e">
            <v>#N/A</v>
          </cell>
        </row>
        <row r="1973">
          <cell r="A1973" t="str">
            <v>US</v>
          </cell>
          <cell r="B1973" t="e">
            <v>#N/A</v>
          </cell>
        </row>
        <row r="1974">
          <cell r="A1974" t="str">
            <v>US</v>
          </cell>
          <cell r="B1974" t="e">
            <v>#N/A</v>
          </cell>
        </row>
        <row r="1975">
          <cell r="A1975" t="str">
            <v>US</v>
          </cell>
          <cell r="B1975" t="e">
            <v>#N/A</v>
          </cell>
        </row>
        <row r="1976">
          <cell r="A1976" t="str">
            <v>US</v>
          </cell>
          <cell r="B1976" t="e">
            <v>#N/A</v>
          </cell>
        </row>
        <row r="1977">
          <cell r="A1977" t="str">
            <v>US</v>
          </cell>
          <cell r="B1977" t="e">
            <v>#N/A</v>
          </cell>
        </row>
        <row r="1978">
          <cell r="A1978" t="str">
            <v>US</v>
          </cell>
          <cell r="B1978" t="e">
            <v>#N/A</v>
          </cell>
        </row>
        <row r="1979">
          <cell r="A1979" t="str">
            <v>US</v>
          </cell>
          <cell r="B1979" t="e">
            <v>#N/A</v>
          </cell>
        </row>
        <row r="1980">
          <cell r="A1980" t="str">
            <v>US</v>
          </cell>
          <cell r="B1980" t="e">
            <v>#N/A</v>
          </cell>
        </row>
        <row r="1981">
          <cell r="A1981" t="str">
            <v>US</v>
          </cell>
          <cell r="B1981" t="e">
            <v>#N/A</v>
          </cell>
        </row>
        <row r="1982">
          <cell r="A1982" t="str">
            <v>US</v>
          </cell>
          <cell r="B1982" t="e">
            <v>#N/A</v>
          </cell>
        </row>
        <row r="1983">
          <cell r="A1983" t="str">
            <v>US</v>
          </cell>
          <cell r="B1983" t="e">
            <v>#N/A</v>
          </cell>
        </row>
        <row r="1984">
          <cell r="A1984" t="str">
            <v>US</v>
          </cell>
          <cell r="B1984" t="e">
            <v>#N/A</v>
          </cell>
        </row>
        <row r="1985">
          <cell r="A1985" t="str">
            <v>US</v>
          </cell>
          <cell r="B1985" t="e">
            <v>#N/A</v>
          </cell>
        </row>
        <row r="1986">
          <cell r="A1986" t="str">
            <v>US</v>
          </cell>
          <cell r="B1986" t="e">
            <v>#N/A</v>
          </cell>
        </row>
        <row r="1987">
          <cell r="A1987" t="str">
            <v>US</v>
          </cell>
          <cell r="B1987" t="e">
            <v>#N/A</v>
          </cell>
        </row>
        <row r="1988">
          <cell r="A1988" t="str">
            <v>US</v>
          </cell>
          <cell r="B1988" t="e">
            <v>#N/A</v>
          </cell>
        </row>
        <row r="1989">
          <cell r="A1989" t="str">
            <v>US</v>
          </cell>
          <cell r="B1989" t="e">
            <v>#N/A</v>
          </cell>
        </row>
        <row r="1990">
          <cell r="A1990" t="str">
            <v>US</v>
          </cell>
          <cell r="B1990" t="e">
            <v>#N/A</v>
          </cell>
        </row>
        <row r="1991">
          <cell r="A1991" t="str">
            <v>US</v>
          </cell>
          <cell r="B1991" t="e">
            <v>#N/A</v>
          </cell>
        </row>
        <row r="1992">
          <cell r="A1992" t="str">
            <v>US</v>
          </cell>
          <cell r="B1992" t="e">
            <v>#N/A</v>
          </cell>
        </row>
        <row r="1993">
          <cell r="A1993" t="str">
            <v>US</v>
          </cell>
          <cell r="B1993" t="e">
            <v>#N/A</v>
          </cell>
        </row>
        <row r="1994">
          <cell r="A1994" t="str">
            <v>US</v>
          </cell>
          <cell r="B1994" t="e">
            <v>#N/A</v>
          </cell>
        </row>
        <row r="1995">
          <cell r="A1995" t="str">
            <v>US</v>
          </cell>
          <cell r="B1995" t="e">
            <v>#N/A</v>
          </cell>
        </row>
        <row r="1996">
          <cell r="A1996" t="str">
            <v>US</v>
          </cell>
          <cell r="B1996" t="e">
            <v>#N/A</v>
          </cell>
        </row>
        <row r="1997">
          <cell r="A1997" t="str">
            <v>US</v>
          </cell>
          <cell r="B1997" t="e">
            <v>#N/A</v>
          </cell>
        </row>
        <row r="1998">
          <cell r="A1998" t="str">
            <v>US</v>
          </cell>
          <cell r="B1998" t="e">
            <v>#N/A</v>
          </cell>
        </row>
        <row r="1999">
          <cell r="A1999" t="str">
            <v>US</v>
          </cell>
          <cell r="B1999" t="e">
            <v>#N/A</v>
          </cell>
        </row>
        <row r="2000">
          <cell r="A2000" t="str">
            <v>US</v>
          </cell>
          <cell r="B2000" t="e">
            <v>#N/A</v>
          </cell>
        </row>
        <row r="2001">
          <cell r="A2001" t="str">
            <v>US</v>
          </cell>
          <cell r="B2001" t="e">
            <v>#N/A</v>
          </cell>
        </row>
      </sheetData>
      <sheetData sheetId="8">
        <row r="1">
          <cell r="F1" t="str">
            <v>Billing Terms</v>
          </cell>
          <cell r="AE1" t="str">
            <v>Service Line</v>
          </cell>
          <cell r="AF1" t="str">
            <v>Benchmark</v>
          </cell>
          <cell r="AH1" t="str">
            <v>Service Line</v>
          </cell>
          <cell r="AI1" t="str">
            <v>OOS Task Rate Sheet</v>
          </cell>
        </row>
        <row r="2">
          <cell r="F2" t="str">
            <v>100% Upfront</v>
          </cell>
          <cell r="G2" t="str">
            <v>Due on Signing</v>
          </cell>
          <cell r="AE2" t="str">
            <v>PHB</v>
          </cell>
          <cell r="AF2">
            <v>0.746</v>
          </cell>
          <cell r="AH2" t="str">
            <v>National</v>
          </cell>
          <cell r="AI2" t="str">
            <v>National Rate</v>
          </cell>
        </row>
        <row r="3">
          <cell r="F3" t="str">
            <v>75% Upfront / 25% Complete</v>
          </cell>
          <cell r="G3" t="str">
            <v>Due on Signing</v>
          </cell>
          <cell r="H3">
            <v>46280</v>
          </cell>
          <cell r="R3">
            <v>0.25</v>
          </cell>
          <cell r="AE3" t="str">
            <v>RE</v>
          </cell>
          <cell r="AF3">
            <v>0.76500000000000001</v>
          </cell>
          <cell r="AH3" t="str">
            <v>Austin</v>
          </cell>
          <cell r="AI3" t="str">
            <v>Austin - 75%</v>
          </cell>
        </row>
        <row r="4">
          <cell r="F4" t="str">
            <v>50% Upfront / 50% Complete</v>
          </cell>
          <cell r="G4" t="str">
            <v>Due on Signing</v>
          </cell>
          <cell r="H4">
            <v>46280</v>
          </cell>
          <cell r="R4">
            <v>0.5</v>
          </cell>
          <cell r="AE4" t="str">
            <v>PE</v>
          </cell>
          <cell r="AF4">
            <v>0.65600000000000003</v>
          </cell>
          <cell r="AH4" t="str">
            <v>St. Louis</v>
          </cell>
          <cell r="AI4" t="str">
            <v>STL - 75%</v>
          </cell>
        </row>
        <row r="5">
          <cell r="F5" t="str">
            <v>Quarterly Installments</v>
          </cell>
          <cell r="G5" t="str">
            <v>1st of February</v>
          </cell>
          <cell r="H5" t="str">
            <v>1st of April</v>
          </cell>
          <cell r="I5" t="str">
            <v>1st of July</v>
          </cell>
          <cell r="J5" t="str">
            <v>1st of October</v>
          </cell>
          <cell r="R5">
            <v>0.25</v>
          </cell>
          <cell r="S5">
            <v>0.25</v>
          </cell>
          <cell r="T5">
            <v>0.25</v>
          </cell>
          <cell r="AE5" t="str">
            <v>Mgd Svcs</v>
          </cell>
          <cell r="AF5">
            <v>0.68899999999999995</v>
          </cell>
          <cell r="AH5" t="str">
            <v>Philly</v>
          </cell>
          <cell r="AI5" t="str">
            <v>Philly - 80%</v>
          </cell>
        </row>
        <row r="6">
          <cell r="F6" t="str">
            <v>Monthly Installments</v>
          </cell>
          <cell r="G6" t="str">
            <v>Due on Signing</v>
          </cell>
          <cell r="H6">
            <v>46037</v>
          </cell>
          <cell r="I6">
            <v>46068</v>
          </cell>
          <cell r="J6">
            <v>46096</v>
          </cell>
          <cell r="K6">
            <v>46127</v>
          </cell>
          <cell r="L6">
            <v>46157</v>
          </cell>
          <cell r="M6">
            <v>46188</v>
          </cell>
          <cell r="N6">
            <v>46218</v>
          </cell>
          <cell r="O6">
            <v>46249</v>
          </cell>
          <cell r="P6">
            <v>46280</v>
          </cell>
          <cell r="R6">
            <v>8.3333333333333329E-2</v>
          </cell>
          <cell r="S6">
            <v>8.3333333333333329E-2</v>
          </cell>
          <cell r="T6">
            <v>8.3333333333333329E-2</v>
          </cell>
          <cell r="U6">
            <v>8.3333333333333329E-2</v>
          </cell>
          <cell r="V6">
            <v>8.3333333333333329E-2</v>
          </cell>
          <cell r="W6">
            <v>8.3333333333333329E-2</v>
          </cell>
          <cell r="X6">
            <v>8.3333333333333329E-2</v>
          </cell>
          <cell r="Y6">
            <v>8.3333333333333329E-2</v>
          </cell>
          <cell r="Z6">
            <v>8.3333333333333329E-2</v>
          </cell>
          <cell r="AE6" t="str">
            <v>NFP</v>
          </cell>
          <cell r="AF6">
            <v>0.78200000000000003</v>
          </cell>
          <cell r="AH6" t="str">
            <v>Dallas</v>
          </cell>
          <cell r="AI6" t="str">
            <v>Dallas - 95%</v>
          </cell>
        </row>
        <row r="7">
          <cell r="F7" t="str">
            <v>Bill When Return Completed</v>
          </cell>
          <cell r="G7" t="str">
            <v>Due on Completion</v>
          </cell>
          <cell r="AH7" t="str">
            <v>New York</v>
          </cell>
          <cell r="AI7" t="str">
            <v>New York - 90%</v>
          </cell>
        </row>
        <row r="8">
          <cell r="AH8" t="str">
            <v>Denver</v>
          </cell>
          <cell r="AI8" t="str">
            <v>Denver - 95%</v>
          </cell>
        </row>
        <row r="9">
          <cell r="AH9" t="str">
            <v>SLC</v>
          </cell>
          <cell r="AI9" t="str">
            <v>SLC - 50%</v>
          </cell>
        </row>
      </sheetData>
      <sheetData sheetId="9"/>
      <sheetData sheetId="10">
        <row r="1">
          <cell r="A1" t="str">
            <v>Project ID</v>
          </cell>
          <cell r="M1" t="str">
            <v>Billable Hours</v>
          </cell>
          <cell r="N1" t="str">
            <v>Billable Fees</v>
          </cell>
          <cell r="Q1" t="str">
            <v>Billable Fees at Contract Rate</v>
          </cell>
          <cell r="T1" t="str">
            <v>Amount to Bill</v>
          </cell>
          <cell r="V1" t="str">
            <v>Std. Cost</v>
          </cell>
        </row>
        <row r="2">
          <cell r="A2" t="str">
            <v>PRJ000162919</v>
          </cell>
          <cell r="M2">
            <v>2</v>
          </cell>
          <cell r="N2">
            <v>1340</v>
          </cell>
          <cell r="Q2">
            <v>1340</v>
          </cell>
          <cell r="T2">
            <v>1340</v>
          </cell>
          <cell r="V2">
            <v>-333.42</v>
          </cell>
        </row>
        <row r="3">
          <cell r="A3" t="str">
            <v>PRJ000162919</v>
          </cell>
          <cell r="M3">
            <v>8.8000000000000007</v>
          </cell>
          <cell r="N3">
            <v>5896</v>
          </cell>
          <cell r="Q3">
            <v>5896</v>
          </cell>
          <cell r="T3">
            <v>5896</v>
          </cell>
          <cell r="V3">
            <v>-1108.8</v>
          </cell>
        </row>
        <row r="4">
          <cell r="A4" t="str">
            <v>Total</v>
          </cell>
          <cell r="M4">
            <v>10.8</v>
          </cell>
          <cell r="N4">
            <v>7236</v>
          </cell>
          <cell r="Q4">
            <v>7236</v>
          </cell>
          <cell r="T4">
            <v>7236</v>
          </cell>
          <cell r="V4">
            <v>-1442.22</v>
          </cell>
        </row>
        <row r="6">
          <cell r="A6" t="str">
            <v>Applied filters:
Project Name &amp; ID is Alacon Investors, LLC Partnership LLC Return 2024/12 (PRJ000162919)
Date is on or after Wednesday, January 01, 2025 and is before Thursday, January 01, 2026
Project Delivery Lead is Min Riblett
Business Unit is Tax
Year Selector is Current Year or Prior Year
Transaction Source is Time
Year Index is not blank</v>
          </cell>
        </row>
      </sheetData>
      <sheetData sheetId="11">
        <row r="1">
          <cell r="J1" t="str">
            <v>Estimated Year 1 Realization:</v>
          </cell>
          <cell r="Y1" t="str">
            <v>Workers &amp; Cost Center from HCM Roster</v>
          </cell>
          <cell r="AC1" t="str">
            <v>Project Hierarchy</v>
          </cell>
        </row>
        <row r="2">
          <cell r="I2">
            <v>1.5</v>
          </cell>
          <cell r="J2">
            <v>100</v>
          </cell>
          <cell r="Y2" t="str">
            <v>A.J. Telado</v>
          </cell>
          <cell r="AA2">
            <v>46049</v>
          </cell>
          <cell r="AC2" t="str">
            <v>Tax - Real Estate</v>
          </cell>
        </row>
        <row r="3">
          <cell r="I3">
            <v>1.45</v>
          </cell>
          <cell r="J3">
            <v>100</v>
          </cell>
          <cell r="Y3" t="str">
            <v>Aakanksha Sharma</v>
          </cell>
          <cell r="AC3" t="str">
            <v>Tax - Privately Held Business</v>
          </cell>
        </row>
        <row r="4">
          <cell r="I4">
            <v>1.4</v>
          </cell>
          <cell r="J4">
            <v>100</v>
          </cell>
          <cell r="Y4" t="str">
            <v>Abby Bass</v>
          </cell>
          <cell r="AC4" t="str">
            <v>Tax - Privately Held Business</v>
          </cell>
        </row>
        <row r="5">
          <cell r="I5">
            <v>1.35</v>
          </cell>
          <cell r="J5">
            <v>100</v>
          </cell>
          <cell r="Y5" t="str">
            <v>Abhishek Kumar Gupta</v>
          </cell>
          <cell r="AC5" t="str">
            <v>Tax - Real Estate</v>
          </cell>
        </row>
        <row r="6">
          <cell r="I6">
            <v>1.3</v>
          </cell>
          <cell r="J6">
            <v>100</v>
          </cell>
          <cell r="Y6" t="str">
            <v>Abhishek Patel</v>
          </cell>
          <cell r="AC6" t="str">
            <v>Tax - Corporate</v>
          </cell>
        </row>
        <row r="7">
          <cell r="I7">
            <v>1.25</v>
          </cell>
          <cell r="J7">
            <v>100</v>
          </cell>
          <cell r="Y7" t="str">
            <v>Abhishek Vaghela</v>
          </cell>
          <cell r="AC7" t="str">
            <v>Tax - Real Estate</v>
          </cell>
        </row>
        <row r="8">
          <cell r="I8">
            <v>1.2</v>
          </cell>
          <cell r="J8">
            <v>100</v>
          </cell>
          <cell r="Y8" t="str">
            <v>Adam Buckman</v>
          </cell>
          <cell r="AC8" t="str">
            <v>Tax National Office - International</v>
          </cell>
        </row>
        <row r="9">
          <cell r="I9">
            <v>1.1499999999999999</v>
          </cell>
          <cell r="J9">
            <v>100</v>
          </cell>
          <cell r="Y9" t="str">
            <v>Adam Santos</v>
          </cell>
          <cell r="AC9" t="str">
            <v>Tax - Privately Held Business</v>
          </cell>
        </row>
        <row r="10">
          <cell r="I10">
            <v>1.1000000000000001</v>
          </cell>
          <cell r="J10">
            <v>100</v>
          </cell>
          <cell r="Y10" t="str">
            <v>Adam Winnett</v>
          </cell>
          <cell r="AC10" t="str">
            <v>Tax - Private Client Advisors</v>
          </cell>
        </row>
        <row r="11">
          <cell r="I11">
            <v>1.05</v>
          </cell>
          <cell r="J11">
            <v>100</v>
          </cell>
          <cell r="Y11" t="str">
            <v>Adelaide Woodard</v>
          </cell>
          <cell r="AC11" t="str">
            <v>Tax - Privately Held Business</v>
          </cell>
        </row>
        <row r="12">
          <cell r="I12">
            <v>1</v>
          </cell>
          <cell r="J12">
            <v>100</v>
          </cell>
          <cell r="Y12" t="str">
            <v>Aditya Maheshwari</v>
          </cell>
          <cell r="AC12" t="str">
            <v>Tax - Corporate</v>
          </cell>
        </row>
        <row r="13">
          <cell r="I13">
            <v>0.95</v>
          </cell>
          <cell r="J13">
            <v>95</v>
          </cell>
          <cell r="Y13" t="str">
            <v>Aditya Sharma</v>
          </cell>
          <cell r="AC13" t="str">
            <v>Tax - Corporate</v>
          </cell>
        </row>
        <row r="14">
          <cell r="I14">
            <v>0.9</v>
          </cell>
          <cell r="J14">
            <v>90</v>
          </cell>
          <cell r="Y14" t="str">
            <v>Adryan Talite</v>
          </cell>
          <cell r="AC14" t="str">
            <v>Tax National Office - International</v>
          </cell>
        </row>
        <row r="15">
          <cell r="I15">
            <v>0.85</v>
          </cell>
          <cell r="J15">
            <v>85</v>
          </cell>
          <cell r="Y15" t="str">
            <v>Agnes Li</v>
          </cell>
          <cell r="AC15" t="str">
            <v>Tax - Private Client Advisors</v>
          </cell>
        </row>
        <row r="16">
          <cell r="I16">
            <v>0.8</v>
          </cell>
          <cell r="J16">
            <v>80</v>
          </cell>
          <cell r="Y16" t="str">
            <v>Ahila Sudarsanam</v>
          </cell>
          <cell r="AC16" t="str">
            <v>Tax National Office - Transfer Pricing</v>
          </cell>
        </row>
        <row r="17">
          <cell r="I17">
            <v>0.75</v>
          </cell>
          <cell r="J17">
            <v>75</v>
          </cell>
          <cell r="Y17" t="str">
            <v>Ahri Zhang</v>
          </cell>
          <cell r="AC17" t="str">
            <v>Tax - Private Client Advisors</v>
          </cell>
        </row>
        <row r="18">
          <cell r="I18">
            <v>0.7</v>
          </cell>
          <cell r="J18">
            <v>70</v>
          </cell>
          <cell r="Y18" t="str">
            <v>Aileen Ren</v>
          </cell>
          <cell r="AC18" t="str">
            <v>Tax - Real Estate</v>
          </cell>
        </row>
        <row r="19">
          <cell r="I19">
            <v>0.65</v>
          </cell>
          <cell r="J19">
            <v>65</v>
          </cell>
          <cell r="Y19" t="str">
            <v>Ailyn Bonaobra</v>
          </cell>
          <cell r="AC19" t="str">
            <v>Tax - Operations</v>
          </cell>
        </row>
        <row r="20">
          <cell r="I20">
            <v>0.6</v>
          </cell>
          <cell r="J20">
            <v>60</v>
          </cell>
          <cell r="Y20" t="str">
            <v>Alan Fine</v>
          </cell>
          <cell r="AC20" t="str">
            <v>Tax - Corporate</v>
          </cell>
        </row>
        <row r="21">
          <cell r="I21">
            <v>0.55000000000000004</v>
          </cell>
          <cell r="J21">
            <v>55</v>
          </cell>
          <cell r="Y21" t="str">
            <v>Alan Hoffman</v>
          </cell>
          <cell r="AC21" t="str">
            <v>Tax - Real Estate</v>
          </cell>
        </row>
        <row r="22">
          <cell r="I22">
            <v>0.5</v>
          </cell>
          <cell r="J22">
            <v>50</v>
          </cell>
          <cell r="Y22" t="str">
            <v>Alekya Kota</v>
          </cell>
          <cell r="AC22" t="str">
            <v>Tax - Corporate</v>
          </cell>
        </row>
        <row r="23">
          <cell r="I23">
            <v>0.45</v>
          </cell>
          <cell r="J23">
            <v>45</v>
          </cell>
          <cell r="Y23" t="str">
            <v>Alen Abraham</v>
          </cell>
          <cell r="AC23" t="str">
            <v>Tax - Private Client Advisors</v>
          </cell>
        </row>
        <row r="24">
          <cell r="I24">
            <v>0.39999999999999902</v>
          </cell>
          <cell r="J24">
            <v>40</v>
          </cell>
          <cell r="Y24" t="str">
            <v>Alex Fisher</v>
          </cell>
          <cell r="AC24" t="str">
            <v>Tax - Corporate</v>
          </cell>
        </row>
        <row r="25">
          <cell r="I25">
            <v>0.34999999999999898</v>
          </cell>
          <cell r="J25">
            <v>35</v>
          </cell>
          <cell r="Y25" t="str">
            <v>Alex Johnson</v>
          </cell>
          <cell r="AC25" t="str">
            <v>Tax - Private Client Advisors</v>
          </cell>
        </row>
        <row r="26">
          <cell r="I26">
            <v>0.29999999999999899</v>
          </cell>
          <cell r="J26">
            <v>30</v>
          </cell>
          <cell r="Y26" t="str">
            <v>Alex Shankles</v>
          </cell>
          <cell r="AC26" t="str">
            <v>Tax - Privately Held Business</v>
          </cell>
        </row>
        <row r="27">
          <cell r="I27">
            <v>0.249999999999999</v>
          </cell>
          <cell r="J27">
            <v>25</v>
          </cell>
          <cell r="Y27" t="str">
            <v>Alex Thacher</v>
          </cell>
          <cell r="AC27" t="str">
            <v>Tax National Office - SALT</v>
          </cell>
        </row>
        <row r="28">
          <cell r="I28">
            <v>0.19999999999999901</v>
          </cell>
          <cell r="J28">
            <v>20</v>
          </cell>
          <cell r="Y28" t="str">
            <v>Alex Zelaya</v>
          </cell>
          <cell r="AC28" t="str">
            <v>Tax - Private Client Advisors</v>
          </cell>
        </row>
        <row r="29">
          <cell r="I29">
            <v>0.149999999999999</v>
          </cell>
          <cell r="J29">
            <v>15</v>
          </cell>
          <cell r="Y29" t="str">
            <v>Alexandra Monroy</v>
          </cell>
          <cell r="AC29" t="str">
            <v>Tax - Real Estate</v>
          </cell>
        </row>
        <row r="30">
          <cell r="I30">
            <v>9.9999999999999006E-2</v>
          </cell>
          <cell r="J30">
            <v>10</v>
          </cell>
          <cell r="Y30" t="str">
            <v>Allison Jasper</v>
          </cell>
          <cell r="AC30" t="str">
            <v>Tax - Privately Held Business</v>
          </cell>
        </row>
        <row r="31">
          <cell r="I31">
            <v>4.9999999999998997E-2</v>
          </cell>
          <cell r="J31">
            <v>5</v>
          </cell>
          <cell r="Y31" t="str">
            <v>Alvina Quan</v>
          </cell>
          <cell r="AC31" t="str">
            <v>Tax - Private Client Advisors</v>
          </cell>
        </row>
        <row r="32">
          <cell r="I32">
            <v>0</v>
          </cell>
          <cell r="J32">
            <v>0</v>
          </cell>
          <cell r="Y32" t="str">
            <v>Alyssa Daniels</v>
          </cell>
          <cell r="AC32" t="str">
            <v>Tax - Corporate</v>
          </cell>
        </row>
        <row r="33">
          <cell r="Y33" t="str">
            <v>Amanda Le</v>
          </cell>
          <cell r="AC33" t="str">
            <v>Tax - Privately Held Business</v>
          </cell>
        </row>
        <row r="34">
          <cell r="Y34" t="str">
            <v>Amanda Lin</v>
          </cell>
          <cell r="AC34" t="str">
            <v>Tax - Private Client Advisors</v>
          </cell>
        </row>
        <row r="35">
          <cell r="K35" t="str">
            <v>T&amp;M - National Rate - 100%</v>
          </cell>
          <cell r="Y35" t="str">
            <v>Amar Jagdale</v>
          </cell>
          <cell r="AC35" t="str">
            <v>Tax - Privately Held Business</v>
          </cell>
        </row>
        <row r="36">
          <cell r="K36" t="str">
            <v>T&amp;M - Austin - 75%</v>
          </cell>
          <cell r="Y36" t="str">
            <v>Amber Deitenbeck</v>
          </cell>
          <cell r="AC36" t="str">
            <v>Tax - Not For Profit</v>
          </cell>
        </row>
        <row r="37">
          <cell r="K37" t="str">
            <v>T&amp;M - Dallas - 95%</v>
          </cell>
          <cell r="Y37" t="str">
            <v>Amelia Broadhurst</v>
          </cell>
          <cell r="AC37" t="str">
            <v>Tax - Operations</v>
          </cell>
        </row>
        <row r="38">
          <cell r="K38" t="str">
            <v>T&amp;M - Denver - 95%</v>
          </cell>
          <cell r="Y38" t="str">
            <v>Amit Prajapati</v>
          </cell>
          <cell r="AC38" t="str">
            <v>Tax - Real Estate</v>
          </cell>
        </row>
        <row r="39">
          <cell r="K39" t="str">
            <v>T&amp;M - New York - 90%</v>
          </cell>
          <cell r="Y39" t="str">
            <v>Amphy DaCosta</v>
          </cell>
          <cell r="AC39" t="str">
            <v>Tax - Operations</v>
          </cell>
        </row>
        <row r="40">
          <cell r="K40" t="str">
            <v>T&amp;M - Philly - 80%</v>
          </cell>
          <cell r="Y40" t="str">
            <v>Amy Shepard</v>
          </cell>
          <cell r="AC40" t="str">
            <v>Tax - Privately Held Business</v>
          </cell>
        </row>
        <row r="41">
          <cell r="K41" t="str">
            <v>T&amp;M - SLC - 50%</v>
          </cell>
          <cell r="Y41" t="str">
            <v>Amy Smith</v>
          </cell>
          <cell r="AC41" t="str">
            <v>Tax - Operations</v>
          </cell>
        </row>
        <row r="42">
          <cell r="K42" t="str">
            <v>T&amp;M - STL - 75%</v>
          </cell>
          <cell r="Y42" t="str">
            <v>Anagha Vartak</v>
          </cell>
          <cell r="AC42" t="str">
            <v>Tax - Real Estate</v>
          </cell>
        </row>
        <row r="43">
          <cell r="Y43" t="str">
            <v>Anastasia Tanton</v>
          </cell>
          <cell r="AC43" t="str">
            <v>Tax - Operations</v>
          </cell>
        </row>
        <row r="44">
          <cell r="Y44" t="str">
            <v>Andee Soza</v>
          </cell>
          <cell r="AC44" t="str">
            <v>Tax - Privately Held Business</v>
          </cell>
        </row>
        <row r="45">
          <cell r="Y45" t="str">
            <v>Andrea DelaCerna</v>
          </cell>
          <cell r="AC45" t="str">
            <v>Tax - Operations</v>
          </cell>
        </row>
        <row r="46">
          <cell r="Y46" t="str">
            <v>Andrea Mora</v>
          </cell>
          <cell r="AC46" t="str">
            <v>Tax - Privately Held Business</v>
          </cell>
        </row>
        <row r="47">
          <cell r="Y47" t="str">
            <v>Andres Hortet</v>
          </cell>
          <cell r="AC47" t="str">
            <v>Tax - Corporate</v>
          </cell>
        </row>
        <row r="48">
          <cell r="Y48" t="str">
            <v>Andrew Deming</v>
          </cell>
          <cell r="AC48" t="str">
            <v>Tax - Real Estate</v>
          </cell>
        </row>
        <row r="49">
          <cell r="Y49" t="str">
            <v>Andrew Facon</v>
          </cell>
          <cell r="AC49" t="str">
            <v>Tax - Privately Held Business</v>
          </cell>
        </row>
        <row r="50">
          <cell r="Y50" t="str">
            <v>Andrew Moore</v>
          </cell>
          <cell r="AC50" t="str">
            <v>Tax - Privately Held Business</v>
          </cell>
        </row>
        <row r="51">
          <cell r="Y51" t="str">
            <v>Andrew Thompson</v>
          </cell>
          <cell r="AC51" t="str">
            <v>Tax - Real Estate</v>
          </cell>
        </row>
        <row r="52">
          <cell r="Y52" t="str">
            <v>Andrew Watson</v>
          </cell>
          <cell r="AC52" t="str">
            <v>Tax - Not For Profit</v>
          </cell>
        </row>
        <row r="53">
          <cell r="Y53" t="str">
            <v>Angel Small</v>
          </cell>
          <cell r="AC53" t="str">
            <v>Tax - Not For Profit</v>
          </cell>
        </row>
        <row r="54">
          <cell r="Y54" t="str">
            <v>Angela Austria</v>
          </cell>
          <cell r="AC54" t="str">
            <v>Tax - Not For Profit</v>
          </cell>
        </row>
        <row r="55">
          <cell r="Y55" t="str">
            <v>Angela Cheng</v>
          </cell>
          <cell r="AC55" t="str">
            <v>Tax - Real Estate</v>
          </cell>
        </row>
        <row r="56">
          <cell r="Y56" t="str">
            <v>Angelica Flor Acosta</v>
          </cell>
          <cell r="AC56" t="str">
            <v>Tax National Office - International</v>
          </cell>
        </row>
        <row r="57">
          <cell r="Y57" t="str">
            <v>Angelo Coronado</v>
          </cell>
          <cell r="AC57" t="str">
            <v>Tax - Operations</v>
          </cell>
        </row>
        <row r="58">
          <cell r="Y58" t="str">
            <v>Anima Tuladhar</v>
          </cell>
          <cell r="AC58" t="str">
            <v>Tax - Privately Held Business</v>
          </cell>
        </row>
        <row r="59">
          <cell r="Y59" t="str">
            <v>Ann Ronquest</v>
          </cell>
          <cell r="AC59" t="str">
            <v>Tax - Privately Held Business</v>
          </cell>
        </row>
        <row r="60">
          <cell r="Y60" t="str">
            <v>Anne Flade</v>
          </cell>
          <cell r="AC60" t="str">
            <v>Tax - Privately Held Business</v>
          </cell>
        </row>
        <row r="61">
          <cell r="Y61" t="str">
            <v>Anne Ritter</v>
          </cell>
          <cell r="AC61" t="str">
            <v>Tax - Privately Held Business</v>
          </cell>
        </row>
        <row r="62">
          <cell r="Y62" t="str">
            <v>Anshu Jha</v>
          </cell>
          <cell r="AC62" t="str">
            <v>Tax National Office - Transfer Pricing</v>
          </cell>
        </row>
        <row r="63">
          <cell r="Y63" t="str">
            <v>Anusha D Bhat</v>
          </cell>
          <cell r="AC63" t="str">
            <v>Tax National Office - International</v>
          </cell>
        </row>
        <row r="64">
          <cell r="Y64" t="str">
            <v>April Sanchez</v>
          </cell>
          <cell r="AC64" t="str">
            <v>Tax - Operations</v>
          </cell>
        </row>
        <row r="65">
          <cell r="Y65" t="str">
            <v>April Sontag</v>
          </cell>
          <cell r="AC65" t="str">
            <v>Tax National Office - SALT</v>
          </cell>
        </row>
        <row r="66">
          <cell r="Y66" t="str">
            <v>Ariana Michner</v>
          </cell>
          <cell r="AC66" t="str">
            <v>Tax - Privately Held Business</v>
          </cell>
        </row>
        <row r="67">
          <cell r="Y67" t="str">
            <v>Ariella Mikail</v>
          </cell>
          <cell r="AC67" t="str">
            <v>Tax National Office - SALT</v>
          </cell>
        </row>
        <row r="68">
          <cell r="Y68" t="str">
            <v>Arnel Talha</v>
          </cell>
          <cell r="AC68" t="str">
            <v>Tax - Operations</v>
          </cell>
        </row>
        <row r="69">
          <cell r="Y69" t="str">
            <v>Aryeh Karp</v>
          </cell>
          <cell r="AC69" t="str">
            <v>Tax - Real Estate</v>
          </cell>
        </row>
        <row r="70">
          <cell r="Y70" t="str">
            <v>Ashish Jangir</v>
          </cell>
          <cell r="AC70" t="str">
            <v>Tax - Private Equity</v>
          </cell>
        </row>
        <row r="71">
          <cell r="Y71" t="str">
            <v>Ashley Menders</v>
          </cell>
          <cell r="AC71" t="str">
            <v>Tax - Privately Held Business</v>
          </cell>
        </row>
        <row r="72">
          <cell r="Y72" t="str">
            <v>Ashot Petrosyan</v>
          </cell>
          <cell r="AC72" t="str">
            <v>Tax - Real Estate</v>
          </cell>
        </row>
        <row r="73">
          <cell r="Y73" t="str">
            <v>Atul Sapra</v>
          </cell>
          <cell r="AC73" t="str">
            <v>Tax National Office - International</v>
          </cell>
        </row>
        <row r="74">
          <cell r="Y74" t="str">
            <v>AuraJulia Mangahas</v>
          </cell>
          <cell r="AC74" t="str">
            <v>Tax National Office - International</v>
          </cell>
        </row>
        <row r="75">
          <cell r="Y75" t="str">
            <v>Austin Concepcion</v>
          </cell>
          <cell r="AC75" t="str">
            <v>Tax - Operations</v>
          </cell>
        </row>
        <row r="76">
          <cell r="Y76" t="str">
            <v>Austin Fischer</v>
          </cell>
          <cell r="AC76" t="str">
            <v>Tax - Private Client Advisors</v>
          </cell>
        </row>
        <row r="77">
          <cell r="Y77" t="str">
            <v>Austin Frazier</v>
          </cell>
          <cell r="AC77" t="str">
            <v>Tax - Privately Held Business</v>
          </cell>
        </row>
        <row r="78">
          <cell r="Y78" t="str">
            <v>Austin Varghese</v>
          </cell>
          <cell r="AC78" t="str">
            <v>Tax - Real Estate</v>
          </cell>
        </row>
        <row r="79">
          <cell r="Y79" t="str">
            <v>Avi Garg</v>
          </cell>
          <cell r="AC79" t="str">
            <v>Tax - Private Client Advisors</v>
          </cell>
        </row>
        <row r="80">
          <cell r="Y80" t="str">
            <v>Ayushi Darji</v>
          </cell>
          <cell r="AC80" t="str">
            <v>Tax - Real Estate</v>
          </cell>
        </row>
        <row r="81">
          <cell r="Y81" t="str">
            <v>B. Sai Santhosh Reddy</v>
          </cell>
          <cell r="AC81" t="str">
            <v>Tax - Privately Held Business</v>
          </cell>
        </row>
        <row r="82">
          <cell r="Y82" t="str">
            <v>Bailee Calhoun</v>
          </cell>
          <cell r="AC82" t="str">
            <v>Tax - Privately Held Business</v>
          </cell>
        </row>
        <row r="83">
          <cell r="Y83" t="str">
            <v>Bailey Warrick</v>
          </cell>
          <cell r="AC83" t="str">
            <v>Tax - Private Client Advisors</v>
          </cell>
        </row>
        <row r="84">
          <cell r="Y84" t="str">
            <v>Bang Huynh</v>
          </cell>
          <cell r="AC84" t="str">
            <v>Tax National Office - R&amp;D Credits</v>
          </cell>
        </row>
        <row r="85">
          <cell r="Y85" t="str">
            <v>Barbara Ward</v>
          </cell>
          <cell r="AC85" t="str">
            <v>Tax - Real Estate</v>
          </cell>
        </row>
        <row r="86">
          <cell r="Y86" t="str">
            <v>Ben Behm</v>
          </cell>
          <cell r="AC86" t="str">
            <v>Tax - Corporate</v>
          </cell>
        </row>
        <row r="87">
          <cell r="Y87" t="str">
            <v>Ben Knollenberg</v>
          </cell>
          <cell r="AC87" t="str">
            <v>Tax - Corporate</v>
          </cell>
        </row>
        <row r="88">
          <cell r="Y88" t="str">
            <v>Benjamin Martinez</v>
          </cell>
          <cell r="AC88" t="str">
            <v>Tax - Operations</v>
          </cell>
        </row>
        <row r="89">
          <cell r="Y89" t="str">
            <v>Benjamin Ramos</v>
          </cell>
          <cell r="AC89" t="str">
            <v>Tax - Real Estate</v>
          </cell>
        </row>
        <row r="90">
          <cell r="Y90" t="str">
            <v>Bernalyn Zingariello</v>
          </cell>
          <cell r="AC90" t="str">
            <v>Tax - Corporate</v>
          </cell>
        </row>
        <row r="91">
          <cell r="Y91" t="str">
            <v>Bernard Munar</v>
          </cell>
          <cell r="AC91" t="str">
            <v>Tax National Office - International</v>
          </cell>
        </row>
        <row r="92">
          <cell r="Y92" t="str">
            <v>Bharat Harvani</v>
          </cell>
          <cell r="AC92" t="str">
            <v>Tax - Privately Held Business</v>
          </cell>
        </row>
        <row r="93">
          <cell r="Y93" t="str">
            <v>Bhargava Rapalli</v>
          </cell>
          <cell r="AC93" t="str">
            <v>Tax - Private Client Advisors</v>
          </cell>
        </row>
        <row r="94">
          <cell r="Y94" t="str">
            <v>Bhaunik Patel</v>
          </cell>
          <cell r="AC94" t="str">
            <v>Tax - Managed Services</v>
          </cell>
        </row>
        <row r="95">
          <cell r="Y95" t="str">
            <v>Bhavin Bavla</v>
          </cell>
          <cell r="AC95" t="str">
            <v>Tax - Real Estate</v>
          </cell>
        </row>
        <row r="96">
          <cell r="Y96" t="str">
            <v>Bibin Babu</v>
          </cell>
          <cell r="AC96" t="str">
            <v>Tax - Private Client Advisors</v>
          </cell>
        </row>
        <row r="97">
          <cell r="Y97" t="str">
            <v>Bill Hattox</v>
          </cell>
          <cell r="AC97" t="str">
            <v>Tax - Privately Held Business</v>
          </cell>
        </row>
        <row r="98">
          <cell r="Y98" t="str">
            <v>Billy Lewis</v>
          </cell>
          <cell r="AC98" t="str">
            <v>Tax National Office - SALT</v>
          </cell>
        </row>
        <row r="99">
          <cell r="Y99" t="str">
            <v>Blake Legatt</v>
          </cell>
          <cell r="AC99" t="str">
            <v>Tax - Corporate</v>
          </cell>
        </row>
        <row r="100">
          <cell r="Y100" t="str">
            <v>Blake Rakers</v>
          </cell>
          <cell r="AC100" t="str">
            <v>Tax National Office - SALT</v>
          </cell>
        </row>
        <row r="101">
          <cell r="Y101" t="str">
            <v>Brad Carter</v>
          </cell>
          <cell r="AC101" t="str">
            <v>Tax - Privately Held Business</v>
          </cell>
        </row>
        <row r="102">
          <cell r="Y102" t="str">
            <v>Brad Cless</v>
          </cell>
          <cell r="AC102" t="str">
            <v>Tax - Privately Held Business</v>
          </cell>
        </row>
        <row r="103">
          <cell r="Y103" t="str">
            <v>Brad Diamond</v>
          </cell>
          <cell r="AC103" t="str">
            <v>Tax - Operations</v>
          </cell>
        </row>
        <row r="104">
          <cell r="Y104" t="str">
            <v>Brad Lang</v>
          </cell>
          <cell r="AC104" t="str">
            <v>Tax National Office - SALT</v>
          </cell>
        </row>
        <row r="105">
          <cell r="Y105" t="str">
            <v>Braden Belser</v>
          </cell>
          <cell r="AC105" t="str">
            <v>Tax - Privately Held Business</v>
          </cell>
        </row>
        <row r="106">
          <cell r="Y106" t="str">
            <v>Braden Fickel</v>
          </cell>
          <cell r="AC106" t="str">
            <v>Tax - Privately Held Business</v>
          </cell>
        </row>
        <row r="107">
          <cell r="Y107" t="str">
            <v>Brenda Wernick</v>
          </cell>
          <cell r="AC107" t="str">
            <v>Tax - Operations</v>
          </cell>
        </row>
        <row r="108">
          <cell r="Y108" t="str">
            <v>Brendan Carey</v>
          </cell>
          <cell r="AC108" t="str">
            <v>Tax - Privately Held Business</v>
          </cell>
        </row>
        <row r="109">
          <cell r="Y109" t="str">
            <v>Brianna Leong</v>
          </cell>
          <cell r="AC109" t="str">
            <v>Tax - Privately Held Business</v>
          </cell>
        </row>
        <row r="110">
          <cell r="Y110" t="str">
            <v>Brittany Pennington</v>
          </cell>
          <cell r="AC110" t="str">
            <v>Tax - Corporate</v>
          </cell>
        </row>
        <row r="111">
          <cell r="Y111" t="str">
            <v>Brooke Erdozaincy</v>
          </cell>
          <cell r="AC111" t="str">
            <v>Tax - Privately Held Business</v>
          </cell>
        </row>
        <row r="112">
          <cell r="Y112" t="str">
            <v>Brooke Reel</v>
          </cell>
          <cell r="AC112" t="str">
            <v>Tax - Privately Held Business</v>
          </cell>
        </row>
        <row r="113">
          <cell r="Y113" t="str">
            <v>Bryan Demarchis</v>
          </cell>
          <cell r="AC113" t="str">
            <v>Tax National Office - SALT</v>
          </cell>
        </row>
        <row r="114">
          <cell r="Y114" t="str">
            <v>Bryan Jackson</v>
          </cell>
          <cell r="AC114" t="str">
            <v>Tax - Managed Services</v>
          </cell>
        </row>
        <row r="115">
          <cell r="Y115" t="str">
            <v>Bryce Flores</v>
          </cell>
          <cell r="AC115" t="str">
            <v>Tax - Corporate</v>
          </cell>
        </row>
        <row r="116">
          <cell r="Y116" t="str">
            <v>CA Anushree Agrawal</v>
          </cell>
          <cell r="AC116" t="str">
            <v>Tax - Privately Held Business</v>
          </cell>
        </row>
        <row r="117">
          <cell r="Y117" t="str">
            <v>Caleb Aaron</v>
          </cell>
          <cell r="AC117" t="str">
            <v>Tax - Privately Held Business</v>
          </cell>
        </row>
        <row r="118">
          <cell r="Y118" t="str">
            <v>Caleb Crandell</v>
          </cell>
          <cell r="AC118" t="str">
            <v>Tax - Private Equity</v>
          </cell>
        </row>
        <row r="119">
          <cell r="Y119" t="str">
            <v>Candice Chau</v>
          </cell>
          <cell r="AC119" t="str">
            <v>Tax - Private Client Advisors</v>
          </cell>
        </row>
        <row r="120">
          <cell r="Y120" t="str">
            <v>Carina Chou</v>
          </cell>
          <cell r="AC120" t="str">
            <v>Tax - Private Client Advisors</v>
          </cell>
        </row>
        <row r="121">
          <cell r="Y121" t="str">
            <v>Carissa Bernet</v>
          </cell>
          <cell r="AC121" t="str">
            <v>Tax - Operations</v>
          </cell>
        </row>
        <row r="122">
          <cell r="Y122" t="str">
            <v>Carissa Schweig</v>
          </cell>
          <cell r="AC122" t="str">
            <v>Tax - Operations</v>
          </cell>
        </row>
        <row r="123">
          <cell r="Y123" t="str">
            <v>Carlos Gonzalez</v>
          </cell>
          <cell r="AC123" t="str">
            <v>Tax - Corporate</v>
          </cell>
        </row>
        <row r="124">
          <cell r="Y124" t="str">
            <v>Carlos Malla</v>
          </cell>
          <cell r="AC124" t="str">
            <v>Tax - Privately Held Business</v>
          </cell>
        </row>
        <row r="125">
          <cell r="Y125" t="str">
            <v>Carolina Meza</v>
          </cell>
          <cell r="AC125" t="str">
            <v>Tax - Privately Held Business</v>
          </cell>
        </row>
        <row r="126">
          <cell r="Y126" t="str">
            <v>Caroline Ordaz</v>
          </cell>
          <cell r="AC126" t="str">
            <v>Tax - Operations</v>
          </cell>
        </row>
        <row r="127">
          <cell r="Y127" t="str">
            <v>Carolyn Tang</v>
          </cell>
          <cell r="AC127" t="str">
            <v>Tax - Real Estate</v>
          </cell>
        </row>
        <row r="128">
          <cell r="Y128" t="str">
            <v>Carrie Chang</v>
          </cell>
          <cell r="AC128" t="str">
            <v>Tax - Corporate</v>
          </cell>
        </row>
        <row r="129">
          <cell r="Y129" t="str">
            <v>Caryn Cohen</v>
          </cell>
          <cell r="AC129" t="str">
            <v>Tax - Operations</v>
          </cell>
        </row>
        <row r="130">
          <cell r="Y130" t="str">
            <v>Casey Pelech</v>
          </cell>
          <cell r="AC130" t="str">
            <v>Tax - Privately Held Business</v>
          </cell>
        </row>
        <row r="131">
          <cell r="Y131" t="str">
            <v>Cecilia Fernandes</v>
          </cell>
          <cell r="AC131" t="str">
            <v>Tax - Operations</v>
          </cell>
        </row>
        <row r="132">
          <cell r="Y132" t="str">
            <v>Cecilia Lin</v>
          </cell>
          <cell r="AC132" t="str">
            <v>Tax - Privately Held Business</v>
          </cell>
        </row>
        <row r="133">
          <cell r="Y133" t="str">
            <v>Celeste Park</v>
          </cell>
          <cell r="AC133" t="str">
            <v>Tax National Office - R&amp;D Credits</v>
          </cell>
        </row>
        <row r="134">
          <cell r="Y134" t="str">
            <v>Celine Huang</v>
          </cell>
          <cell r="AC134" t="str">
            <v>Tax - Operations</v>
          </cell>
        </row>
        <row r="135">
          <cell r="Y135" t="str">
            <v>Celine Ming Mao</v>
          </cell>
          <cell r="AC135" t="str">
            <v>Tax - Private Client Advisors</v>
          </cell>
        </row>
        <row r="136">
          <cell r="Y136" t="str">
            <v>Charles Gilbert</v>
          </cell>
          <cell r="AC136" t="str">
            <v>Tax National Office - Transfer Pricing</v>
          </cell>
        </row>
        <row r="137">
          <cell r="Y137" t="str">
            <v>Charmine Gaelon</v>
          </cell>
          <cell r="AC137" t="str">
            <v>Tax National Office - Transfer Pricing</v>
          </cell>
        </row>
        <row r="138">
          <cell r="Y138" t="str">
            <v>Chelsea Carter</v>
          </cell>
          <cell r="AC138" t="str">
            <v>Tax - Private Client Advisors</v>
          </cell>
        </row>
        <row r="139">
          <cell r="Y139" t="str">
            <v>Chelsea Zdenek</v>
          </cell>
          <cell r="AC139" t="str">
            <v>Tax National Office - R&amp;D Credits</v>
          </cell>
        </row>
        <row r="140">
          <cell r="Y140" t="str">
            <v>Cher Prochnow</v>
          </cell>
          <cell r="AC140" t="str">
            <v>Tax - Corporate</v>
          </cell>
        </row>
        <row r="141">
          <cell r="Y141" t="str">
            <v>Cherri Jackson</v>
          </cell>
          <cell r="AC141" t="str">
            <v>Tax National Office - Compext</v>
          </cell>
        </row>
        <row r="142">
          <cell r="Y142" t="str">
            <v>Chihiro Tanaka</v>
          </cell>
          <cell r="AC142" t="str">
            <v>Tax National Office - International</v>
          </cell>
        </row>
        <row r="143">
          <cell r="Y143" t="str">
            <v>Ching-Yuan Chang</v>
          </cell>
          <cell r="AC143" t="str">
            <v>Tax - Private Client Advisors</v>
          </cell>
        </row>
        <row r="144">
          <cell r="Y144" t="str">
            <v>Chloe Matawaran</v>
          </cell>
          <cell r="AC144" t="str">
            <v>Tax - Operations</v>
          </cell>
        </row>
        <row r="145">
          <cell r="Y145" t="str">
            <v>Chloe Tolchinsky</v>
          </cell>
          <cell r="AC145" t="str">
            <v>Tax - Privately Held Business</v>
          </cell>
        </row>
        <row r="146">
          <cell r="Y146" t="str">
            <v>Chris Barbuto</v>
          </cell>
          <cell r="AC146" t="str">
            <v>Tax - Privately Held Business</v>
          </cell>
        </row>
        <row r="147">
          <cell r="Y147" t="str">
            <v>Chris Catarino</v>
          </cell>
          <cell r="AC147" t="str">
            <v>Tax - Real Estate</v>
          </cell>
        </row>
        <row r="148">
          <cell r="Y148" t="str">
            <v>Chris Parmley</v>
          </cell>
          <cell r="AC148" t="str">
            <v>Tax - Privately Held Business</v>
          </cell>
        </row>
        <row r="149">
          <cell r="Y149" t="str">
            <v>Christian Beyer</v>
          </cell>
          <cell r="AC149" t="str">
            <v>Tax - Corporate</v>
          </cell>
        </row>
        <row r="150">
          <cell r="Y150" t="str">
            <v>Christina Couture</v>
          </cell>
          <cell r="AC150" t="str">
            <v>Tax National Office - SALT</v>
          </cell>
        </row>
        <row r="151">
          <cell r="Y151" t="str">
            <v>Christon delosReyes</v>
          </cell>
          <cell r="AC151" t="str">
            <v>Tax - Operations</v>
          </cell>
        </row>
        <row r="152">
          <cell r="Y152" t="str">
            <v>Christopher Gaus</v>
          </cell>
          <cell r="AC152" t="str">
            <v>Tax - Corporate</v>
          </cell>
        </row>
        <row r="153">
          <cell r="Y153" t="str">
            <v>Christy Calderon</v>
          </cell>
          <cell r="AC153" t="str">
            <v>Tax - Corporate</v>
          </cell>
        </row>
        <row r="154">
          <cell r="Y154" t="str">
            <v>Christy Jing</v>
          </cell>
          <cell r="AC154" t="str">
            <v>Tax National Office - International</v>
          </cell>
        </row>
        <row r="155">
          <cell r="Y155" t="str">
            <v>Cici Hurtado</v>
          </cell>
          <cell r="AC155" t="str">
            <v>Tax - Operations</v>
          </cell>
        </row>
        <row r="156">
          <cell r="Y156" t="str">
            <v>Cindy Lai</v>
          </cell>
          <cell r="AC156" t="str">
            <v>Tax - Privately Held Business</v>
          </cell>
        </row>
        <row r="157">
          <cell r="Y157" t="str">
            <v>Cindy Rust</v>
          </cell>
          <cell r="AC157" t="str">
            <v>Tax National Office - SALT</v>
          </cell>
        </row>
        <row r="158">
          <cell r="Y158" t="str">
            <v>Cinny Tran</v>
          </cell>
          <cell r="AC158" t="str">
            <v>Tax - Privately Held Business</v>
          </cell>
        </row>
        <row r="159">
          <cell r="Y159" t="str">
            <v>Clare Porreca</v>
          </cell>
          <cell r="AC159" t="str">
            <v>Tax - Privately Held Business</v>
          </cell>
        </row>
        <row r="160">
          <cell r="Y160" t="str">
            <v>Clay Bass</v>
          </cell>
          <cell r="AC160" t="str">
            <v>Tax National Office - SALT</v>
          </cell>
        </row>
        <row r="161">
          <cell r="Y161" t="str">
            <v>Colby Whitley</v>
          </cell>
          <cell r="AC161" t="str">
            <v>Tax - Privately Held Business</v>
          </cell>
        </row>
        <row r="162">
          <cell r="Y162" t="str">
            <v>Coleton Meseke</v>
          </cell>
          <cell r="AC162" t="str">
            <v>Tax - Privately Held Business</v>
          </cell>
        </row>
        <row r="163">
          <cell r="Y163" t="str">
            <v>Corey Christensen</v>
          </cell>
          <cell r="AC163" t="str">
            <v>Tax - Corporate</v>
          </cell>
        </row>
        <row r="164">
          <cell r="Y164" t="str">
            <v>Courtney Begic</v>
          </cell>
          <cell r="AC164" t="str">
            <v>Tax - Not For Profit</v>
          </cell>
        </row>
        <row r="165">
          <cell r="Y165" t="str">
            <v>Cristina Banek</v>
          </cell>
          <cell r="AC165" t="str">
            <v>Tax - Operations</v>
          </cell>
        </row>
        <row r="166">
          <cell r="Y166" t="str">
            <v>Dan Marques</v>
          </cell>
          <cell r="AC166" t="str">
            <v>Tax - Privately Held Business</v>
          </cell>
        </row>
        <row r="167">
          <cell r="Y167" t="str">
            <v>Dan Wiggins</v>
          </cell>
          <cell r="AC167" t="str">
            <v>Tax - Operations</v>
          </cell>
        </row>
        <row r="168">
          <cell r="Y168" t="str">
            <v>Dana Summers</v>
          </cell>
          <cell r="AC168" t="str">
            <v>Tax - Not For Profit</v>
          </cell>
        </row>
        <row r="169">
          <cell r="Y169" t="str">
            <v>Dana White</v>
          </cell>
          <cell r="AC169" t="str">
            <v>Tax - Private Client Advisors</v>
          </cell>
        </row>
        <row r="170">
          <cell r="Y170" t="str">
            <v>Daniel Lee</v>
          </cell>
          <cell r="AC170" t="str">
            <v>Tax - Real Estate</v>
          </cell>
        </row>
        <row r="171">
          <cell r="Y171" t="str">
            <v>Daniel Ressler</v>
          </cell>
          <cell r="AC171" t="str">
            <v>Tax - Privately Held Business</v>
          </cell>
        </row>
        <row r="172">
          <cell r="Y172" t="str">
            <v>Danielle Clifton</v>
          </cell>
          <cell r="AC172" t="str">
            <v>Tax - Private Client Advisors</v>
          </cell>
        </row>
        <row r="173">
          <cell r="Y173" t="str">
            <v>Danielle Coto</v>
          </cell>
          <cell r="AC173" t="str">
            <v>Tax - Privately Held Business</v>
          </cell>
        </row>
        <row r="174">
          <cell r="Y174" t="str">
            <v>Danielle La-O</v>
          </cell>
          <cell r="AC174" t="str">
            <v>Tax National Office - International</v>
          </cell>
        </row>
        <row r="175">
          <cell r="Y175" t="str">
            <v>Darby Hart</v>
          </cell>
          <cell r="AC175" t="str">
            <v>Tax - Privately Held Business</v>
          </cell>
        </row>
        <row r="176">
          <cell r="Y176" t="str">
            <v>Darice Chan</v>
          </cell>
          <cell r="AC176" t="str">
            <v>Tax - Corporate</v>
          </cell>
        </row>
        <row r="177">
          <cell r="Y177" t="str">
            <v>Darla Hemmann</v>
          </cell>
          <cell r="AC177" t="str">
            <v>Tax - Private Client Advisors</v>
          </cell>
        </row>
        <row r="178">
          <cell r="Y178" t="str">
            <v>Dave Fisher</v>
          </cell>
          <cell r="AC178" t="str">
            <v>Tax - Privately Held Business</v>
          </cell>
        </row>
        <row r="179">
          <cell r="Y179" t="str">
            <v>Dave Heilich</v>
          </cell>
          <cell r="AC179" t="str">
            <v>Tax - Private Client Advisors</v>
          </cell>
        </row>
        <row r="180">
          <cell r="Y180" t="str">
            <v>Dave Hirsch</v>
          </cell>
          <cell r="AC180" t="str">
            <v>Tax - Real Estate</v>
          </cell>
        </row>
        <row r="181">
          <cell r="Y181" t="str">
            <v>Dave Widdison</v>
          </cell>
          <cell r="AC181" t="str">
            <v>Tax National Office - SALT</v>
          </cell>
        </row>
        <row r="182">
          <cell r="Y182" t="str">
            <v>David Erard</v>
          </cell>
          <cell r="AC182" t="str">
            <v>Tax - Real Estate</v>
          </cell>
        </row>
        <row r="183">
          <cell r="Y183" t="str">
            <v>David Greenamyre</v>
          </cell>
          <cell r="AC183" t="str">
            <v>Tax - Corporate</v>
          </cell>
        </row>
        <row r="184">
          <cell r="Y184" t="str">
            <v>David Hersch</v>
          </cell>
          <cell r="AC184" t="str">
            <v>Tax - Privately Held Business</v>
          </cell>
        </row>
        <row r="185">
          <cell r="Y185" t="str">
            <v>David Miller</v>
          </cell>
          <cell r="AC185" t="str">
            <v>Tax - Operations</v>
          </cell>
        </row>
        <row r="186">
          <cell r="Y186" t="str">
            <v>David Penaloza</v>
          </cell>
          <cell r="AC186" t="str">
            <v>Tax - Operations</v>
          </cell>
        </row>
        <row r="187">
          <cell r="Y187" t="str">
            <v>David Pryor</v>
          </cell>
          <cell r="AC187" t="str">
            <v>Tax - Operations</v>
          </cell>
        </row>
        <row r="188">
          <cell r="Y188" t="str">
            <v>David Sheets</v>
          </cell>
          <cell r="AC188" t="str">
            <v>Tax - Corporate</v>
          </cell>
        </row>
        <row r="189">
          <cell r="Y189" t="str">
            <v>David Shellan</v>
          </cell>
          <cell r="AC189" t="str">
            <v>Tax - Privately Held Business</v>
          </cell>
        </row>
        <row r="190">
          <cell r="Y190" t="str">
            <v>David Zamarripa</v>
          </cell>
          <cell r="AC190" t="str">
            <v>Tax - Real Estate</v>
          </cell>
        </row>
        <row r="191">
          <cell r="Y191" t="str">
            <v>Davonte Beasley</v>
          </cell>
          <cell r="AC191" t="str">
            <v>Tax - Privately Held Business</v>
          </cell>
        </row>
        <row r="192">
          <cell r="Y192" t="str">
            <v>Dayana Vasquez</v>
          </cell>
          <cell r="AC192" t="str">
            <v>Tax - Privately Held Business</v>
          </cell>
        </row>
        <row r="193">
          <cell r="Y193" t="str">
            <v>Dean Kuster</v>
          </cell>
          <cell r="AC193" t="str">
            <v>Tax - Real Estate</v>
          </cell>
        </row>
        <row r="194">
          <cell r="Y194" t="str">
            <v>Debbie Kwong</v>
          </cell>
          <cell r="AC194" t="str">
            <v>Tax - Privately Held Business</v>
          </cell>
        </row>
        <row r="195">
          <cell r="Y195" t="str">
            <v>Debbie Vandeven</v>
          </cell>
          <cell r="AC195" t="str">
            <v>Tax - Private Client Advisors</v>
          </cell>
        </row>
        <row r="196">
          <cell r="Y196" t="str">
            <v>Deepthi Kothagundla</v>
          </cell>
          <cell r="AC196" t="str">
            <v>Tax - Operations</v>
          </cell>
        </row>
        <row r="197">
          <cell r="Y197" t="str">
            <v>Deirdre Cusick</v>
          </cell>
          <cell r="AC197" t="str">
            <v>Tax - Private Client Advisors</v>
          </cell>
        </row>
        <row r="198">
          <cell r="Y198" t="str">
            <v>Derek Herring</v>
          </cell>
          <cell r="AC198" t="str">
            <v>Tax National Office - Transfer Pricing</v>
          </cell>
        </row>
        <row r="199">
          <cell r="Y199" t="str">
            <v>Dhagash Kalathia</v>
          </cell>
          <cell r="AC199" t="str">
            <v>Tax - Privately Held Business</v>
          </cell>
        </row>
        <row r="200">
          <cell r="Y200" t="str">
            <v>Dhruv Kamdar</v>
          </cell>
          <cell r="AC200" t="str">
            <v>Tax National Office - SALT</v>
          </cell>
        </row>
        <row r="201">
          <cell r="Y201" t="str">
            <v>Diane Cates</v>
          </cell>
          <cell r="AC201" t="str">
            <v>Tax National Office - SALT</v>
          </cell>
        </row>
        <row r="202">
          <cell r="Y202" t="str">
            <v>Diane DeCesare</v>
          </cell>
          <cell r="AC202" t="str">
            <v>Tax - Privately Held Business</v>
          </cell>
        </row>
        <row r="203">
          <cell r="Y203" t="str">
            <v>Diane Fife</v>
          </cell>
          <cell r="AC203" t="str">
            <v>Tax - Privately Held Business</v>
          </cell>
        </row>
        <row r="204">
          <cell r="Y204" t="str">
            <v>Diego Morales</v>
          </cell>
          <cell r="AC204" t="str">
            <v>Tax - Privately Held Business</v>
          </cell>
        </row>
        <row r="205">
          <cell r="Y205" t="str">
            <v>Dirk Vandermark</v>
          </cell>
          <cell r="AC205" t="str">
            <v>Tax - Corporate</v>
          </cell>
        </row>
        <row r="206">
          <cell r="Y206" t="str">
            <v>Disha Joshi</v>
          </cell>
          <cell r="AC206" t="str">
            <v>Tax - Real Estate</v>
          </cell>
        </row>
        <row r="207">
          <cell r="Y207" t="str">
            <v>Dom Mesko</v>
          </cell>
          <cell r="AC207" t="str">
            <v>Tax - Real Estate</v>
          </cell>
        </row>
        <row r="208">
          <cell r="Y208" t="str">
            <v>Domenic D'Andrea</v>
          </cell>
          <cell r="AC208" t="str">
            <v>Tax - Privately Held Business</v>
          </cell>
        </row>
        <row r="209">
          <cell r="Y209" t="str">
            <v>Don Johnson</v>
          </cell>
          <cell r="AC209" t="str">
            <v>Tax - Real Estate</v>
          </cell>
        </row>
        <row r="210">
          <cell r="Y210" t="str">
            <v>Douglas Sirotta</v>
          </cell>
          <cell r="AC210" t="str">
            <v>Tax - Corporate</v>
          </cell>
        </row>
        <row r="211">
          <cell r="Y211" t="str">
            <v>Drew Makhlouf</v>
          </cell>
          <cell r="AC211" t="str">
            <v>Tax - Real Estate</v>
          </cell>
        </row>
        <row r="212">
          <cell r="Y212" t="str">
            <v>Dustin Fetter</v>
          </cell>
          <cell r="AC212" t="str">
            <v>Tax - Corporate</v>
          </cell>
        </row>
        <row r="213">
          <cell r="Y213" t="str">
            <v>Dyna Nop</v>
          </cell>
          <cell r="AC213" t="str">
            <v>Tax - Privately Held Business</v>
          </cell>
        </row>
        <row r="214">
          <cell r="Y214" t="str">
            <v>Edith Galindo</v>
          </cell>
          <cell r="AC214" t="str">
            <v>Tax - Privately Held Business</v>
          </cell>
        </row>
        <row r="215">
          <cell r="Y215" t="str">
            <v>Edmund Skedzielewski</v>
          </cell>
          <cell r="AC215" t="str">
            <v>Tax - Privately Held Business</v>
          </cell>
        </row>
        <row r="216">
          <cell r="Y216" t="str">
            <v>Edric Martinez</v>
          </cell>
          <cell r="AC216" t="str">
            <v>Tax - Privately Held Business</v>
          </cell>
        </row>
        <row r="217">
          <cell r="Y217" t="str">
            <v>Elen Matinyan</v>
          </cell>
          <cell r="AC217" t="str">
            <v>Tax National Office - Comp &amp; Benefits</v>
          </cell>
        </row>
        <row r="218">
          <cell r="Y218" t="str">
            <v>Elise Huppert</v>
          </cell>
          <cell r="AC218" t="str">
            <v>Tax - Privately Held Business</v>
          </cell>
        </row>
        <row r="219">
          <cell r="Y219" t="str">
            <v>Elizabeth Connolly</v>
          </cell>
          <cell r="AC219" t="str">
            <v>Tax - Private Client Advisors</v>
          </cell>
        </row>
        <row r="220">
          <cell r="Y220" t="str">
            <v>Elizabeth Khasho</v>
          </cell>
          <cell r="AC220" t="str">
            <v>Tax - Private Client Advisors</v>
          </cell>
        </row>
        <row r="221">
          <cell r="Y221" t="str">
            <v>Elizabeth Weiss</v>
          </cell>
          <cell r="AC221" t="str">
            <v>Tax - Operations</v>
          </cell>
        </row>
        <row r="222">
          <cell r="Y222" t="str">
            <v>Ellie Costello</v>
          </cell>
          <cell r="AC222" t="str">
            <v>Tax - Private Client Advisors</v>
          </cell>
        </row>
        <row r="223">
          <cell r="Y223" t="str">
            <v>Elliott Glass</v>
          </cell>
          <cell r="AC223" t="str">
            <v>Tax - Private Client Advisors</v>
          </cell>
        </row>
        <row r="224">
          <cell r="Y224" t="str">
            <v>Elvin Ramirez</v>
          </cell>
          <cell r="AC224" t="str">
            <v>Tax - Operations</v>
          </cell>
        </row>
        <row r="225">
          <cell r="Y225" t="str">
            <v>Emily Gau</v>
          </cell>
          <cell r="AC225" t="str">
            <v>Tax - Privately Held Business</v>
          </cell>
        </row>
        <row r="226">
          <cell r="Y226" t="str">
            <v>Emily Montoya</v>
          </cell>
          <cell r="AC226" t="str">
            <v>Tax - Privately Held Business</v>
          </cell>
        </row>
        <row r="227">
          <cell r="Y227" t="str">
            <v>Emily Scoles</v>
          </cell>
          <cell r="AC227" t="str">
            <v>Tax National Office - SALT</v>
          </cell>
        </row>
        <row r="228">
          <cell r="Y228" t="str">
            <v>Emilyn Tejerero</v>
          </cell>
          <cell r="AC228" t="str">
            <v>Tax - Operations</v>
          </cell>
        </row>
        <row r="229">
          <cell r="Y229" t="str">
            <v>Emmanuel Teoxon</v>
          </cell>
          <cell r="AC229" t="str">
            <v>Tax - Operations</v>
          </cell>
        </row>
        <row r="230">
          <cell r="Y230" t="str">
            <v>Enrico Lopez</v>
          </cell>
          <cell r="AC230" t="str">
            <v>Tax - Operations</v>
          </cell>
        </row>
        <row r="231">
          <cell r="Y231" t="str">
            <v>Eric Blaha</v>
          </cell>
          <cell r="AC231" t="str">
            <v>Tax - Privately Held Business</v>
          </cell>
        </row>
        <row r="232">
          <cell r="Y232" t="str">
            <v>Eric Chien</v>
          </cell>
          <cell r="AC232" t="str">
            <v>Tax - Corporate</v>
          </cell>
        </row>
        <row r="233">
          <cell r="Y233" t="str">
            <v>Eric Lee</v>
          </cell>
          <cell r="AC233" t="str">
            <v>Tax - Private Equity</v>
          </cell>
        </row>
        <row r="234">
          <cell r="Y234" t="str">
            <v>Erin Barragar</v>
          </cell>
          <cell r="AC234" t="str">
            <v>Tax - Real Estate</v>
          </cell>
        </row>
        <row r="235">
          <cell r="Y235" t="str">
            <v>Erin Colson</v>
          </cell>
          <cell r="AC235" t="str">
            <v>Tax - Corporate</v>
          </cell>
        </row>
        <row r="236">
          <cell r="Y236" t="str">
            <v>Erin Park</v>
          </cell>
          <cell r="AC236" t="str">
            <v>Tax - Corporate</v>
          </cell>
        </row>
        <row r="237">
          <cell r="Y237" t="str">
            <v>Eshant Agarwal</v>
          </cell>
          <cell r="AC237" t="str">
            <v>Tax - Corporate</v>
          </cell>
        </row>
        <row r="238">
          <cell r="Y238" t="str">
            <v>Ethan Fortaleza</v>
          </cell>
          <cell r="AC238" t="str">
            <v>Tax - Privately Held Business</v>
          </cell>
        </row>
        <row r="239">
          <cell r="Y239" t="str">
            <v>Ethan Rath</v>
          </cell>
          <cell r="AC239" t="str">
            <v>Tax - Corporate</v>
          </cell>
        </row>
        <row r="240">
          <cell r="Y240" t="str">
            <v>Eunice Lee</v>
          </cell>
          <cell r="AC240" t="str">
            <v>Tax - Corporate</v>
          </cell>
        </row>
        <row r="241">
          <cell r="Y241" t="str">
            <v>Eva Wang</v>
          </cell>
          <cell r="AC241" t="str">
            <v>Tax - Privately Held Business</v>
          </cell>
        </row>
        <row r="242">
          <cell r="Y242" t="str">
            <v>Eve Zurakowski</v>
          </cell>
          <cell r="AC242" t="str">
            <v>Tax - Privately Held Business</v>
          </cell>
        </row>
        <row r="243">
          <cell r="Y243" t="str">
            <v>Faimie Fang</v>
          </cell>
          <cell r="AC243" t="str">
            <v>Tax - Corporate</v>
          </cell>
        </row>
        <row r="244">
          <cell r="Y244" t="str">
            <v>Fang Chen</v>
          </cell>
          <cell r="AC244" t="str">
            <v>Tax - Privately Held Business</v>
          </cell>
        </row>
        <row r="245">
          <cell r="Y245" t="str">
            <v>Farina Adil</v>
          </cell>
          <cell r="AC245" t="str">
            <v>Tax - Private Equity</v>
          </cell>
        </row>
        <row r="246">
          <cell r="Y246" t="str">
            <v>Fellyz Salvador</v>
          </cell>
          <cell r="AC246" t="str">
            <v>Tax - Operations</v>
          </cell>
        </row>
        <row r="247">
          <cell r="Y247" t="str">
            <v>Fides De Leon</v>
          </cell>
          <cell r="AC247" t="str">
            <v>Tax - Corporate</v>
          </cell>
        </row>
        <row r="248">
          <cell r="Y248" t="str">
            <v>Flor Carrillo</v>
          </cell>
          <cell r="AC248" t="str">
            <v>Tax - Privately Held Business</v>
          </cell>
        </row>
        <row r="249">
          <cell r="Y249" t="str">
            <v>Florence Vo</v>
          </cell>
          <cell r="AC249" t="str">
            <v>Tax - Private Client Advisors</v>
          </cell>
        </row>
        <row r="250">
          <cell r="Y250" t="str">
            <v>Fred Bastie</v>
          </cell>
          <cell r="AC250" t="str">
            <v>Tax - Privately Held Business</v>
          </cell>
        </row>
        <row r="251">
          <cell r="Y251" t="str">
            <v>Fred Dones</v>
          </cell>
          <cell r="AC251" t="str">
            <v>Tax National Office - International</v>
          </cell>
        </row>
        <row r="252">
          <cell r="Y252" t="str">
            <v>Freda Deamesi</v>
          </cell>
          <cell r="AC252" t="str">
            <v>Tax - Private Client Advisors</v>
          </cell>
        </row>
        <row r="253">
          <cell r="Y253" t="str">
            <v>Gabor Kiss</v>
          </cell>
          <cell r="AC253" t="str">
            <v>Tax National Office - International</v>
          </cell>
        </row>
        <row r="254">
          <cell r="Y254" t="str">
            <v>Gabrielle Vaculikova</v>
          </cell>
          <cell r="AC254" t="str">
            <v>Tax - Operations</v>
          </cell>
        </row>
        <row r="255">
          <cell r="Y255" t="str">
            <v>Gary Wyatt</v>
          </cell>
          <cell r="AC255" t="str">
            <v>Tax National Office - Compext</v>
          </cell>
        </row>
        <row r="256">
          <cell r="Y256" t="str">
            <v>Gema Mortazavi</v>
          </cell>
          <cell r="AC256" t="str">
            <v>Tax - Not For Profit</v>
          </cell>
        </row>
        <row r="257">
          <cell r="Y257" t="str">
            <v>Genny Radam</v>
          </cell>
          <cell r="AC257" t="str">
            <v>Tax - Corporate</v>
          </cell>
        </row>
        <row r="258">
          <cell r="Y258" t="str">
            <v>Geoff Mesko</v>
          </cell>
          <cell r="AC258" t="str">
            <v>Tax - Privately Held Business</v>
          </cell>
        </row>
        <row r="259">
          <cell r="Y259" t="str">
            <v>Gerry Clancy</v>
          </cell>
          <cell r="AC259" t="str">
            <v>Tax - Operations</v>
          </cell>
        </row>
        <row r="260">
          <cell r="Y260" t="str">
            <v>Gev Khan</v>
          </cell>
          <cell r="AC260" t="str">
            <v>Tax - Private Equity</v>
          </cell>
        </row>
        <row r="261">
          <cell r="Y261" t="str">
            <v>Gianluca Carrabs</v>
          </cell>
          <cell r="AC261" t="str">
            <v>Tax - Privately Held Business</v>
          </cell>
        </row>
        <row r="262">
          <cell r="Y262" t="str">
            <v>Gina Colene</v>
          </cell>
          <cell r="AC262" t="str">
            <v>Tax - Operations</v>
          </cell>
        </row>
        <row r="263">
          <cell r="Y263" t="str">
            <v>Giovana Lopez</v>
          </cell>
          <cell r="AC263" t="str">
            <v>Tax National Office - General</v>
          </cell>
        </row>
        <row r="264">
          <cell r="Y264" t="str">
            <v>Gregg Kaiser</v>
          </cell>
          <cell r="AC264" t="str">
            <v>Tax - Real Estate</v>
          </cell>
        </row>
        <row r="265">
          <cell r="Y265" t="str">
            <v>GretaMay Palma</v>
          </cell>
          <cell r="AC265" t="str">
            <v>Tax National Office - International</v>
          </cell>
        </row>
        <row r="266">
          <cell r="Y266" t="str">
            <v>Gustavo Marin</v>
          </cell>
          <cell r="AC266" t="str">
            <v>Tax - Real Estate</v>
          </cell>
        </row>
        <row r="267">
          <cell r="Y267" t="str">
            <v>Hana Fadriquela</v>
          </cell>
          <cell r="AC267" t="str">
            <v>Tax - Corporate</v>
          </cell>
        </row>
        <row r="268">
          <cell r="Y268" t="str">
            <v>Hannah Nielson</v>
          </cell>
          <cell r="AC268" t="str">
            <v>Tax - Corporate</v>
          </cell>
        </row>
        <row r="269">
          <cell r="Y269" t="str">
            <v>Hannah Pamorada</v>
          </cell>
          <cell r="AC269" t="str">
            <v>Tax - Corporate</v>
          </cell>
        </row>
        <row r="270">
          <cell r="Y270" t="str">
            <v>Harold Lasaca</v>
          </cell>
          <cell r="AC270" t="str">
            <v>Tax - Operations</v>
          </cell>
        </row>
        <row r="271">
          <cell r="Y271" t="str">
            <v>Harsh Makharia</v>
          </cell>
          <cell r="AC271" t="str">
            <v>Tax - Real Estate</v>
          </cell>
        </row>
        <row r="272">
          <cell r="Y272" t="str">
            <v>Harshavardhan D C</v>
          </cell>
          <cell r="AC272" t="str">
            <v>Tax - Real Estate</v>
          </cell>
        </row>
        <row r="273">
          <cell r="Y273" t="str">
            <v>Hasmik Hmayakyan</v>
          </cell>
          <cell r="AC273" t="str">
            <v>Tax National Office - SALT</v>
          </cell>
        </row>
        <row r="274">
          <cell r="Y274" t="str">
            <v>Heather Beckwith</v>
          </cell>
          <cell r="AC274" t="str">
            <v>Tax National Office - SALT</v>
          </cell>
        </row>
        <row r="275">
          <cell r="Y275" t="str">
            <v>Heather Evans</v>
          </cell>
          <cell r="AC275" t="str">
            <v>Tax - Privately Held Business</v>
          </cell>
        </row>
        <row r="276">
          <cell r="Y276" t="str">
            <v>Heather Howell</v>
          </cell>
          <cell r="AC276" t="str">
            <v>Tax - Corporate</v>
          </cell>
        </row>
        <row r="277">
          <cell r="Y277" t="str">
            <v>Heidi Ross</v>
          </cell>
          <cell r="AC277" t="str">
            <v>Tax - Real Estate</v>
          </cell>
        </row>
        <row r="278">
          <cell r="Y278" t="str">
            <v>Hely Upadhyay</v>
          </cell>
          <cell r="AC278" t="str">
            <v>Tax - Real Estate</v>
          </cell>
        </row>
        <row r="279">
          <cell r="Y279" t="str">
            <v>Het Gajjar</v>
          </cell>
          <cell r="AC279" t="str">
            <v>Tax - Real Estate</v>
          </cell>
        </row>
        <row r="280">
          <cell r="Y280" t="str">
            <v>Heta Parikh</v>
          </cell>
          <cell r="AC280" t="str">
            <v>Tax - Real Estate</v>
          </cell>
        </row>
        <row r="281">
          <cell r="Y281" t="str">
            <v>Hitesh Agrawal</v>
          </cell>
          <cell r="AC281" t="str">
            <v>Tax - Privately Held Business</v>
          </cell>
        </row>
        <row r="282">
          <cell r="Y282" t="str">
            <v>Holly Fambrough</v>
          </cell>
          <cell r="AC282" t="str">
            <v>Tax - Real Estate</v>
          </cell>
        </row>
        <row r="283">
          <cell r="Y283" t="str">
            <v>Hue Vuong</v>
          </cell>
          <cell r="AC283" t="str">
            <v>Tax - Real Estate</v>
          </cell>
        </row>
        <row r="284">
          <cell r="Y284" t="str">
            <v>Ian Fenton</v>
          </cell>
          <cell r="AC284" t="str">
            <v>Tax - Privately Held Business</v>
          </cell>
        </row>
        <row r="285">
          <cell r="Y285" t="str">
            <v>Ideki Coller</v>
          </cell>
          <cell r="AC285" t="str">
            <v>Tax - Private Client Advisors</v>
          </cell>
        </row>
        <row r="286">
          <cell r="Y286" t="str">
            <v>Ivan Yates</v>
          </cell>
          <cell r="AC286" t="str">
            <v>Tax National Office - SALT</v>
          </cell>
        </row>
        <row r="287">
          <cell r="Y287" t="str">
            <v>Ivanna Plachta</v>
          </cell>
          <cell r="AC287" t="str">
            <v>Tax - Privately Held Business</v>
          </cell>
        </row>
        <row r="288">
          <cell r="Y288" t="str">
            <v>Ivy de los Santos</v>
          </cell>
          <cell r="AC288" t="str">
            <v>Tax - Operations</v>
          </cell>
        </row>
        <row r="289">
          <cell r="Y289" t="str">
            <v>Jack Boyce</v>
          </cell>
          <cell r="AC289" t="str">
            <v>Tax National Office - SALT</v>
          </cell>
        </row>
        <row r="290">
          <cell r="Y290" t="str">
            <v>Jack McCullar</v>
          </cell>
          <cell r="AC290" t="str">
            <v>Tax - Private Client Advisors</v>
          </cell>
        </row>
        <row r="291">
          <cell r="Y291" t="str">
            <v>Jackson Adams</v>
          </cell>
          <cell r="AC291" t="str">
            <v>Tax - Corporate</v>
          </cell>
        </row>
        <row r="292">
          <cell r="Y292" t="str">
            <v>Jacob Harrison</v>
          </cell>
          <cell r="AC292" t="str">
            <v>Tax - Privately Held Business</v>
          </cell>
        </row>
        <row r="293">
          <cell r="Y293" t="str">
            <v>Jacob Haws</v>
          </cell>
          <cell r="AC293" t="str">
            <v>Tax National Office - SALT</v>
          </cell>
        </row>
        <row r="294">
          <cell r="Y294" t="str">
            <v>Jacquelyn Wampler</v>
          </cell>
          <cell r="AC294" t="str">
            <v>Tax - Privately Held Business</v>
          </cell>
        </row>
        <row r="295">
          <cell r="Y295" t="str">
            <v>Jake Green</v>
          </cell>
          <cell r="AC295" t="str">
            <v>Tax - Private Client Advisors</v>
          </cell>
        </row>
        <row r="296">
          <cell r="Y296" t="str">
            <v>Jameela Khatoon</v>
          </cell>
          <cell r="AC296" t="str">
            <v>Tax - Private Client Advisors</v>
          </cell>
        </row>
        <row r="297">
          <cell r="Y297" t="str">
            <v>James McGrory</v>
          </cell>
          <cell r="AC297" t="str">
            <v>Tax - Private Client Advisors</v>
          </cell>
        </row>
        <row r="298">
          <cell r="Y298" t="str">
            <v>James Robinson</v>
          </cell>
          <cell r="AC298" t="str">
            <v>Tax National Office - International</v>
          </cell>
        </row>
        <row r="299">
          <cell r="Y299" t="str">
            <v>Jamie Dabu</v>
          </cell>
          <cell r="AC299" t="str">
            <v>Tax - Privately Held Business</v>
          </cell>
        </row>
        <row r="300">
          <cell r="Y300" t="str">
            <v>Janine Badilla</v>
          </cell>
          <cell r="AC300" t="str">
            <v>Tax - Operations</v>
          </cell>
        </row>
        <row r="301">
          <cell r="Y301" t="str">
            <v>Jarrett Ganan</v>
          </cell>
          <cell r="AC301" t="str">
            <v>Tax - Privately Held Business</v>
          </cell>
        </row>
        <row r="302">
          <cell r="Y302" t="str">
            <v>Jasmine Johnson</v>
          </cell>
          <cell r="AC302" t="str">
            <v>Tax - Operations</v>
          </cell>
        </row>
        <row r="303">
          <cell r="Y303" t="str">
            <v>Jason Hoffman</v>
          </cell>
          <cell r="AC303" t="str">
            <v>Tax - Real Estate</v>
          </cell>
        </row>
        <row r="304">
          <cell r="Y304" t="str">
            <v>Jason Howell</v>
          </cell>
          <cell r="AC304" t="str">
            <v>Tax - Corporate</v>
          </cell>
        </row>
        <row r="305">
          <cell r="Y305" t="str">
            <v>Jason Kim</v>
          </cell>
          <cell r="AC305" t="str">
            <v>Tax - Real Estate</v>
          </cell>
        </row>
        <row r="306">
          <cell r="Y306" t="str">
            <v>Jason Morris</v>
          </cell>
          <cell r="AC306" t="str">
            <v>Tax National Office - International</v>
          </cell>
        </row>
        <row r="307">
          <cell r="Y307" t="str">
            <v>Jaspreet Singh</v>
          </cell>
          <cell r="AC307" t="str">
            <v>Tax - Privately Held Business</v>
          </cell>
        </row>
        <row r="308">
          <cell r="Y308" t="str">
            <v>Javeryia Khan</v>
          </cell>
          <cell r="AC308" t="str">
            <v>Tax - Operations</v>
          </cell>
        </row>
        <row r="309">
          <cell r="Y309" t="str">
            <v>Jay Patel</v>
          </cell>
          <cell r="AC309" t="str">
            <v>Tax - Privately Held Business</v>
          </cell>
        </row>
        <row r="310">
          <cell r="Y310" t="str">
            <v>Jayme Rosenquist</v>
          </cell>
          <cell r="AC310" t="str">
            <v>Tax National Office - SALT</v>
          </cell>
        </row>
        <row r="311">
          <cell r="Y311" t="str">
            <v>Jeannette Ramirez</v>
          </cell>
          <cell r="AC311" t="str">
            <v>Tax - Operations</v>
          </cell>
        </row>
        <row r="312">
          <cell r="Y312" t="str">
            <v>Jeff Aoki</v>
          </cell>
          <cell r="AC312" t="str">
            <v>Tax - Operations</v>
          </cell>
        </row>
        <row r="313">
          <cell r="Y313" t="str">
            <v>Jeff Sanchez</v>
          </cell>
          <cell r="AC313" t="str">
            <v>Tax - Private Client Advisors</v>
          </cell>
        </row>
        <row r="314">
          <cell r="Y314" t="str">
            <v>Jen Vacha</v>
          </cell>
          <cell r="AC314" t="str">
            <v>Tax - Not For Profit</v>
          </cell>
        </row>
        <row r="315">
          <cell r="Y315" t="str">
            <v>Jennifer Koo</v>
          </cell>
          <cell r="AC315" t="str">
            <v>Tax National Office - SALT</v>
          </cell>
        </row>
        <row r="316">
          <cell r="Y316" t="str">
            <v>Jennifer Lu</v>
          </cell>
          <cell r="AC316" t="str">
            <v>Tax - Privately Held Business</v>
          </cell>
        </row>
        <row r="317">
          <cell r="Y317" t="str">
            <v>Jennifer Steele</v>
          </cell>
          <cell r="AC317" t="str">
            <v>Tax - Privately Held Business</v>
          </cell>
        </row>
        <row r="318">
          <cell r="Y318" t="str">
            <v>Jenny Lu</v>
          </cell>
          <cell r="AC318" t="str">
            <v>Tax - Real Estate</v>
          </cell>
        </row>
        <row r="319">
          <cell r="Y319" t="str">
            <v>Jenny Yu</v>
          </cell>
          <cell r="AC319" t="str">
            <v>Tax - Privately Held Business</v>
          </cell>
        </row>
        <row r="320">
          <cell r="Y320" t="str">
            <v>Jenny Zhang</v>
          </cell>
          <cell r="AC320" t="str">
            <v>Tax - Real Estate</v>
          </cell>
        </row>
        <row r="321">
          <cell r="Y321" t="str">
            <v>Jephte Alphonse</v>
          </cell>
          <cell r="AC321" t="str">
            <v>Tax - Private Client Advisors</v>
          </cell>
        </row>
        <row r="322">
          <cell r="Y322" t="str">
            <v>Jerry Li</v>
          </cell>
          <cell r="AC322" t="str">
            <v>Tax - Private Client Advisors</v>
          </cell>
        </row>
        <row r="323">
          <cell r="Y323" t="str">
            <v>Jess Pham</v>
          </cell>
          <cell r="AC323" t="str">
            <v>Tax - Privately Held Business</v>
          </cell>
        </row>
        <row r="324">
          <cell r="Y324" t="str">
            <v>Jesse Mercado</v>
          </cell>
          <cell r="AC324" t="str">
            <v>Tax - Privately Held Business</v>
          </cell>
        </row>
        <row r="325">
          <cell r="Y325" t="str">
            <v>Jessica Cettina</v>
          </cell>
          <cell r="AC325" t="str">
            <v>Tax National Office - SALT</v>
          </cell>
        </row>
        <row r="326">
          <cell r="Y326" t="str">
            <v>Jessica Kim</v>
          </cell>
          <cell r="AC326" t="str">
            <v>Tax - Corporate</v>
          </cell>
        </row>
        <row r="327">
          <cell r="Y327" t="str">
            <v>Jessica Kizer</v>
          </cell>
          <cell r="AC327" t="str">
            <v>Tax - Operations</v>
          </cell>
        </row>
        <row r="328">
          <cell r="Y328" t="str">
            <v>Jessica Lee</v>
          </cell>
          <cell r="AC328" t="str">
            <v>Tax - Real Estate</v>
          </cell>
        </row>
        <row r="329">
          <cell r="Y329" t="str">
            <v>Jessica Schumacher</v>
          </cell>
          <cell r="AC329" t="str">
            <v>Tax - Corporate</v>
          </cell>
        </row>
        <row r="330">
          <cell r="Y330" t="str">
            <v>Jessica Villarreal</v>
          </cell>
          <cell r="AC330" t="str">
            <v>Tax - Privately Held Business</v>
          </cell>
        </row>
        <row r="331">
          <cell r="Y331" t="str">
            <v>Jessie Singh</v>
          </cell>
          <cell r="AC331" t="str">
            <v>Tax - Privately Held Business</v>
          </cell>
        </row>
        <row r="332">
          <cell r="Y332" t="str">
            <v>Jesus Osorio</v>
          </cell>
          <cell r="AC332" t="str">
            <v>Tax - Real Estate</v>
          </cell>
        </row>
        <row r="333">
          <cell r="Y333" t="str">
            <v>Jill Juniper</v>
          </cell>
          <cell r="AC333" t="str">
            <v>Tax - Private Client Advisors</v>
          </cell>
        </row>
        <row r="334">
          <cell r="Y334" t="str">
            <v>Jill Oberkirsch</v>
          </cell>
          <cell r="AC334" t="str">
            <v>Tax - Private Client Advisors</v>
          </cell>
        </row>
        <row r="335">
          <cell r="Y335" t="str">
            <v>Jill Wallace</v>
          </cell>
          <cell r="AC335" t="str">
            <v>Tax - Private Client Advisors</v>
          </cell>
        </row>
        <row r="336">
          <cell r="Y336" t="str">
            <v>Jim Logan</v>
          </cell>
          <cell r="AC336" t="str">
            <v>Tax - Real Estate</v>
          </cell>
        </row>
        <row r="337">
          <cell r="Y337" t="str">
            <v>Jimmy Lambropoulos</v>
          </cell>
          <cell r="AC337" t="str">
            <v>Tax - Corporate</v>
          </cell>
        </row>
        <row r="338">
          <cell r="Y338" t="str">
            <v>Joanna Le</v>
          </cell>
          <cell r="AC338" t="str">
            <v>Tax - Corporate</v>
          </cell>
        </row>
        <row r="339">
          <cell r="Y339" t="str">
            <v>Joanne Kearbey</v>
          </cell>
          <cell r="AC339" t="str">
            <v>Tax - Corporate</v>
          </cell>
        </row>
        <row r="340">
          <cell r="Y340" t="str">
            <v>Joanne Yeung</v>
          </cell>
          <cell r="AC340" t="str">
            <v>Tax - Privately Held Business</v>
          </cell>
        </row>
        <row r="341">
          <cell r="Y341" t="str">
            <v>Joe Calamia</v>
          </cell>
          <cell r="AC341" t="str">
            <v>Tax National Office - SALT</v>
          </cell>
        </row>
        <row r="342">
          <cell r="Y342" t="str">
            <v>Joe Criscuolo</v>
          </cell>
          <cell r="AC342" t="str">
            <v>Tax - Real Estate</v>
          </cell>
        </row>
        <row r="343">
          <cell r="Y343" t="str">
            <v>Joe Moore</v>
          </cell>
          <cell r="AC343" t="str">
            <v>Tax - Privately Held Business</v>
          </cell>
        </row>
        <row r="344">
          <cell r="Y344" t="str">
            <v>Joebelle Pelayo</v>
          </cell>
          <cell r="AC344" t="str">
            <v>Tax - Operations</v>
          </cell>
        </row>
        <row r="345">
          <cell r="Y345" t="str">
            <v>Joel Butler</v>
          </cell>
          <cell r="AC345" t="str">
            <v>Tax - Corporate</v>
          </cell>
        </row>
        <row r="346">
          <cell r="Y346" t="str">
            <v>Joesung Yoo</v>
          </cell>
          <cell r="AC346" t="str">
            <v>Tax - Private Equity</v>
          </cell>
        </row>
        <row r="347">
          <cell r="Y347" t="str">
            <v>John Brychel</v>
          </cell>
          <cell r="AC347" t="str">
            <v>Tax - Real Estate</v>
          </cell>
        </row>
        <row r="348">
          <cell r="Y348" t="str">
            <v>John Cameron</v>
          </cell>
          <cell r="AC348" t="str">
            <v>Tax - Privately Held Business</v>
          </cell>
        </row>
        <row r="349">
          <cell r="Y349" t="str">
            <v>John Casilao</v>
          </cell>
          <cell r="AC349" t="str">
            <v>Tax - Operations</v>
          </cell>
        </row>
        <row r="350">
          <cell r="Y350" t="str">
            <v>John Esguerra</v>
          </cell>
          <cell r="AC350" t="str">
            <v>Tax - Operations</v>
          </cell>
        </row>
        <row r="351">
          <cell r="Y351" t="str">
            <v>John Karls</v>
          </cell>
          <cell r="AC351" t="str">
            <v>Tax - Private Client Advisors</v>
          </cell>
        </row>
        <row r="352">
          <cell r="Y352" t="str">
            <v>John Komala</v>
          </cell>
          <cell r="AC352" t="str">
            <v>Tax - Corporate</v>
          </cell>
        </row>
        <row r="353">
          <cell r="Y353" t="str">
            <v>John Lee Ungriano</v>
          </cell>
          <cell r="AC353" t="str">
            <v>Tax - Operations</v>
          </cell>
        </row>
        <row r="354">
          <cell r="Y354" t="str">
            <v>John Mesko</v>
          </cell>
          <cell r="AC354" t="str">
            <v>Tax - Real Estate</v>
          </cell>
        </row>
        <row r="355">
          <cell r="Y355" t="str">
            <v>John Watters</v>
          </cell>
          <cell r="AC355" t="str">
            <v>Tax - Real Estate</v>
          </cell>
        </row>
        <row r="356">
          <cell r="Y356" t="str">
            <v>Jon Bettis</v>
          </cell>
          <cell r="AC356" t="str">
            <v>Tax - Privately Held Business</v>
          </cell>
        </row>
        <row r="357">
          <cell r="Y357" t="str">
            <v>Jon Davies</v>
          </cell>
          <cell r="AC357" t="str">
            <v>Tax National Office - International</v>
          </cell>
        </row>
        <row r="358">
          <cell r="Y358" t="str">
            <v>Jon Fotzler</v>
          </cell>
          <cell r="AC358" t="e">
            <v>#N/A</v>
          </cell>
        </row>
        <row r="359">
          <cell r="Y359" t="str">
            <v>Jon Rausch</v>
          </cell>
          <cell r="AC359" t="str">
            <v>Tax - Privately Held Business</v>
          </cell>
        </row>
        <row r="360">
          <cell r="Y360" t="str">
            <v>Jonathan De La Paz</v>
          </cell>
          <cell r="AC360" t="str">
            <v>Tax - Corporate</v>
          </cell>
        </row>
        <row r="361">
          <cell r="Y361" t="str">
            <v>Jonathan March</v>
          </cell>
          <cell r="AC361" t="str">
            <v>Tax - Private Client Advisors</v>
          </cell>
        </row>
        <row r="362">
          <cell r="Y362" t="str">
            <v>Jonathan Montoya</v>
          </cell>
          <cell r="AC362" t="str">
            <v>Tax - Real Estate</v>
          </cell>
        </row>
        <row r="363">
          <cell r="Y363" t="str">
            <v>Jorge Carrillo</v>
          </cell>
          <cell r="AC363" t="str">
            <v>Tax - Corporate</v>
          </cell>
        </row>
        <row r="364">
          <cell r="Y364" t="str">
            <v>Jorge Villarreal</v>
          </cell>
          <cell r="AC364" t="str">
            <v>Tax - Privately Held Business</v>
          </cell>
        </row>
        <row r="365">
          <cell r="Y365" t="str">
            <v>Jose Rodriguez</v>
          </cell>
          <cell r="AC365" t="str">
            <v>Tax - Private Client Advisors</v>
          </cell>
        </row>
        <row r="366">
          <cell r="Y366" t="str">
            <v>Joseph David</v>
          </cell>
          <cell r="AC366" t="str">
            <v>Tax - Privately Held Business</v>
          </cell>
        </row>
        <row r="367">
          <cell r="Y367" t="str">
            <v>Joseph Mogrovejo</v>
          </cell>
          <cell r="AC367" t="str">
            <v>Tax - Operations</v>
          </cell>
        </row>
        <row r="368">
          <cell r="Y368" t="str">
            <v>Joseph Moukhliss</v>
          </cell>
          <cell r="AC368" t="str">
            <v>Tax - Private Client Advisors</v>
          </cell>
        </row>
        <row r="369">
          <cell r="Y369" t="str">
            <v>Joseph Ruiz</v>
          </cell>
          <cell r="AC369" t="str">
            <v>Tax - Corporate</v>
          </cell>
        </row>
        <row r="370">
          <cell r="Y370" t="str">
            <v>Josh De Sisto</v>
          </cell>
          <cell r="AC370" t="str">
            <v>Tax - Real Estate</v>
          </cell>
        </row>
        <row r="371">
          <cell r="Y371" t="str">
            <v>Josh Karls</v>
          </cell>
          <cell r="AC371" t="str">
            <v>Tax - Private Client Advisors</v>
          </cell>
        </row>
        <row r="372">
          <cell r="Y372" t="str">
            <v>Jowel Balino</v>
          </cell>
          <cell r="AC372" t="str">
            <v>Tax National Office - International</v>
          </cell>
        </row>
        <row r="373">
          <cell r="Y373" t="str">
            <v>Joy Labayan</v>
          </cell>
          <cell r="AC373" t="str">
            <v>Tax - Operations</v>
          </cell>
        </row>
        <row r="374">
          <cell r="Y374" t="str">
            <v>Joycelyn Zhang</v>
          </cell>
          <cell r="AC374" t="str">
            <v>Tax National Office - International</v>
          </cell>
        </row>
        <row r="375">
          <cell r="Y375" t="str">
            <v>Juan De La Torre</v>
          </cell>
          <cell r="AC375" t="str">
            <v>Tax - Corporate</v>
          </cell>
        </row>
        <row r="376">
          <cell r="Y376" t="str">
            <v>Juaner Qi</v>
          </cell>
          <cell r="AC376" t="str">
            <v>Tax - Privately Held Business</v>
          </cell>
        </row>
        <row r="377">
          <cell r="Y377" t="str">
            <v>JudyAnne Villaspir</v>
          </cell>
          <cell r="AC377" t="e">
            <v>#N/A</v>
          </cell>
        </row>
        <row r="378">
          <cell r="Y378" t="str">
            <v>Julian Cortez</v>
          </cell>
          <cell r="AC378" t="str">
            <v>Tax - Privately Held Business</v>
          </cell>
        </row>
        <row r="379">
          <cell r="Y379" t="str">
            <v>Julian Vela</v>
          </cell>
          <cell r="AC379" t="str">
            <v>Tax National Office - R&amp;D Credits</v>
          </cell>
        </row>
        <row r="380">
          <cell r="Y380" t="str">
            <v>Julissa Quirk</v>
          </cell>
          <cell r="AC380" t="str">
            <v>Tax - Real Estate</v>
          </cell>
        </row>
        <row r="381">
          <cell r="Y381" t="str">
            <v>Justin Inman</v>
          </cell>
          <cell r="AC381" t="str">
            <v>Tax - Managed Services</v>
          </cell>
        </row>
        <row r="382">
          <cell r="Y382" t="str">
            <v>Justin Rojas</v>
          </cell>
          <cell r="AC382" t="str">
            <v>Tax - Private Equity</v>
          </cell>
        </row>
        <row r="383">
          <cell r="Y383" t="str">
            <v>Justin Toji</v>
          </cell>
          <cell r="AC383" t="str">
            <v>Tax - Real Estate</v>
          </cell>
        </row>
        <row r="384">
          <cell r="Y384" t="str">
            <v>Justin Varnon</v>
          </cell>
          <cell r="AC384" t="str">
            <v>Tax - Privately Held Business</v>
          </cell>
        </row>
        <row r="385">
          <cell r="Y385" t="str">
            <v>Kaci Robinette</v>
          </cell>
          <cell r="AC385" t="str">
            <v>Tax - Operations</v>
          </cell>
        </row>
        <row r="386">
          <cell r="Y386" t="str">
            <v>Kamila Jaroszewicz</v>
          </cell>
          <cell r="AC386" t="str">
            <v>Tax - Privately Held Business</v>
          </cell>
        </row>
        <row r="387">
          <cell r="Y387" t="str">
            <v>Karina Huynh</v>
          </cell>
          <cell r="AC387" t="str">
            <v>Tax - Corporate</v>
          </cell>
        </row>
        <row r="388">
          <cell r="Y388" t="str">
            <v>Kartik Pandya</v>
          </cell>
          <cell r="AC388" t="str">
            <v>Tax - Corporate</v>
          </cell>
        </row>
        <row r="389">
          <cell r="Y389" t="str">
            <v>Katherine Chang</v>
          </cell>
          <cell r="AC389" t="str">
            <v>Tax - Real Estate</v>
          </cell>
        </row>
        <row r="390">
          <cell r="Y390" t="str">
            <v>Kathryn Love</v>
          </cell>
          <cell r="AC390" t="str">
            <v>Tax - Operations</v>
          </cell>
        </row>
        <row r="391">
          <cell r="Y391" t="str">
            <v>Kathy Luna</v>
          </cell>
          <cell r="AC391" t="str">
            <v>Tax - Operations</v>
          </cell>
        </row>
        <row r="392">
          <cell r="Y392" t="str">
            <v>Kathy Reese</v>
          </cell>
          <cell r="AC392" t="str">
            <v>Tax - Operations</v>
          </cell>
        </row>
        <row r="393">
          <cell r="Y393" t="str">
            <v>Katrina Perlewitz</v>
          </cell>
          <cell r="AC393" t="str">
            <v>Tax - Corporate</v>
          </cell>
        </row>
        <row r="394">
          <cell r="Y394" t="str">
            <v>Katy Brown</v>
          </cell>
          <cell r="AC394" t="str">
            <v>Tax - Not For Profit</v>
          </cell>
        </row>
        <row r="395">
          <cell r="Y395" t="str">
            <v>Kavita Chhangani</v>
          </cell>
          <cell r="AC395" t="str">
            <v>Tax - Managed Services</v>
          </cell>
        </row>
        <row r="396">
          <cell r="Y396" t="str">
            <v>Kay Bonner</v>
          </cell>
          <cell r="AC396" t="str">
            <v>Tax - Corporate</v>
          </cell>
        </row>
        <row r="397">
          <cell r="Y397" t="str">
            <v>Kayley Gardner</v>
          </cell>
          <cell r="AC397" t="str">
            <v>Tax - Corporate</v>
          </cell>
        </row>
        <row r="398">
          <cell r="Y398" t="str">
            <v>Kaylin Koopmans</v>
          </cell>
          <cell r="AC398" t="str">
            <v>Tax - Real Estate</v>
          </cell>
        </row>
        <row r="399">
          <cell r="Y399" t="str">
            <v>KD Sirek</v>
          </cell>
          <cell r="AC399" t="str">
            <v>Tax - Operations</v>
          </cell>
        </row>
        <row r="400">
          <cell r="Y400" t="str">
            <v>Keith Hong</v>
          </cell>
          <cell r="AC400" t="str">
            <v>Tax - Corporate</v>
          </cell>
        </row>
        <row r="401">
          <cell r="Y401" t="str">
            <v>Kellie Pinedo</v>
          </cell>
          <cell r="AC401" t="str">
            <v>Tax - Real Estate</v>
          </cell>
        </row>
        <row r="402">
          <cell r="Y402" t="str">
            <v>Kelly Gillette</v>
          </cell>
          <cell r="AC402" t="str">
            <v>Tax - Private Client Advisors</v>
          </cell>
        </row>
        <row r="403">
          <cell r="Y403" t="str">
            <v>Kelsey Nolen</v>
          </cell>
          <cell r="AC403" t="str">
            <v>Tax - Privately Held Business</v>
          </cell>
        </row>
        <row r="404">
          <cell r="Y404" t="str">
            <v>Kelsie Sujishi</v>
          </cell>
          <cell r="AC404" t="str">
            <v>Tax - Operations</v>
          </cell>
        </row>
        <row r="405">
          <cell r="Y405" t="str">
            <v>Kelvin So</v>
          </cell>
          <cell r="AC405" t="str">
            <v>Tax - Privately Held Business</v>
          </cell>
        </row>
        <row r="406">
          <cell r="Y406" t="str">
            <v>Ken Choi</v>
          </cell>
          <cell r="AC406" t="str">
            <v>Tax National Office - SALT</v>
          </cell>
        </row>
        <row r="407">
          <cell r="Y407" t="str">
            <v>Ken Harvey</v>
          </cell>
          <cell r="AC407" t="str">
            <v>Tax National Office - International</v>
          </cell>
        </row>
        <row r="408">
          <cell r="Y408" t="str">
            <v>Ken Kahen</v>
          </cell>
          <cell r="AC408" t="str">
            <v>Tax - Private Client Advisors</v>
          </cell>
        </row>
        <row r="409">
          <cell r="Y409" t="str">
            <v>Kendyl Santiago</v>
          </cell>
          <cell r="AC409" t="str">
            <v>Tax - Corporate</v>
          </cell>
        </row>
        <row r="410">
          <cell r="Y410" t="str">
            <v>Kevin Baran</v>
          </cell>
          <cell r="AC410" t="str">
            <v>Tax - Corporate</v>
          </cell>
        </row>
        <row r="411">
          <cell r="Y411" t="str">
            <v>Kevin Boeving</v>
          </cell>
          <cell r="AC411" t="str">
            <v>Tax - Privately Held Business</v>
          </cell>
        </row>
        <row r="412">
          <cell r="Y412" t="str">
            <v>Kevin Halls</v>
          </cell>
          <cell r="AC412" t="str">
            <v>Tax - Privately Held Business</v>
          </cell>
        </row>
        <row r="413">
          <cell r="Y413" t="str">
            <v>Kevin Lopez</v>
          </cell>
          <cell r="AC413" t="str">
            <v>Tax - Privately Held Business</v>
          </cell>
        </row>
        <row r="414">
          <cell r="Y414" t="str">
            <v>Kevin Scoles</v>
          </cell>
          <cell r="AC414" t="str">
            <v>Tax National Office - SALT</v>
          </cell>
        </row>
        <row r="415">
          <cell r="Y415" t="str">
            <v>Khushboo Shah</v>
          </cell>
          <cell r="AC415" t="str">
            <v>Tax - Private Client Advisors</v>
          </cell>
        </row>
        <row r="416">
          <cell r="Y416" t="str">
            <v>Khyati Malli</v>
          </cell>
          <cell r="AC416" t="str">
            <v>Tax - Privately Held Business</v>
          </cell>
        </row>
        <row r="417">
          <cell r="Y417" t="str">
            <v>Kim Johnson</v>
          </cell>
          <cell r="AC417" t="str">
            <v>Tax - Real Estate</v>
          </cell>
        </row>
        <row r="418">
          <cell r="Y418" t="str">
            <v>Kim Peterson</v>
          </cell>
          <cell r="AC418" t="str">
            <v>Tax National Office - General</v>
          </cell>
        </row>
        <row r="419">
          <cell r="Y419" t="str">
            <v>Kim Robinson</v>
          </cell>
          <cell r="AC419" t="str">
            <v>Tax - Privately Held Business</v>
          </cell>
        </row>
        <row r="420">
          <cell r="Y420" t="str">
            <v>Kim Saludo</v>
          </cell>
          <cell r="AC420" t="str">
            <v>Tax National Office - International</v>
          </cell>
        </row>
        <row r="421">
          <cell r="Y421" t="str">
            <v>Kimberly Bui</v>
          </cell>
          <cell r="AC421" t="str">
            <v>Tax - Private Client Advisors</v>
          </cell>
        </row>
        <row r="422">
          <cell r="Y422" t="str">
            <v>Kresa Webster</v>
          </cell>
          <cell r="AC422" t="str">
            <v>Tax - Corporate</v>
          </cell>
        </row>
        <row r="423">
          <cell r="Y423" t="str">
            <v>Krishna Sai Koyyati</v>
          </cell>
          <cell r="AC423" t="str">
            <v>Tax - Privately Held Business</v>
          </cell>
        </row>
        <row r="424">
          <cell r="Y424" t="str">
            <v>Kristin Edwards</v>
          </cell>
          <cell r="AC424" t="str">
            <v>Tax - Privately Held Business</v>
          </cell>
        </row>
        <row r="425">
          <cell r="Y425" t="str">
            <v>Kristine Marcoso</v>
          </cell>
          <cell r="AC425" t="str">
            <v>Tax - Operations</v>
          </cell>
        </row>
        <row r="426">
          <cell r="Y426" t="str">
            <v>Kristine Perez</v>
          </cell>
          <cell r="AC426" t="str">
            <v>Tax - Operations</v>
          </cell>
        </row>
        <row r="427">
          <cell r="Y427" t="str">
            <v>Krystal Nguyen</v>
          </cell>
          <cell r="AC427" t="str">
            <v>Tax - Corporate</v>
          </cell>
        </row>
        <row r="428">
          <cell r="Y428" t="str">
            <v>Kyle Mueller</v>
          </cell>
          <cell r="AC428" t="str">
            <v>Tax National Office - SALT</v>
          </cell>
        </row>
        <row r="429">
          <cell r="Y429" t="str">
            <v>Kyle Sullivan</v>
          </cell>
          <cell r="AC429" t="str">
            <v>Tax - Privately Held Business</v>
          </cell>
        </row>
        <row r="430">
          <cell r="Y430" t="str">
            <v>Lacee Harris</v>
          </cell>
          <cell r="AC430" t="str">
            <v>Tax National Office - Transfer Pricing</v>
          </cell>
        </row>
        <row r="431">
          <cell r="Y431" t="str">
            <v>Lakshmi Bandhavi Vallabhaneni</v>
          </cell>
          <cell r="AC431" t="str">
            <v>Tax - Private Client Advisors</v>
          </cell>
        </row>
        <row r="432">
          <cell r="Y432" t="str">
            <v>Lan Truong</v>
          </cell>
          <cell r="AC432" t="str">
            <v>Tax - Privately Held Business</v>
          </cell>
        </row>
        <row r="433">
          <cell r="Y433" t="str">
            <v>Lara Sumague</v>
          </cell>
          <cell r="AC433" t="str">
            <v>Tax - Operations</v>
          </cell>
        </row>
        <row r="434">
          <cell r="Y434" t="str">
            <v>Laura Cannon</v>
          </cell>
          <cell r="AC434" t="str">
            <v>Tax - Corporate</v>
          </cell>
        </row>
        <row r="435">
          <cell r="Y435" t="str">
            <v>Laura DeNormandie</v>
          </cell>
          <cell r="AC435" t="str">
            <v>Tax - Private Client Advisors</v>
          </cell>
        </row>
        <row r="436">
          <cell r="Y436" t="str">
            <v>Laura Lynch</v>
          </cell>
          <cell r="AC436" t="str">
            <v>Tax - Private Client Advisors</v>
          </cell>
        </row>
        <row r="437">
          <cell r="Y437" t="str">
            <v>Laura Taylor</v>
          </cell>
          <cell r="AC437" t="str">
            <v>Tax - Operations</v>
          </cell>
        </row>
        <row r="438">
          <cell r="Y438" t="str">
            <v>Lauren Wagner</v>
          </cell>
          <cell r="AC438" t="str">
            <v>Tax - Private Client Advisors</v>
          </cell>
        </row>
        <row r="439">
          <cell r="Y439" t="str">
            <v>Lav Purohit</v>
          </cell>
          <cell r="AC439" t="str">
            <v>Tax - Privately Held Business</v>
          </cell>
        </row>
        <row r="440">
          <cell r="Y440" t="str">
            <v>Lavada Burse</v>
          </cell>
          <cell r="AC440" t="str">
            <v>Tax - Private Client Advisors</v>
          </cell>
        </row>
        <row r="441">
          <cell r="Y441" t="str">
            <v>Leah Bevins</v>
          </cell>
          <cell r="AC441" t="str">
            <v>Tax - Privately Held Business</v>
          </cell>
        </row>
        <row r="442">
          <cell r="Y442" t="str">
            <v>Leena Gupta</v>
          </cell>
          <cell r="AC442" t="str">
            <v>Tax - Private Client Advisors</v>
          </cell>
        </row>
        <row r="443">
          <cell r="Y443" t="str">
            <v>Leo Perez</v>
          </cell>
          <cell r="AC443" t="str">
            <v>Tax National Office - SALT</v>
          </cell>
        </row>
        <row r="444">
          <cell r="Y444" t="str">
            <v>Lexie Mayers</v>
          </cell>
          <cell r="AC444" t="str">
            <v>Tax - Operations</v>
          </cell>
        </row>
        <row r="445">
          <cell r="Y445" t="str">
            <v>Liam Clark</v>
          </cell>
          <cell r="AC445" t="str">
            <v>Tax - Private Client Advisors</v>
          </cell>
        </row>
        <row r="446">
          <cell r="Y446" t="str">
            <v>Lilian Vu</v>
          </cell>
          <cell r="AC446" t="str">
            <v>Tax - Real Estate</v>
          </cell>
        </row>
        <row r="447">
          <cell r="Y447" t="str">
            <v>Lily Taylor</v>
          </cell>
          <cell r="AC447" t="str">
            <v>Tax National Office - International</v>
          </cell>
        </row>
        <row r="448">
          <cell r="Y448" t="str">
            <v>Linda Vosburgh</v>
          </cell>
          <cell r="AC448" t="str">
            <v>Tax - Corporate</v>
          </cell>
        </row>
        <row r="449">
          <cell r="Y449" t="str">
            <v>Lindsey Dowling</v>
          </cell>
          <cell r="AC449" t="str">
            <v>Tax National Office - Section 382</v>
          </cell>
        </row>
        <row r="450">
          <cell r="Y450" t="str">
            <v>Lindsey Sun</v>
          </cell>
          <cell r="AC450" t="str">
            <v>Tax - Private Client Advisors</v>
          </cell>
        </row>
        <row r="451">
          <cell r="Y451" t="str">
            <v>Linh Chung</v>
          </cell>
          <cell r="AC451" t="str">
            <v>Tax - Privately Held Business</v>
          </cell>
        </row>
        <row r="452">
          <cell r="Y452" t="str">
            <v>Lisa Boyd</v>
          </cell>
          <cell r="AC452" t="str">
            <v>Tax - Private Client Advisors</v>
          </cell>
        </row>
        <row r="453">
          <cell r="Y453" t="str">
            <v>Lisa Cassell</v>
          </cell>
          <cell r="AC453" t="str">
            <v>Tax - Operations</v>
          </cell>
        </row>
        <row r="454">
          <cell r="Y454" t="str">
            <v>Lisa Flemen</v>
          </cell>
          <cell r="AC454" t="str">
            <v>Tax - Privately Held Business</v>
          </cell>
        </row>
        <row r="455">
          <cell r="Y455" t="str">
            <v>Liu Pieper</v>
          </cell>
          <cell r="AC455" t="str">
            <v>Tax - Privately Held Business</v>
          </cell>
        </row>
        <row r="456">
          <cell r="Y456" t="str">
            <v>Lori Cammon</v>
          </cell>
          <cell r="AC456" t="str">
            <v>Tax - Operations</v>
          </cell>
        </row>
        <row r="457">
          <cell r="Y457" t="str">
            <v>Luis Rodriguez</v>
          </cell>
          <cell r="AC457" t="str">
            <v>Tax - Corporate</v>
          </cell>
        </row>
        <row r="458">
          <cell r="Y458" t="str">
            <v>Luiza Willardson</v>
          </cell>
          <cell r="AC458" t="str">
            <v>Tax - Private Client Advisors</v>
          </cell>
        </row>
        <row r="459">
          <cell r="Y459" t="str">
            <v>Luke Gopsill</v>
          </cell>
          <cell r="AC459" t="str">
            <v>Tax - Corporate</v>
          </cell>
        </row>
        <row r="460">
          <cell r="Y460" t="str">
            <v>Lydia Morris</v>
          </cell>
          <cell r="AC460" t="str">
            <v>Tax - Private Client Advisors</v>
          </cell>
        </row>
        <row r="461">
          <cell r="Y461" t="str">
            <v>Madison Low</v>
          </cell>
          <cell r="AC461" t="str">
            <v>Tax National Office - SALT</v>
          </cell>
        </row>
        <row r="462">
          <cell r="Y462" t="str">
            <v>Magda Miller</v>
          </cell>
          <cell r="AC462" t="str">
            <v>Tax - Privately Held Business</v>
          </cell>
        </row>
        <row r="463">
          <cell r="Y463" t="str">
            <v>Makenzie Roan</v>
          </cell>
          <cell r="AC463" t="str">
            <v>Tax - Privately Held Business</v>
          </cell>
        </row>
        <row r="464">
          <cell r="Y464" t="str">
            <v>Malav Jain</v>
          </cell>
          <cell r="AC464" t="str">
            <v>Tax - Real Estate</v>
          </cell>
        </row>
        <row r="465">
          <cell r="Y465" t="str">
            <v>Malcom Morales</v>
          </cell>
          <cell r="AC465" t="str">
            <v>Tax - Operations</v>
          </cell>
        </row>
        <row r="466">
          <cell r="Y466" t="str">
            <v>Mamatha Pochampally</v>
          </cell>
          <cell r="AC466" t="str">
            <v>Tax - Privately Held Business</v>
          </cell>
        </row>
        <row r="467">
          <cell r="Y467" t="str">
            <v>Mame Diarra Samb</v>
          </cell>
          <cell r="AC467" t="str">
            <v>Tax - Real Estate</v>
          </cell>
        </row>
        <row r="468">
          <cell r="Y468" t="str">
            <v>Mandi Tong</v>
          </cell>
          <cell r="AC468" t="str">
            <v>Tax - Not For Profit</v>
          </cell>
        </row>
        <row r="469">
          <cell r="Y469" t="str">
            <v>Manisha Baldwa</v>
          </cell>
          <cell r="AC469" t="str">
            <v>Tax - Real Estate</v>
          </cell>
        </row>
        <row r="470">
          <cell r="Y470" t="str">
            <v>Manisha Pasi</v>
          </cell>
          <cell r="AC470" t="str">
            <v>Tax - Private Client Advisors</v>
          </cell>
        </row>
        <row r="471">
          <cell r="Y471" t="str">
            <v>Mansee Agrawal</v>
          </cell>
          <cell r="AC471" t="str">
            <v>Tax - Private Equity</v>
          </cell>
        </row>
        <row r="472">
          <cell r="Y472" t="str">
            <v>Manu Sharma</v>
          </cell>
          <cell r="AC472" t="str">
            <v>Tax National Office - Section 382</v>
          </cell>
        </row>
        <row r="473">
          <cell r="Y473" t="str">
            <v>Manuel Villanueva</v>
          </cell>
          <cell r="AC473" t="str">
            <v>Tax - Operations</v>
          </cell>
        </row>
        <row r="474">
          <cell r="Y474" t="str">
            <v>Maret Kita</v>
          </cell>
          <cell r="AC474" t="str">
            <v>Tax - Operations</v>
          </cell>
        </row>
        <row r="475">
          <cell r="Y475" t="str">
            <v>Maria Villaluz</v>
          </cell>
          <cell r="AC475" t="str">
            <v>Tax - Operations</v>
          </cell>
        </row>
        <row r="476">
          <cell r="Y476" t="str">
            <v>Mariell Marila</v>
          </cell>
          <cell r="AC476" t="str">
            <v>Tax - Operations</v>
          </cell>
        </row>
        <row r="477">
          <cell r="Y477" t="str">
            <v>Marilyn Pham</v>
          </cell>
          <cell r="AC477" t="str">
            <v>Tax National Office - R&amp;D Credits</v>
          </cell>
        </row>
        <row r="478">
          <cell r="Y478" t="str">
            <v>Marin Taylor</v>
          </cell>
          <cell r="AC478" t="str">
            <v>Tax - Real Estate</v>
          </cell>
        </row>
        <row r="479">
          <cell r="Y479" t="str">
            <v>Maritza Pott</v>
          </cell>
          <cell r="AC479" t="str">
            <v>Tax - Operations</v>
          </cell>
        </row>
        <row r="480">
          <cell r="Y480" t="str">
            <v>Mark Baumohl</v>
          </cell>
          <cell r="AC480" t="str">
            <v>Tax - Private Client Advisors</v>
          </cell>
        </row>
        <row r="481">
          <cell r="Y481" t="str">
            <v>Mark Cummings</v>
          </cell>
          <cell r="AC481" t="str">
            <v>Tax National Office - SALT</v>
          </cell>
        </row>
        <row r="482">
          <cell r="Y482" t="str">
            <v>Mark Goodman</v>
          </cell>
          <cell r="AC482" t="str">
            <v>Tax - Privately Held Business</v>
          </cell>
        </row>
        <row r="483">
          <cell r="Y483" t="str">
            <v>Mark Reis</v>
          </cell>
          <cell r="AC483" t="str">
            <v>Tax - Corporate</v>
          </cell>
        </row>
        <row r="484">
          <cell r="Y484" t="str">
            <v>Mark Solomon</v>
          </cell>
          <cell r="AC484" t="str">
            <v>Tax - Real Estate</v>
          </cell>
        </row>
        <row r="485">
          <cell r="Y485" t="str">
            <v>Mark Stone</v>
          </cell>
          <cell r="AC485" t="str">
            <v>Tax National Office - SALT</v>
          </cell>
        </row>
        <row r="486">
          <cell r="Y486" t="str">
            <v>Mark Voelkel</v>
          </cell>
          <cell r="AC486" t="str">
            <v>Tax - Corporate</v>
          </cell>
        </row>
        <row r="487">
          <cell r="Y487" t="str">
            <v>Mary Beth Vetter</v>
          </cell>
          <cell r="AC487" t="str">
            <v>Tax - Privately Held Business</v>
          </cell>
        </row>
        <row r="488">
          <cell r="Y488" t="str">
            <v>Mary Isaak</v>
          </cell>
          <cell r="AC488" t="str">
            <v>Tax - Privately Held Business</v>
          </cell>
        </row>
        <row r="489">
          <cell r="Y489" t="str">
            <v>Mary Jane Quintos</v>
          </cell>
          <cell r="AC489" t="str">
            <v>Tax National Office - International</v>
          </cell>
        </row>
        <row r="490">
          <cell r="Y490" t="str">
            <v>Mary Puse</v>
          </cell>
          <cell r="AC490" t="str">
            <v>Tax - Operations</v>
          </cell>
        </row>
        <row r="491">
          <cell r="Y491" t="str">
            <v>Mary Verdejo</v>
          </cell>
          <cell r="AC491" t="str">
            <v>Tax - Operations</v>
          </cell>
        </row>
        <row r="492">
          <cell r="Y492" t="str">
            <v>MaryAnn Vizcarra</v>
          </cell>
          <cell r="AC492" t="str">
            <v>Tax - Operations</v>
          </cell>
        </row>
        <row r="493">
          <cell r="Y493" t="str">
            <v>MaryAnne Roque</v>
          </cell>
          <cell r="AC493" t="str">
            <v>Tax - Operations</v>
          </cell>
        </row>
        <row r="494">
          <cell r="Y494" t="str">
            <v>MaryGrace Torres</v>
          </cell>
          <cell r="AC494" t="str">
            <v>Tax - Operations</v>
          </cell>
        </row>
        <row r="495">
          <cell r="Y495" t="str">
            <v>MaryJoy Barrera</v>
          </cell>
          <cell r="AC495" t="str">
            <v>Tax - Operations</v>
          </cell>
        </row>
        <row r="496">
          <cell r="Y496" t="str">
            <v>Mason Gould</v>
          </cell>
          <cell r="AC496" t="str">
            <v>Tax - Corporate</v>
          </cell>
        </row>
        <row r="497">
          <cell r="Y497" t="str">
            <v>Matilda Bodmer</v>
          </cell>
          <cell r="AC497" t="str">
            <v>Tax National Office - SALT</v>
          </cell>
        </row>
        <row r="498">
          <cell r="Y498" t="str">
            <v>Matt Baldwin</v>
          </cell>
          <cell r="AC498" t="str">
            <v>Tax - Corporate</v>
          </cell>
        </row>
        <row r="499">
          <cell r="Y499" t="str">
            <v>Matt Firman</v>
          </cell>
          <cell r="AC499" t="str">
            <v>Tax - Operations</v>
          </cell>
        </row>
        <row r="500">
          <cell r="Y500" t="str">
            <v>Matt Fischer</v>
          </cell>
          <cell r="AC500" t="str">
            <v>Tax - Corporate</v>
          </cell>
        </row>
        <row r="501">
          <cell r="Y501" t="str">
            <v>Matt Knight</v>
          </cell>
          <cell r="AC501" t="str">
            <v>Tax - Corporate</v>
          </cell>
        </row>
        <row r="502">
          <cell r="Y502" t="str">
            <v>Matt Walker</v>
          </cell>
          <cell r="AC502" t="str">
            <v>Tax - Real Estate</v>
          </cell>
        </row>
        <row r="503">
          <cell r="Y503" t="str">
            <v>Matt Weigel</v>
          </cell>
          <cell r="AC503" t="str">
            <v>Tax National Office - R&amp;D Credits</v>
          </cell>
        </row>
        <row r="504">
          <cell r="Y504" t="str">
            <v>Matthew Henslee</v>
          </cell>
          <cell r="AC504" t="str">
            <v>Tax - Private Client Advisors</v>
          </cell>
        </row>
        <row r="505">
          <cell r="Y505" t="str">
            <v>Matthew Lebo</v>
          </cell>
          <cell r="AC505" t="str">
            <v>Tax - Real Estate</v>
          </cell>
        </row>
        <row r="506">
          <cell r="Y506" t="str">
            <v>Matthew Petroski</v>
          </cell>
          <cell r="AC506" t="str">
            <v>Tax - Not For Profit</v>
          </cell>
        </row>
        <row r="507">
          <cell r="Y507" t="str">
            <v>Matthew Smith</v>
          </cell>
          <cell r="AC507" t="str">
            <v>Tax - Privately Held Business</v>
          </cell>
        </row>
        <row r="508">
          <cell r="Y508" t="str">
            <v>Matthew Suits</v>
          </cell>
          <cell r="AC508" t="str">
            <v>Tax - Privately Held Business</v>
          </cell>
        </row>
        <row r="509">
          <cell r="Y509" t="str">
            <v>Matthew Vulpis</v>
          </cell>
          <cell r="AC509" t="str">
            <v>Tax - Privately Held Business</v>
          </cell>
        </row>
        <row r="510">
          <cell r="Y510" t="str">
            <v>Matthew Waxman</v>
          </cell>
          <cell r="AC510" t="str">
            <v>Tax - Private Client Advisors</v>
          </cell>
        </row>
        <row r="511">
          <cell r="Y511" t="str">
            <v>Maxwell Auerbach</v>
          </cell>
          <cell r="AC511" t="str">
            <v>Tax - Operations</v>
          </cell>
        </row>
        <row r="512">
          <cell r="Y512" t="str">
            <v>Maya Khan</v>
          </cell>
          <cell r="AC512" t="str">
            <v>Tax - Real Estate</v>
          </cell>
        </row>
        <row r="513">
          <cell r="Y513" t="str">
            <v>Mazzini Saba</v>
          </cell>
          <cell r="AC513" t="str">
            <v>Tax - Operations</v>
          </cell>
        </row>
        <row r="514">
          <cell r="Y514" t="str">
            <v>Meagan Mastin</v>
          </cell>
          <cell r="AC514" t="str">
            <v>Tax - Operations</v>
          </cell>
        </row>
        <row r="515">
          <cell r="Y515" t="str">
            <v>Megan Adragna</v>
          </cell>
          <cell r="AC515" t="str">
            <v>Tax - Not For Profit</v>
          </cell>
        </row>
        <row r="516">
          <cell r="Y516" t="str">
            <v>Megan Mcallister</v>
          </cell>
          <cell r="AC516" t="str">
            <v>Tax National Office - SALT</v>
          </cell>
        </row>
        <row r="517">
          <cell r="Y517" t="str">
            <v>Megan McDonald</v>
          </cell>
          <cell r="AC517" t="str">
            <v>Tax - Privately Held Business</v>
          </cell>
        </row>
        <row r="518">
          <cell r="Y518" t="str">
            <v>Megan Mortensen</v>
          </cell>
          <cell r="AC518" t="str">
            <v>Tax - Privately Held Business</v>
          </cell>
        </row>
        <row r="519">
          <cell r="Y519" t="str">
            <v>Megan Roderick</v>
          </cell>
          <cell r="AC519" t="str">
            <v>Tax - Corporate</v>
          </cell>
        </row>
        <row r="520">
          <cell r="Y520" t="str">
            <v>Melanie Caridad</v>
          </cell>
          <cell r="AC520" t="str">
            <v>Tax - Corporate</v>
          </cell>
        </row>
        <row r="521">
          <cell r="Y521" t="str">
            <v>Melanie Phillips</v>
          </cell>
          <cell r="AC521" t="str">
            <v>Tax - Privately Held Business</v>
          </cell>
        </row>
        <row r="522">
          <cell r="Y522" t="str">
            <v>Melissa Criscuolo</v>
          </cell>
          <cell r="AC522" t="str">
            <v>Tax - Privately Held Business</v>
          </cell>
        </row>
        <row r="523">
          <cell r="Y523" t="str">
            <v>Melissa Mendeloff</v>
          </cell>
          <cell r="AC523" t="str">
            <v>Tax National Office - R&amp;D Credits</v>
          </cell>
        </row>
        <row r="524">
          <cell r="Y524" t="str">
            <v>Melissa Morgan</v>
          </cell>
          <cell r="AC524" t="str">
            <v>Tax National Office - Compext</v>
          </cell>
        </row>
        <row r="525">
          <cell r="Y525" t="str">
            <v>Melodissa Lumasag</v>
          </cell>
          <cell r="AC525" t="str">
            <v>Tax - Operations</v>
          </cell>
        </row>
        <row r="526">
          <cell r="Y526" t="str">
            <v>Melody Zhu</v>
          </cell>
          <cell r="AC526" t="str">
            <v>Tax - Not For Profit</v>
          </cell>
        </row>
        <row r="527">
          <cell r="Y527" t="str">
            <v>Melynda Perillo</v>
          </cell>
          <cell r="AC527" t="str">
            <v>Tax - Operations</v>
          </cell>
        </row>
        <row r="528">
          <cell r="Y528" t="str">
            <v>Michael Chiu</v>
          </cell>
          <cell r="AC528" t="str">
            <v>Tax - Corporate</v>
          </cell>
        </row>
        <row r="529">
          <cell r="Y529" t="str">
            <v>Michael Emmi</v>
          </cell>
          <cell r="AC529" t="str">
            <v>Tax - Privately Held Business</v>
          </cell>
        </row>
        <row r="530">
          <cell r="Y530" t="str">
            <v>Michael Gershon</v>
          </cell>
          <cell r="AC530" t="str">
            <v>Tax - Real Estate</v>
          </cell>
        </row>
        <row r="531">
          <cell r="Y531" t="str">
            <v>Michael Weiner</v>
          </cell>
          <cell r="AC531" t="str">
            <v>Tax - Real Estate</v>
          </cell>
        </row>
        <row r="532">
          <cell r="Y532" t="str">
            <v>Michelle Durej</v>
          </cell>
          <cell r="AC532" t="str">
            <v>Tax - Operations</v>
          </cell>
        </row>
        <row r="533">
          <cell r="Y533" t="str">
            <v>Michiko Oh-Harada</v>
          </cell>
          <cell r="AC533" t="str">
            <v>Tax - Privately Held Business</v>
          </cell>
        </row>
        <row r="534">
          <cell r="Y534" t="str">
            <v>Mike Abramovitz</v>
          </cell>
          <cell r="AC534" t="str">
            <v>Tax - Corporate</v>
          </cell>
        </row>
        <row r="535">
          <cell r="Y535" t="str">
            <v>Mike Manganiello</v>
          </cell>
          <cell r="AC535" t="str">
            <v>Tax - Private Client Advisors</v>
          </cell>
        </row>
        <row r="536">
          <cell r="Y536" t="str">
            <v>Mike Moore</v>
          </cell>
          <cell r="AC536" t="str">
            <v>Tax National Office - General</v>
          </cell>
        </row>
        <row r="537">
          <cell r="Y537" t="str">
            <v>Mike Shaikh</v>
          </cell>
          <cell r="AC537" t="str">
            <v>Tax National Office - SALT</v>
          </cell>
        </row>
        <row r="538">
          <cell r="Y538" t="str">
            <v>Mike Sobelman</v>
          </cell>
          <cell r="AC538" t="str">
            <v>Tax - Private Client Advisors</v>
          </cell>
        </row>
        <row r="539">
          <cell r="Y539" t="str">
            <v>Min Riblett</v>
          </cell>
          <cell r="AC539" t="str">
            <v>Tax - Privately Held Business</v>
          </cell>
        </row>
        <row r="540">
          <cell r="Y540" t="str">
            <v>Min Zhao</v>
          </cell>
          <cell r="AC540" t="str">
            <v>Tax - Privately Held Business</v>
          </cell>
        </row>
        <row r="541">
          <cell r="Y541" t="str">
            <v>Mindy Kamen</v>
          </cell>
          <cell r="AC541" t="str">
            <v>Tax - Private Client Advisors</v>
          </cell>
        </row>
        <row r="542">
          <cell r="Y542" t="str">
            <v>Ming Sherpa</v>
          </cell>
          <cell r="AC542" t="str">
            <v>Tax - Corporate</v>
          </cell>
        </row>
        <row r="543">
          <cell r="Y543" t="str">
            <v>Mitzy Mejia</v>
          </cell>
          <cell r="AC543" t="str">
            <v>Tax - Private Client Advisors</v>
          </cell>
        </row>
        <row r="544">
          <cell r="Y544" t="str">
            <v>Mohammed Zaid Vohra</v>
          </cell>
          <cell r="AC544" t="str">
            <v>Tax - Privately Held Business</v>
          </cell>
        </row>
        <row r="545">
          <cell r="Y545" t="str">
            <v>Molly Petron</v>
          </cell>
          <cell r="AC545" t="str">
            <v>Tax - Corporate</v>
          </cell>
        </row>
        <row r="546">
          <cell r="Y546" t="str">
            <v>Monica Kilamyan</v>
          </cell>
          <cell r="AC546" t="str">
            <v>Tax - Privately Held Business</v>
          </cell>
        </row>
        <row r="547">
          <cell r="Y547" t="str">
            <v>Moon Pham</v>
          </cell>
          <cell r="AC547" t="str">
            <v>Tax - Real Estate</v>
          </cell>
        </row>
        <row r="548">
          <cell r="Y548" t="str">
            <v>Morrall Garcia</v>
          </cell>
          <cell r="AC548" t="str">
            <v>Tax - Managed Services</v>
          </cell>
        </row>
        <row r="549">
          <cell r="Y549" t="str">
            <v>Najee Ashby</v>
          </cell>
          <cell r="AC549" t="str">
            <v>Tax - Real Estate</v>
          </cell>
        </row>
        <row r="550">
          <cell r="Y550" t="str">
            <v>Nancy Hirsch</v>
          </cell>
          <cell r="AC550" t="str">
            <v>Tax - Real Estate</v>
          </cell>
        </row>
        <row r="551">
          <cell r="Y551" t="str">
            <v>Nancy Mahmoud</v>
          </cell>
          <cell r="AC551" t="str">
            <v>Tax - Privately Held Business</v>
          </cell>
        </row>
        <row r="552">
          <cell r="Y552" t="str">
            <v>Nandish Sheth</v>
          </cell>
          <cell r="AC552" t="str">
            <v>Tax - Privately Held Business</v>
          </cell>
        </row>
        <row r="553">
          <cell r="Y553" t="str">
            <v>Naomi Park</v>
          </cell>
          <cell r="AC553" t="str">
            <v>Tax - Operations</v>
          </cell>
        </row>
        <row r="554">
          <cell r="Y554" t="str">
            <v>Naomi Philip</v>
          </cell>
          <cell r="AC554" t="str">
            <v>Tax - Corporate</v>
          </cell>
        </row>
        <row r="555">
          <cell r="Y555" t="str">
            <v>Nash Naidoo</v>
          </cell>
          <cell r="AC555" t="str">
            <v>Tax - Operations</v>
          </cell>
        </row>
        <row r="556">
          <cell r="Y556" t="str">
            <v>Nashwat Hussein-Sagaff</v>
          </cell>
          <cell r="AC556" t="str">
            <v>Tax - Privately Held Business</v>
          </cell>
        </row>
        <row r="557">
          <cell r="Y557" t="str">
            <v>Nastassja Markham</v>
          </cell>
          <cell r="AC557" t="str">
            <v>Tax - Privately Held Business</v>
          </cell>
        </row>
        <row r="558">
          <cell r="Y558" t="str">
            <v>Natalie Cameron</v>
          </cell>
          <cell r="AC558" t="str">
            <v>Tax - Operations</v>
          </cell>
        </row>
        <row r="559">
          <cell r="Y559" t="str">
            <v>Nate McMullen</v>
          </cell>
          <cell r="AC559" t="str">
            <v>Tax - Real Estate</v>
          </cell>
        </row>
        <row r="560">
          <cell r="Y560" t="str">
            <v>Nathan Gagar</v>
          </cell>
          <cell r="AC560" t="str">
            <v>Tax National Office - International</v>
          </cell>
        </row>
        <row r="561">
          <cell r="Y561" t="str">
            <v>Naz Bhangal</v>
          </cell>
          <cell r="AC561" t="str">
            <v>Tax - Privately Held Business</v>
          </cell>
        </row>
        <row r="562">
          <cell r="Y562" t="str">
            <v>Neal Dresher</v>
          </cell>
          <cell r="AC562" t="str">
            <v>Tax - Real Estate</v>
          </cell>
        </row>
        <row r="563">
          <cell r="Y563" t="str">
            <v>Neil Seagraves</v>
          </cell>
          <cell r="AC563" t="str">
            <v>Tax - Privately Held Business</v>
          </cell>
        </row>
        <row r="564">
          <cell r="Y564" t="str">
            <v>Nejat Abderahman</v>
          </cell>
          <cell r="AC564" t="str">
            <v>Tax - Operations</v>
          </cell>
        </row>
        <row r="565">
          <cell r="Y565" t="str">
            <v>Nghi Huynh</v>
          </cell>
          <cell r="AC565" t="str">
            <v>Tax National Office - Transfer Pricing</v>
          </cell>
        </row>
        <row r="566">
          <cell r="Y566" t="str">
            <v>Nhu Nguyen</v>
          </cell>
          <cell r="AC566" t="str">
            <v>Tax - Corporate</v>
          </cell>
        </row>
        <row r="567">
          <cell r="Y567" t="str">
            <v>Nic Martin</v>
          </cell>
          <cell r="AC567" t="str">
            <v>Tax - Private Equity</v>
          </cell>
        </row>
        <row r="568">
          <cell r="Y568" t="str">
            <v>Nica Salas</v>
          </cell>
          <cell r="AC568" t="str">
            <v>Tax - Operations</v>
          </cell>
        </row>
        <row r="569">
          <cell r="Y569" t="str">
            <v>Nick Gibbons</v>
          </cell>
          <cell r="AC569" t="str">
            <v>Tax - Corporate</v>
          </cell>
        </row>
        <row r="570">
          <cell r="Y570" t="str">
            <v>Nicole Apisa</v>
          </cell>
          <cell r="AC570" t="str">
            <v>Tax - Private Equity</v>
          </cell>
        </row>
        <row r="571">
          <cell r="Y571" t="str">
            <v>Nicole Rust</v>
          </cell>
          <cell r="AC571" t="str">
            <v>Tax - Operations</v>
          </cell>
        </row>
        <row r="572">
          <cell r="Y572" t="str">
            <v>Nihit Mathur</v>
          </cell>
          <cell r="AC572" t="str">
            <v>Tax - Private Client Advisors</v>
          </cell>
        </row>
        <row r="573">
          <cell r="Y573" t="str">
            <v>Nikhil Shivakoti</v>
          </cell>
          <cell r="AC573" t="str">
            <v>Tax - Privately Held Business</v>
          </cell>
        </row>
        <row r="574">
          <cell r="Y574" t="str">
            <v>Niki Borland</v>
          </cell>
          <cell r="AC574" t="str">
            <v>Tax - Private Equity</v>
          </cell>
        </row>
        <row r="575">
          <cell r="Y575" t="str">
            <v>Nisarg Bhavsar</v>
          </cell>
          <cell r="AC575" t="str">
            <v>Tax - Private Equity</v>
          </cell>
        </row>
        <row r="576">
          <cell r="Y576" t="str">
            <v>Nishant Tripathi</v>
          </cell>
          <cell r="AC576" t="str">
            <v>Tax - Privately Held Business</v>
          </cell>
        </row>
        <row r="577">
          <cell r="Y577" t="str">
            <v>Noah Flores</v>
          </cell>
          <cell r="AC577" t="str">
            <v>Tax - Private Client Advisors</v>
          </cell>
        </row>
        <row r="578">
          <cell r="Y578" t="str">
            <v>Nomie Namie</v>
          </cell>
          <cell r="AC578" t="str">
            <v>Tax National Office - SALT</v>
          </cell>
        </row>
        <row r="579">
          <cell r="Y579" t="str">
            <v>Nurije Musovic</v>
          </cell>
          <cell r="AC579" t="str">
            <v>Tax - Operations</v>
          </cell>
        </row>
        <row r="580">
          <cell r="Y580" t="str">
            <v>Olga Blyweiss</v>
          </cell>
          <cell r="AC580" t="str">
            <v>Tax - Privately Held Business</v>
          </cell>
        </row>
        <row r="581">
          <cell r="Y581" t="str">
            <v>Orlando Martinez</v>
          </cell>
          <cell r="AC581" t="str">
            <v>Tax - Corporate</v>
          </cell>
        </row>
        <row r="582">
          <cell r="Y582" t="str">
            <v>Orna Khan</v>
          </cell>
          <cell r="AC582" t="str">
            <v>Tax - Operations</v>
          </cell>
        </row>
        <row r="583">
          <cell r="Y583" t="str">
            <v>Pamela Drucker</v>
          </cell>
          <cell r="AC583" t="str">
            <v>Tax National Office - International</v>
          </cell>
        </row>
        <row r="584">
          <cell r="Y584" t="str">
            <v>Pamela Huelsman</v>
          </cell>
          <cell r="AC584" t="str">
            <v>Tax National Office - SALT</v>
          </cell>
        </row>
        <row r="585">
          <cell r="Y585" t="str">
            <v>Paresh Makwana</v>
          </cell>
          <cell r="AC585" t="str">
            <v>Tax - Privately Held Business</v>
          </cell>
        </row>
        <row r="586">
          <cell r="Y586" t="str">
            <v>Parita Soni</v>
          </cell>
          <cell r="AC586" t="str">
            <v>Tax - Real Estate</v>
          </cell>
        </row>
        <row r="587">
          <cell r="Y587" t="str">
            <v>Parth Dave</v>
          </cell>
          <cell r="AC587" t="str">
            <v>Tax - Privately Held Business</v>
          </cell>
        </row>
        <row r="588">
          <cell r="Y588" t="str">
            <v>Parth Nandanvar</v>
          </cell>
          <cell r="AC588" t="str">
            <v>Tax - Private Client Advisors</v>
          </cell>
        </row>
        <row r="589">
          <cell r="Y589" t="str">
            <v>Patricia Schlosser</v>
          </cell>
          <cell r="AC589" t="str">
            <v>Tax - Private Client Advisors</v>
          </cell>
        </row>
        <row r="590">
          <cell r="Y590" t="str">
            <v>Patrick Cinelli</v>
          </cell>
          <cell r="AC590" t="str">
            <v>Tax - Privately Held Business</v>
          </cell>
        </row>
        <row r="591">
          <cell r="Y591" t="str">
            <v>Patrick McGuire</v>
          </cell>
          <cell r="AC591" t="str">
            <v>Tax National Office - International</v>
          </cell>
        </row>
        <row r="592">
          <cell r="Y592" t="str">
            <v>Patrick Richardson</v>
          </cell>
          <cell r="AC592" t="str">
            <v>Tax - Real Estate</v>
          </cell>
        </row>
        <row r="593">
          <cell r="Y593" t="str">
            <v>Patryk Pytel</v>
          </cell>
          <cell r="AC593" t="str">
            <v>Tax National Office - SALT</v>
          </cell>
        </row>
        <row r="594">
          <cell r="Y594" t="str">
            <v>Patti Stevens</v>
          </cell>
          <cell r="AC594" t="str">
            <v>Tax - Privately Held Business</v>
          </cell>
        </row>
        <row r="595">
          <cell r="Y595" t="str">
            <v>Paul Nuttall</v>
          </cell>
          <cell r="AC595" t="str">
            <v>Tax - Not For Profit</v>
          </cell>
        </row>
        <row r="596">
          <cell r="Y596" t="str">
            <v>Paula Alba</v>
          </cell>
          <cell r="AC596" t="str">
            <v>Tax - Real Estate</v>
          </cell>
        </row>
        <row r="597">
          <cell r="Y597" t="str">
            <v>Paulette Simonian</v>
          </cell>
          <cell r="AC597" t="str">
            <v>Tax National Office - Comp &amp; Benefits</v>
          </cell>
        </row>
        <row r="598">
          <cell r="Y598" t="str">
            <v>Payal Gupta</v>
          </cell>
          <cell r="AC598" t="str">
            <v>Tax - Corporate</v>
          </cell>
        </row>
        <row r="599">
          <cell r="Y599" t="str">
            <v>Payal Mirani</v>
          </cell>
          <cell r="AC599" t="str">
            <v>Tax - Private Equity</v>
          </cell>
        </row>
        <row r="600">
          <cell r="Y600" t="str">
            <v>Peggy Kinkade</v>
          </cell>
          <cell r="AC600" t="str">
            <v>Tax - Operations</v>
          </cell>
        </row>
        <row r="601">
          <cell r="Y601" t="str">
            <v>Perry McCord</v>
          </cell>
          <cell r="AC601" t="str">
            <v>Tax - Corporate</v>
          </cell>
        </row>
        <row r="602">
          <cell r="Y602" t="str">
            <v>Peter Goodrich</v>
          </cell>
          <cell r="AC602" t="str">
            <v>Tax - Corporate</v>
          </cell>
        </row>
        <row r="603">
          <cell r="Y603" t="str">
            <v>Peter Gust</v>
          </cell>
          <cell r="AC603" t="str">
            <v>Tax - Real Estate</v>
          </cell>
        </row>
        <row r="604">
          <cell r="Y604" t="str">
            <v>Peter Klinger</v>
          </cell>
          <cell r="AC604" t="str">
            <v>Tax National Office - Comp &amp; Benefits</v>
          </cell>
        </row>
        <row r="605">
          <cell r="Y605" t="str">
            <v>Peter Shao</v>
          </cell>
          <cell r="AC605" t="str">
            <v>Tax - Private Equity</v>
          </cell>
        </row>
        <row r="606">
          <cell r="Y606" t="str">
            <v>Phil Bell</v>
          </cell>
          <cell r="AC606" t="str">
            <v>Tax - Privately Held Business</v>
          </cell>
        </row>
        <row r="607">
          <cell r="Y607" t="str">
            <v>Phil Cooper</v>
          </cell>
          <cell r="AC607" t="str">
            <v>Tax - Corporate</v>
          </cell>
        </row>
        <row r="608">
          <cell r="Y608" t="str">
            <v>Phil Levy</v>
          </cell>
          <cell r="AC608" t="str">
            <v>Tax - Private Client Advisors</v>
          </cell>
        </row>
        <row r="609">
          <cell r="Y609" t="str">
            <v>Pierre Yapo</v>
          </cell>
          <cell r="AC609" t="e">
            <v>#N/A</v>
          </cell>
        </row>
        <row r="610">
          <cell r="Y610" t="str">
            <v>Pramod Sarda</v>
          </cell>
          <cell r="AC610" t="str">
            <v>Tax - Private Client Advisors</v>
          </cell>
        </row>
        <row r="611">
          <cell r="Y611" t="str">
            <v>Praveen Kumar</v>
          </cell>
          <cell r="AC611" t="str">
            <v>Tax - Real Estate</v>
          </cell>
        </row>
        <row r="612">
          <cell r="Y612" t="str">
            <v>Prem Sagar Amarlapudi</v>
          </cell>
          <cell r="AC612" t="str">
            <v>Tax - Privately Held Business</v>
          </cell>
        </row>
        <row r="613">
          <cell r="Y613" t="str">
            <v>Prez Sosnowski</v>
          </cell>
          <cell r="AC613" t="str">
            <v>Tax - Real Estate</v>
          </cell>
        </row>
        <row r="614">
          <cell r="Y614" t="str">
            <v>Priyanshi Parihar</v>
          </cell>
          <cell r="AC614" t="str">
            <v>Tax - Privately Held Business</v>
          </cell>
        </row>
        <row r="615">
          <cell r="Y615" t="str">
            <v>Rachael Clark</v>
          </cell>
          <cell r="AC615" t="str">
            <v>Tax - Real Estate</v>
          </cell>
        </row>
        <row r="616">
          <cell r="Y616" t="str">
            <v>Rachel Kieser</v>
          </cell>
          <cell r="AC616" t="str">
            <v>Tax - Private Client Advisors</v>
          </cell>
        </row>
        <row r="617">
          <cell r="Y617" t="str">
            <v>Rachel Liang</v>
          </cell>
          <cell r="AC617" t="str">
            <v>Tax - Private Client Advisors</v>
          </cell>
        </row>
        <row r="618">
          <cell r="Y618" t="str">
            <v>Rachel Stack</v>
          </cell>
          <cell r="AC618" t="str">
            <v>Tax - Operations</v>
          </cell>
        </row>
        <row r="619">
          <cell r="Y619" t="str">
            <v>Raghava B</v>
          </cell>
          <cell r="AC619" t="str">
            <v>Tax - Privately Held Business</v>
          </cell>
        </row>
        <row r="620">
          <cell r="Y620" t="str">
            <v>Rahim Emami</v>
          </cell>
          <cell r="AC620" t="str">
            <v>Tax National Office - General</v>
          </cell>
        </row>
        <row r="621">
          <cell r="Y621" t="str">
            <v>Ray Werth</v>
          </cell>
          <cell r="AC621" t="str">
            <v>Tax - Corporate</v>
          </cell>
        </row>
        <row r="622">
          <cell r="Y622" t="str">
            <v>Raymond Colston</v>
          </cell>
          <cell r="AC622" t="str">
            <v>Tax - Privately Held Business</v>
          </cell>
        </row>
        <row r="623">
          <cell r="Y623" t="str">
            <v>Rebecca Montano</v>
          </cell>
          <cell r="AC623" t="str">
            <v>Tax - Privately Held Business</v>
          </cell>
        </row>
        <row r="624">
          <cell r="Y624" t="str">
            <v>Rebecca Veliz</v>
          </cell>
          <cell r="AC624" t="str">
            <v>Tax - Privately Held Business</v>
          </cell>
        </row>
        <row r="625">
          <cell r="Y625" t="str">
            <v>Reepak Mishra</v>
          </cell>
          <cell r="AC625" t="str">
            <v>Tax - Private Client Advisors</v>
          </cell>
        </row>
        <row r="626">
          <cell r="Y626" t="str">
            <v>Reginald Sese</v>
          </cell>
          <cell r="AC626" t="str">
            <v>Tax - Operations</v>
          </cell>
        </row>
        <row r="627">
          <cell r="Y627" t="str">
            <v>Reinalyn Magboo</v>
          </cell>
          <cell r="AC627" t="str">
            <v>Tax - Operations</v>
          </cell>
        </row>
        <row r="628">
          <cell r="Y628" t="str">
            <v>Renalyn Escala</v>
          </cell>
          <cell r="AC628" t="str">
            <v>Tax - Operations</v>
          </cell>
        </row>
        <row r="629">
          <cell r="Y629" t="str">
            <v>Renie Morales</v>
          </cell>
          <cell r="AC629" t="str">
            <v>Tax - Operations</v>
          </cell>
        </row>
        <row r="630">
          <cell r="Y630" t="str">
            <v>Reshma Agarwal</v>
          </cell>
          <cell r="AC630" t="str">
            <v>Tax - Private Client Advisors</v>
          </cell>
        </row>
        <row r="631">
          <cell r="Y631" t="str">
            <v>Rhea Camata</v>
          </cell>
          <cell r="AC631" t="str">
            <v>Tax - Operations</v>
          </cell>
        </row>
        <row r="632">
          <cell r="Y632" t="str">
            <v>Richa Shah</v>
          </cell>
          <cell r="AC632" t="str">
            <v>Tax National Office - SALT</v>
          </cell>
        </row>
        <row r="633">
          <cell r="Y633" t="str">
            <v>Rob Haggerty</v>
          </cell>
          <cell r="AC633" t="str">
            <v>Tax - Privately Held Business</v>
          </cell>
        </row>
        <row r="634">
          <cell r="Y634" t="str">
            <v>Robert Joseph Jr.</v>
          </cell>
          <cell r="AC634" t="str">
            <v>Tax National Office - SALT</v>
          </cell>
        </row>
        <row r="635">
          <cell r="Y635" t="str">
            <v>Roberto Araujo</v>
          </cell>
          <cell r="AC635" t="str">
            <v>Tax - Private Equity</v>
          </cell>
        </row>
        <row r="636">
          <cell r="Y636" t="str">
            <v>Robyn Hoovler</v>
          </cell>
          <cell r="AC636" t="str">
            <v>Tax - Operations</v>
          </cell>
        </row>
        <row r="637">
          <cell r="Y637" t="str">
            <v>Rohit Kumar Morrishetty</v>
          </cell>
          <cell r="AC637" t="str">
            <v>Tax - Privately Held Business</v>
          </cell>
        </row>
        <row r="638">
          <cell r="Y638" t="str">
            <v>Roselle Arboleda</v>
          </cell>
          <cell r="AC638" t="str">
            <v>Tax - Operations</v>
          </cell>
        </row>
        <row r="639">
          <cell r="Y639" t="str">
            <v>Rosemary Sereti</v>
          </cell>
          <cell r="AC639" t="str">
            <v>Tax National Office - General</v>
          </cell>
        </row>
        <row r="640">
          <cell r="Y640" t="str">
            <v>Roz Sutch</v>
          </cell>
          <cell r="AC640" t="str">
            <v>Tax - Privately Held Business</v>
          </cell>
        </row>
        <row r="641">
          <cell r="Y641" t="str">
            <v>Ryan Barragar</v>
          </cell>
          <cell r="AC641" t="str">
            <v>Tax - Real Estate</v>
          </cell>
        </row>
        <row r="642">
          <cell r="Y642" t="str">
            <v>Ryan Debouvier</v>
          </cell>
          <cell r="AC642" t="e">
            <v>#N/A</v>
          </cell>
        </row>
        <row r="643">
          <cell r="Y643" t="str">
            <v>Ryan Glasco</v>
          </cell>
          <cell r="AC643" t="str">
            <v>Tax - Real Estate</v>
          </cell>
        </row>
        <row r="644">
          <cell r="Y644" t="str">
            <v>Ryan Guyton</v>
          </cell>
          <cell r="AC644" t="str">
            <v>Tax - Private Client Advisors</v>
          </cell>
        </row>
        <row r="645">
          <cell r="Y645" t="str">
            <v>Sagar Sodha</v>
          </cell>
          <cell r="AC645" t="str">
            <v>Tax - Real Estate</v>
          </cell>
        </row>
        <row r="646">
          <cell r="Y646" t="str">
            <v>Sam Battista</v>
          </cell>
          <cell r="AC646" t="str">
            <v>Tax - Privately Held Business</v>
          </cell>
        </row>
        <row r="647">
          <cell r="Y647" t="str">
            <v>Sam Camp</v>
          </cell>
          <cell r="AC647" t="str">
            <v>Tax - Privately Held Business</v>
          </cell>
        </row>
        <row r="648">
          <cell r="Y648" t="str">
            <v>Sam Dedrickson</v>
          </cell>
          <cell r="AC648" t="str">
            <v>Tax - Privately Held Business</v>
          </cell>
        </row>
        <row r="649">
          <cell r="Y649" t="str">
            <v>Sam Goedeker</v>
          </cell>
          <cell r="AC649" t="str">
            <v>Tax National Office - SALT</v>
          </cell>
        </row>
        <row r="650">
          <cell r="Y650" t="str">
            <v>Samir Soni</v>
          </cell>
          <cell r="AC650" t="str">
            <v>Tax - Real Estate</v>
          </cell>
        </row>
        <row r="651">
          <cell r="Y651" t="str">
            <v>Samuel Ferdinand</v>
          </cell>
          <cell r="AC651" t="str">
            <v>Tax - Real Estate</v>
          </cell>
        </row>
        <row r="652">
          <cell r="Y652" t="str">
            <v>Sandeep Kasoju</v>
          </cell>
          <cell r="AC652" t="str">
            <v>Tax - Privately Held Business</v>
          </cell>
        </row>
        <row r="653">
          <cell r="Y653" t="str">
            <v>Sandra Ramirez</v>
          </cell>
          <cell r="AC653" t="str">
            <v>Tax - Operations</v>
          </cell>
        </row>
        <row r="654">
          <cell r="Y654" t="str">
            <v>Sandy Peng</v>
          </cell>
          <cell r="AC654" t="str">
            <v>Tax - Corporate</v>
          </cell>
        </row>
        <row r="655">
          <cell r="Y655" t="str">
            <v>Sarah Alexandra</v>
          </cell>
          <cell r="AC655" t="str">
            <v>Tax - Privately Held Business</v>
          </cell>
        </row>
        <row r="656">
          <cell r="Y656" t="str">
            <v>Sarah McFarland</v>
          </cell>
          <cell r="AC656" t="str">
            <v>Tax - Privately Held Business</v>
          </cell>
        </row>
        <row r="657">
          <cell r="Y657" t="str">
            <v>Sarita Gupta</v>
          </cell>
          <cell r="AC657" t="str">
            <v>Tax - Managed Services</v>
          </cell>
        </row>
        <row r="658">
          <cell r="Y658" t="str">
            <v>Saskia Osterwalder</v>
          </cell>
          <cell r="AC658" t="str">
            <v>Tax - Private Client Advisors</v>
          </cell>
        </row>
        <row r="659">
          <cell r="Y659" t="str">
            <v>Saul Levine</v>
          </cell>
          <cell r="AC659" t="str">
            <v>Tax - Real Estate</v>
          </cell>
        </row>
        <row r="660">
          <cell r="Y660" t="str">
            <v>Saurabh Kakkar</v>
          </cell>
          <cell r="AC660" t="str">
            <v>Tax - Privately Held Business</v>
          </cell>
        </row>
        <row r="661">
          <cell r="Y661" t="str">
            <v>Savanna Langston</v>
          </cell>
          <cell r="AC661" t="str">
            <v>Tax - Corporate</v>
          </cell>
        </row>
        <row r="662">
          <cell r="Y662" t="str">
            <v>Scott Bullock</v>
          </cell>
          <cell r="AC662" t="str">
            <v>Tax - Real Estate</v>
          </cell>
        </row>
        <row r="663">
          <cell r="Y663" t="str">
            <v>Scott Wilson</v>
          </cell>
          <cell r="AC663" t="str">
            <v>Tax - Corporate</v>
          </cell>
        </row>
        <row r="664">
          <cell r="Y664" t="str">
            <v>Sean Casey</v>
          </cell>
          <cell r="AC664" t="str">
            <v>Tax - Corporate</v>
          </cell>
        </row>
        <row r="665">
          <cell r="Y665" t="str">
            <v>Sean Faulkner</v>
          </cell>
          <cell r="AC665" t="str">
            <v>Tax National Office - Transfer Pricing</v>
          </cell>
        </row>
        <row r="666">
          <cell r="Y666" t="str">
            <v>Sean Gallagher</v>
          </cell>
          <cell r="AC666" t="str">
            <v>Tax - Real Estate</v>
          </cell>
        </row>
        <row r="667">
          <cell r="Y667" t="str">
            <v>Sean Taylor</v>
          </cell>
          <cell r="AC667" t="str">
            <v>Tax - Corporate</v>
          </cell>
        </row>
        <row r="668">
          <cell r="Y668" t="str">
            <v>Seth Boschert</v>
          </cell>
          <cell r="AC668" t="str">
            <v>Tax - Private Client Advisors</v>
          </cell>
        </row>
        <row r="669">
          <cell r="Y669" t="str">
            <v>Shahrzad Khoshkeifi</v>
          </cell>
          <cell r="AC669" t="str">
            <v>Tax - Private Client Advisors</v>
          </cell>
        </row>
        <row r="670">
          <cell r="Y670" t="str">
            <v>Shaili Sharma</v>
          </cell>
          <cell r="AC670" t="str">
            <v>Tax - Real Estate</v>
          </cell>
        </row>
        <row r="671">
          <cell r="Y671" t="str">
            <v>Shaival Shah</v>
          </cell>
          <cell r="AC671" t="str">
            <v>Tax - Privately Held Business</v>
          </cell>
        </row>
        <row r="672">
          <cell r="Y672" t="str">
            <v>Shane Jussen</v>
          </cell>
          <cell r="AC672" t="str">
            <v>Tax - Operations</v>
          </cell>
        </row>
        <row r="673">
          <cell r="Y673" t="str">
            <v>Shannon Gold</v>
          </cell>
          <cell r="AC673" t="str">
            <v>Tax - Privately Held Business</v>
          </cell>
        </row>
        <row r="674">
          <cell r="Y674" t="str">
            <v>Shannon Soto</v>
          </cell>
          <cell r="AC674" t="str">
            <v>Tax - Privately Held Business</v>
          </cell>
        </row>
        <row r="675">
          <cell r="Y675" t="str">
            <v>Sharvil Sheth</v>
          </cell>
          <cell r="AC675" t="str">
            <v>Tax National Office - SALT</v>
          </cell>
        </row>
        <row r="676">
          <cell r="Y676" t="str">
            <v>Shauna Greene</v>
          </cell>
          <cell r="AC676" t="str">
            <v>Tax - Operations</v>
          </cell>
        </row>
        <row r="677">
          <cell r="Y677" t="str">
            <v>Sherry Adams</v>
          </cell>
          <cell r="AC677" t="str">
            <v>Tax - Operations</v>
          </cell>
        </row>
        <row r="678">
          <cell r="Y678" t="str">
            <v>Shilpa Matthews</v>
          </cell>
          <cell r="AC678" t="str">
            <v>Tax - Private Client Advisors</v>
          </cell>
        </row>
        <row r="679">
          <cell r="Y679" t="str">
            <v>Shirley Ma</v>
          </cell>
          <cell r="AC679" t="str">
            <v>Tax - Privately Held Business</v>
          </cell>
        </row>
        <row r="680">
          <cell r="Y680" t="str">
            <v>Shital Prakash</v>
          </cell>
          <cell r="AC680" t="str">
            <v>Tax - Corporate</v>
          </cell>
        </row>
        <row r="681">
          <cell r="Y681" t="str">
            <v>Shivani Vyas</v>
          </cell>
          <cell r="AC681" t="str">
            <v>Tax - Privately Held Business</v>
          </cell>
        </row>
        <row r="682">
          <cell r="Y682" t="str">
            <v>Shreya Prajapati</v>
          </cell>
          <cell r="AC682" t="str">
            <v>Tax - Privately Held Business</v>
          </cell>
        </row>
        <row r="683">
          <cell r="Y683" t="str">
            <v>Shreyasee Patil</v>
          </cell>
          <cell r="AC683" t="str">
            <v>Tax - Corporate</v>
          </cell>
        </row>
        <row r="684">
          <cell r="Y684" t="str">
            <v>Shruti Basil</v>
          </cell>
          <cell r="AC684" t="str">
            <v>Tax - Corporate</v>
          </cell>
        </row>
        <row r="685">
          <cell r="Y685" t="str">
            <v>Shyam Sunder Acharya</v>
          </cell>
          <cell r="AC685" t="str">
            <v>Tax - Managed Services</v>
          </cell>
        </row>
        <row r="686">
          <cell r="Y686" t="str">
            <v>Siddharth Kakumanu</v>
          </cell>
          <cell r="AC686" t="str">
            <v>Tax - Corporate</v>
          </cell>
        </row>
        <row r="687">
          <cell r="Y687" t="str">
            <v>Simran Malani</v>
          </cell>
          <cell r="AC687" t="str">
            <v>Tax - Privately Held Business</v>
          </cell>
        </row>
        <row r="688">
          <cell r="Y688" t="str">
            <v>Snehamay Chakravarty</v>
          </cell>
          <cell r="AC688" t="str">
            <v>Tax - Privately Held Business</v>
          </cell>
        </row>
        <row r="689">
          <cell r="Y689" t="str">
            <v>Sophia Saavedra</v>
          </cell>
          <cell r="AC689" t="str">
            <v>Tax - Real Estate</v>
          </cell>
        </row>
        <row r="690">
          <cell r="Y690" t="str">
            <v>Sophia Xu</v>
          </cell>
          <cell r="AC690" t="str">
            <v>Tax - Corporate</v>
          </cell>
        </row>
        <row r="691">
          <cell r="Y691" t="str">
            <v>Sri Harsha Malla Reddy</v>
          </cell>
          <cell r="AC691" t="str">
            <v>Tax - Privately Held Business</v>
          </cell>
        </row>
        <row r="692">
          <cell r="Y692" t="str">
            <v>Sridhar Nag Alapati</v>
          </cell>
          <cell r="AC692" t="str">
            <v>Tax - Privately Held Business</v>
          </cell>
        </row>
        <row r="693">
          <cell r="Y693" t="str">
            <v>Srinivas Jenige</v>
          </cell>
          <cell r="AC693" t="str">
            <v>Tax - Real Estate</v>
          </cell>
        </row>
        <row r="694">
          <cell r="Y694" t="str">
            <v>Stephanie Richter</v>
          </cell>
          <cell r="AC694" t="str">
            <v>Tax - Not For Profit</v>
          </cell>
        </row>
        <row r="695">
          <cell r="Y695" t="str">
            <v>Stephanie Shorkley</v>
          </cell>
          <cell r="AC695" t="str">
            <v>Tax National Office - SALT</v>
          </cell>
        </row>
        <row r="696">
          <cell r="Y696" t="str">
            <v>Stephen Amodio</v>
          </cell>
          <cell r="AC696" t="str">
            <v>Tax - Private Equity</v>
          </cell>
        </row>
        <row r="697">
          <cell r="Y697" t="str">
            <v>Stephen Braun</v>
          </cell>
          <cell r="AC697" t="str">
            <v>Tax - Private Client Advisors</v>
          </cell>
        </row>
        <row r="698">
          <cell r="Y698" t="str">
            <v>Stephen Brown</v>
          </cell>
          <cell r="AC698" t="str">
            <v>Tax - Privately Held Business</v>
          </cell>
        </row>
        <row r="699">
          <cell r="Y699" t="str">
            <v>Steve Chapman</v>
          </cell>
          <cell r="AC699" t="str">
            <v>Tax - Private Equity</v>
          </cell>
        </row>
        <row r="700">
          <cell r="Y700" t="str">
            <v>Steve Herscher</v>
          </cell>
          <cell r="AC700" t="str">
            <v>Tax - Real Estate</v>
          </cell>
        </row>
        <row r="701">
          <cell r="Y701" t="str">
            <v>Steve Kralik</v>
          </cell>
          <cell r="AC701" t="str">
            <v>Tax National Office - SALT</v>
          </cell>
        </row>
        <row r="702">
          <cell r="Y702" t="str">
            <v>Sujith P Raju</v>
          </cell>
          <cell r="AC702" t="str">
            <v>Tax - Real Estate</v>
          </cell>
        </row>
        <row r="703">
          <cell r="Y703" t="str">
            <v>Suman Mistry</v>
          </cell>
          <cell r="AC703" t="str">
            <v>Tax National Office - SALT</v>
          </cell>
        </row>
        <row r="704">
          <cell r="Y704" t="str">
            <v>Surbhi Bordia</v>
          </cell>
          <cell r="AC704" t="e">
            <v>#N/A</v>
          </cell>
        </row>
        <row r="705">
          <cell r="Y705" t="str">
            <v>Susan Castillo</v>
          </cell>
          <cell r="AC705" t="str">
            <v>Tax - Not For Profit</v>
          </cell>
        </row>
        <row r="706">
          <cell r="Y706" t="str">
            <v>Tabatha McCord</v>
          </cell>
          <cell r="AC706" t="str">
            <v>Tax - Privately Held Business</v>
          </cell>
        </row>
        <row r="707">
          <cell r="Y707" t="str">
            <v>Tala Vicknair</v>
          </cell>
          <cell r="AC707" t="str">
            <v>Tax - Not For Profit</v>
          </cell>
        </row>
        <row r="708">
          <cell r="Y708" t="str">
            <v>Talita Rouvier</v>
          </cell>
          <cell r="AC708" t="str">
            <v>Tax - Private Equity</v>
          </cell>
        </row>
        <row r="709">
          <cell r="Y709" t="str">
            <v>Tara Dunphy</v>
          </cell>
          <cell r="AC709" t="str">
            <v>Tax - Real Estate</v>
          </cell>
        </row>
        <row r="710">
          <cell r="Y710" t="str">
            <v>Tara Williams</v>
          </cell>
          <cell r="AC710" t="str">
            <v>Tax - Privately Held Business</v>
          </cell>
        </row>
        <row r="711">
          <cell r="Y711" t="str">
            <v>Taylor Tracz</v>
          </cell>
          <cell r="AC711" t="str">
            <v>Tax - Private Client Advisors</v>
          </cell>
        </row>
        <row r="712">
          <cell r="Y712" t="str">
            <v>Teresa Terranova</v>
          </cell>
          <cell r="AC712" t="str">
            <v>Tax - Operations</v>
          </cell>
        </row>
        <row r="713">
          <cell r="Y713" t="str">
            <v>Terri Rasmussen</v>
          </cell>
          <cell r="AC713" t="str">
            <v>Tax - Operations</v>
          </cell>
        </row>
        <row r="714">
          <cell r="Y714" t="str">
            <v>Thomas Helgeland</v>
          </cell>
          <cell r="AC714" t="str">
            <v>Tax - Privately Held Business</v>
          </cell>
        </row>
        <row r="715">
          <cell r="Y715" t="str">
            <v>Thomas La</v>
          </cell>
          <cell r="AC715" t="str">
            <v>Tax - Privately Held Business</v>
          </cell>
        </row>
        <row r="716">
          <cell r="Y716" t="str">
            <v>Tiffany Nunnally</v>
          </cell>
          <cell r="AC716" t="str">
            <v>Tax National Office - SALT</v>
          </cell>
        </row>
        <row r="717">
          <cell r="Y717" t="str">
            <v>Tiffany O'Halleran</v>
          </cell>
          <cell r="AC717" t="str">
            <v>Tax National Office - R&amp;D Credits</v>
          </cell>
        </row>
        <row r="718">
          <cell r="Y718" t="str">
            <v>Tim Vacchi</v>
          </cell>
          <cell r="AC718" t="str">
            <v>Tax - Real Estate</v>
          </cell>
        </row>
        <row r="719">
          <cell r="Y719" t="str">
            <v>Tim Webb</v>
          </cell>
          <cell r="AC719" t="str">
            <v>Tax - Private Client Advisors</v>
          </cell>
        </row>
        <row r="720">
          <cell r="Y720" t="str">
            <v>Tina Lee</v>
          </cell>
          <cell r="AC720" t="str">
            <v>Tax - Not For Profit</v>
          </cell>
        </row>
        <row r="721">
          <cell r="Y721" t="str">
            <v>Tina Scott</v>
          </cell>
          <cell r="AC721" t="str">
            <v>Tax - Operations</v>
          </cell>
        </row>
        <row r="722">
          <cell r="Y722" t="str">
            <v>TJ Johnson</v>
          </cell>
          <cell r="AC722" t="str">
            <v>Tax - Privately Held Business</v>
          </cell>
        </row>
        <row r="723">
          <cell r="Y723" t="str">
            <v>Todd Northrup</v>
          </cell>
          <cell r="AC723" t="str">
            <v>Tax - Corporate</v>
          </cell>
        </row>
        <row r="724">
          <cell r="Y724" t="str">
            <v>Todd Reich</v>
          </cell>
          <cell r="AC724" t="str">
            <v>Tax - Privately Held Business</v>
          </cell>
        </row>
        <row r="725">
          <cell r="Y725" t="str">
            <v>Tom Fagan</v>
          </cell>
          <cell r="AC725" t="str">
            <v>Tax National Office - SALT</v>
          </cell>
        </row>
        <row r="726">
          <cell r="Y726" t="str">
            <v>Tom Pyevich</v>
          </cell>
          <cell r="AC726" t="str">
            <v>Tax National Office - R&amp;D Credits</v>
          </cell>
        </row>
        <row r="727">
          <cell r="Y727" t="str">
            <v>Tommy McCollister</v>
          </cell>
          <cell r="AC727" t="str">
            <v>Tax National Office - Comp &amp; Benefits</v>
          </cell>
        </row>
        <row r="728">
          <cell r="Y728" t="str">
            <v>Tommy Nguyen</v>
          </cell>
          <cell r="AC728" t="str">
            <v>Tax - Real Estate</v>
          </cell>
        </row>
        <row r="729">
          <cell r="Y729" t="str">
            <v>Tony Baldacci</v>
          </cell>
          <cell r="AC729" t="str">
            <v>Tax - Corporate</v>
          </cell>
        </row>
        <row r="730">
          <cell r="Y730" t="str">
            <v>Tony Lam</v>
          </cell>
          <cell r="AC730" t="str">
            <v>Tax - Privately Held Business</v>
          </cell>
        </row>
        <row r="731">
          <cell r="Y731" t="str">
            <v>Tracy Adams</v>
          </cell>
          <cell r="AC731" t="str">
            <v>Tax National Office - SALT</v>
          </cell>
        </row>
        <row r="732">
          <cell r="Y732" t="str">
            <v>Trang Phan</v>
          </cell>
          <cell r="AC732" t="str">
            <v>Tax - Not For Profit</v>
          </cell>
        </row>
        <row r="733">
          <cell r="Y733" t="str">
            <v>Trisha Manzanal</v>
          </cell>
          <cell r="AC733" t="str">
            <v>Tax - Corporate</v>
          </cell>
        </row>
        <row r="734">
          <cell r="Y734" t="str">
            <v>Tyler Bradley</v>
          </cell>
          <cell r="AC734" t="str">
            <v>Tax - Real Estate</v>
          </cell>
        </row>
        <row r="735">
          <cell r="Y735" t="str">
            <v>Tyler Hodson</v>
          </cell>
          <cell r="AC735" t="str">
            <v>Tax - Operations</v>
          </cell>
        </row>
        <row r="736">
          <cell r="Y736" t="str">
            <v>Tyler Mueller</v>
          </cell>
          <cell r="AC736" t="str">
            <v>Tax - Privately Held Business</v>
          </cell>
        </row>
        <row r="737">
          <cell r="Y737" t="str">
            <v>Uday Cheedella</v>
          </cell>
          <cell r="AC737" t="str">
            <v>Tax - Real Estate</v>
          </cell>
        </row>
        <row r="738">
          <cell r="Y738" t="str">
            <v>Vanessa Quintana</v>
          </cell>
          <cell r="AC738" t="str">
            <v>Tax - Not For Profit</v>
          </cell>
        </row>
        <row r="739">
          <cell r="Y739" t="str">
            <v>Venus Marchan</v>
          </cell>
          <cell r="AC739" t="str">
            <v>Tax - Operations</v>
          </cell>
        </row>
        <row r="740">
          <cell r="Y740" t="str">
            <v>Vickash Prasad</v>
          </cell>
          <cell r="AC740" t="str">
            <v>Tax - Real Estate</v>
          </cell>
        </row>
        <row r="741">
          <cell r="Y741" t="str">
            <v>Victoria Huynh</v>
          </cell>
          <cell r="AC741" t="str">
            <v>Tax National Office - International</v>
          </cell>
        </row>
        <row r="742">
          <cell r="Y742" t="str">
            <v>Victoria Pham</v>
          </cell>
          <cell r="AC742" t="str">
            <v>Tax - Private Client Advisors</v>
          </cell>
        </row>
        <row r="743">
          <cell r="Y743" t="str">
            <v>Victoria Sandovsky</v>
          </cell>
          <cell r="AC743" t="str">
            <v>Tax - Privately Held Business</v>
          </cell>
        </row>
        <row r="744">
          <cell r="Y744" t="str">
            <v>Vikram Sharma</v>
          </cell>
          <cell r="AC744" t="e">
            <v>#N/A</v>
          </cell>
        </row>
        <row r="745">
          <cell r="Y745" t="str">
            <v>Vipul Goel</v>
          </cell>
          <cell r="AC745" t="str">
            <v>Tax National Office - Transfer Pricing</v>
          </cell>
        </row>
        <row r="746">
          <cell r="Y746" t="str">
            <v>Virgilio Pedrena</v>
          </cell>
          <cell r="AC746" t="str">
            <v>Tax - Operations</v>
          </cell>
        </row>
        <row r="747">
          <cell r="Y747" t="str">
            <v>Vivian Zhang</v>
          </cell>
          <cell r="AC747" t="str">
            <v>Tax - Not For Profit</v>
          </cell>
        </row>
        <row r="748">
          <cell r="Y748" t="str">
            <v>Walter Mendoza</v>
          </cell>
          <cell r="AC748" t="str">
            <v>Tax - Corporate</v>
          </cell>
        </row>
        <row r="749">
          <cell r="Y749" t="str">
            <v>Wendy Ambriz</v>
          </cell>
          <cell r="AC749" t="str">
            <v>Tax - Privately Held Business</v>
          </cell>
        </row>
        <row r="750">
          <cell r="Y750" t="str">
            <v>Wil Mitchell</v>
          </cell>
          <cell r="AC750" t="str">
            <v>Tax - Private Equity</v>
          </cell>
        </row>
        <row r="751">
          <cell r="Y751" t="str">
            <v>Wiliadewi Huandra</v>
          </cell>
          <cell r="AC751" t="str">
            <v>Tax - Privately Held Business</v>
          </cell>
        </row>
        <row r="752">
          <cell r="Y752" t="str">
            <v>William Romanelli</v>
          </cell>
          <cell r="AC752" t="str">
            <v>Tax - Private Client Advisors</v>
          </cell>
        </row>
        <row r="753">
          <cell r="Y753" t="str">
            <v>William Travis</v>
          </cell>
          <cell r="AC753" t="str">
            <v>Tax - Private Client Advisors</v>
          </cell>
        </row>
        <row r="754">
          <cell r="Y754" t="str">
            <v>Xavier Crane</v>
          </cell>
          <cell r="AC754" t="str">
            <v>Tax - Privately Held Business</v>
          </cell>
        </row>
        <row r="755">
          <cell r="Y755" t="str">
            <v>Xi Zhang</v>
          </cell>
          <cell r="AC755" t="str">
            <v>Tax - Privately Held Business</v>
          </cell>
        </row>
        <row r="756">
          <cell r="Y756" t="str">
            <v>Xinyi Zhang</v>
          </cell>
          <cell r="AC756" t="str">
            <v>Tax - Privately Held Business</v>
          </cell>
        </row>
        <row r="757">
          <cell r="Y757" t="str">
            <v>Yahya Naqvi</v>
          </cell>
          <cell r="AC757" t="str">
            <v>Tax - Operations</v>
          </cell>
        </row>
        <row r="758">
          <cell r="Y758" t="str">
            <v>Yan Shen</v>
          </cell>
          <cell r="AC758" t="str">
            <v>Tax - Privately Held Business</v>
          </cell>
        </row>
        <row r="759">
          <cell r="Y759" t="str">
            <v>Yana Sipava</v>
          </cell>
          <cell r="AC759" t="str">
            <v>Tax - Corporate</v>
          </cell>
        </row>
        <row r="760">
          <cell r="Y760" t="str">
            <v>Yash Barot</v>
          </cell>
          <cell r="AC760" t="str">
            <v>Tax - Private Client Advisors</v>
          </cell>
        </row>
        <row r="761">
          <cell r="Y761" t="str">
            <v>Yashraj Parmar</v>
          </cell>
          <cell r="AC761" t="str">
            <v>Tax - Privately Held Business</v>
          </cell>
        </row>
        <row r="762">
          <cell r="Y762" t="str">
            <v>Yaxin Chen</v>
          </cell>
          <cell r="AC762" t="str">
            <v>Tax - Private Client Advisors</v>
          </cell>
        </row>
        <row r="763">
          <cell r="Y763" t="str">
            <v>Yelitza Baeza</v>
          </cell>
          <cell r="AC763" t="str">
            <v>Tax - Private Client Advisors</v>
          </cell>
        </row>
        <row r="764">
          <cell r="Y764" t="str">
            <v>Yesenia Brioso</v>
          </cell>
          <cell r="AC764" t="str">
            <v>Tax - Private Client Advisors</v>
          </cell>
        </row>
        <row r="765">
          <cell r="Y765" t="str">
            <v>Yeshwanth Rao Monari</v>
          </cell>
          <cell r="AC765" t="str">
            <v>Tax - Privately Held Business</v>
          </cell>
        </row>
        <row r="766">
          <cell r="Y766" t="str">
            <v>Ying Xie</v>
          </cell>
          <cell r="AC766" t="str">
            <v>Tax - Real Estate</v>
          </cell>
        </row>
        <row r="767">
          <cell r="Y767" t="str">
            <v>Yocheved Cohen</v>
          </cell>
          <cell r="AC767" t="str">
            <v>Tax - Privately Held Business</v>
          </cell>
        </row>
        <row r="768">
          <cell r="Y768" t="str">
            <v>Yogesh Choudhury</v>
          </cell>
          <cell r="AC768" t="str">
            <v>Tax - Private Client Advisors</v>
          </cell>
        </row>
        <row r="769">
          <cell r="Y769" t="str">
            <v>Yoni Fix</v>
          </cell>
          <cell r="AC769" t="str">
            <v>Tax National Office - SALT</v>
          </cell>
        </row>
        <row r="770">
          <cell r="Y770" t="str">
            <v>Yukako Hashimoto</v>
          </cell>
          <cell r="AC770" t="str">
            <v>Tax National Office - International</v>
          </cell>
        </row>
        <row r="771">
          <cell r="Y771" t="str">
            <v>Yunna Weinzerl</v>
          </cell>
          <cell r="AC771" t="str">
            <v>Tax - Real Estate</v>
          </cell>
        </row>
        <row r="772">
          <cell r="Y772" t="str">
            <v>Yvette Morehead</v>
          </cell>
          <cell r="AC772" t="str">
            <v>Tax - Private Client Advisors</v>
          </cell>
        </row>
        <row r="773">
          <cell r="Y773" t="str">
            <v>Zar Ter-Nkalyan</v>
          </cell>
          <cell r="AC773" t="str">
            <v>Tax - Real Estate</v>
          </cell>
        </row>
        <row r="774">
          <cell r="Y774" t="str">
            <v>Zhi Tan</v>
          </cell>
          <cell r="AC774" t="str">
            <v>Tax - Privately Held Business</v>
          </cell>
        </row>
        <row r="775">
          <cell r="Y775" t="str">
            <v>Zindy Monet</v>
          </cell>
          <cell r="AC775" t="str">
            <v>Tax - Operations</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D50370-93E2-3849-9058-F42207457542}" name="Table17" displayName="Table17" ref="B11:CP200" totalsRowShown="0" headerRowDxfId="97" dataDxfId="96" headerRowBorderDxfId="94" tableBorderDxfId="95" totalsRowBorderDxfId="93">
  <tableColumns count="93">
    <tableColumn id="1" xr3:uid="{52147932-70C2-2446-8C6B-CE1C5BE3D69D}" name="Opportunity Name (From CRM)" dataDxfId="92"/>
    <tableColumn id="7" xr3:uid="{B09C3B34-76E5-454B-8BE6-A9592EE5DA34}" name="Primary Contact Name" dataDxfId="91" dataCellStyle="Normal 5"/>
    <tableColumn id="34" xr3:uid="{A3DEAF70-65FC-1A44-A233-9F996AD630DD}" name="Primary Contact Title" dataDxfId="90" dataCellStyle="Normal 5"/>
    <tableColumn id="35" xr3:uid="{F8222D68-F20A-6046-ABB1-09BA424B88E5}" name="Primary Contact Email Address" dataDxfId="89" dataCellStyle="Normal 5"/>
    <tableColumn id="48" xr3:uid="{0D8B94BA-AA7C-1644-90A7-FA5DC0C24996}" name="Industry" dataDxfId="88" dataCellStyle="Normal 5"/>
    <tableColumn id="65" xr3:uid="{73D19BB6-9B1C-5548-BCE7-4B2794E41112}" name="Entity Type" dataDxfId="87" dataCellStyle="Normal 5"/>
    <tableColumn id="66" xr3:uid="{EF6DAF50-F43E-DA41-A6C6-D92FA8F3C13E}" name="Address" dataDxfId="86" dataCellStyle="Normal 5"/>
    <tableColumn id="59" xr3:uid="{79B361DB-4D0F-AD4C-BA0D-26127C92A672}" name="City" dataDxfId="85" dataCellStyle="Normal 5"/>
    <tableColumn id="62" xr3:uid="{616A4D25-D204-8840-811E-961AAB5A03F4}" name="State" dataDxfId="84" dataCellStyle="Normal 5"/>
    <tableColumn id="67" xr3:uid="{30DC7755-13FE-4A48-A2F2-C815B9A56719}" name="Zip Code" dataDxfId="83" dataCellStyle="Normal 5"/>
    <tableColumn id="63" xr3:uid="{BBBAA1FD-76B0-094F-9292-9CAC020AFEDE}" name="Service Type" dataDxfId="82" dataCellStyle="Normal 5"/>
    <tableColumn id="64" xr3:uid="{1BD56FEA-A3AE-8D4A-8683-48E83DCB047D}" name="PDL Cost Center" dataDxfId="81" dataCellStyle="Normal 5"/>
    <tableColumn id="18" xr3:uid="{B3CB254D-62A5-D741-9B6B-70FE034421A9}" name="Est. Oppty Value" dataDxfId="80" dataCellStyle="Normal 5"/>
    <tableColumn id="19" xr3:uid="{C2615CFD-D487-A243-AC85-1B25BA635D5B}" name="Opportunity Partner" dataDxfId="79" dataCellStyle="Normal 5"/>
    <tableColumn id="21" xr3:uid="{812BAA65-1D12-A14B-A303-268D3015F11C}" name="Tax Delivery Partner" dataDxfId="78" dataCellStyle="Normal 5"/>
    <tableColumn id="23" xr3:uid="{787D5E22-29A9-E948-B45D-5F6841F2FFFF}" name="BD/Sales Support" dataDxfId="77" dataCellStyle="Normal 5"/>
    <tableColumn id="26" xr3:uid="{035ADB64-0E34-264D-9317-4C90AF58E90A}" name="Lead Source" dataDxfId="76" dataCellStyle="Normal 5"/>
    <tableColumn id="27" xr3:uid="{ADA0F98B-0B39-FA4F-937F-2835BAD4E45C}" name="Lead Source Details" dataDxfId="75" dataCellStyle="Normal 5"/>
    <tableColumn id="29" xr3:uid="{DAEEDF05-D1D3-8B4B-AE1B-716D4C1575E3}" name="LS Free Text" dataDxfId="74" dataCellStyle="Normal 5"/>
    <tableColumn id="33" xr3:uid="{420BAC75-4780-8843-872F-E3D8C8893EF6}" name="Referring Employee" dataDxfId="73" dataCellStyle="Normal 5"/>
    <tableColumn id="14" xr3:uid="{767930F5-DF26-3B44-A547-13CAEDF07299}" name="Need a Project in Workday to charge time?" dataDxfId="72"/>
    <tableColumn id="17" xr3:uid="{B903BC34-66D1-E049-A56D-0F60A69072D1}" name="Customer Collections Lead (CCL)" dataDxfId="71" dataCellStyle="Normal 5"/>
    <tableColumn id="55" xr3:uid="{C310C7B9-542F-A54D-A1CE-D62EBF4D5964}" name="Project Delivery Lead" dataDxfId="70"/>
    <tableColumn id="53" xr3:uid="{B9BA5E4B-E4CA-E142-98BB-91C62668DDDE}" name="Project Manager" dataDxfId="69"/>
    <tableColumn id="52" xr3:uid="{D08A602A-C6F3-5D4E-9672-4489C9512C4A}" name="Asst. Project Manager" dataDxfId="68"/>
    <tableColumn id="49" xr3:uid="{26508447-CAA8-8A4E-A80B-39E52F734546}" name="Project Billing Specialist" dataDxfId="67"/>
    <tableColumn id="5" xr3:uid="{C92654AA-0143-D040-AEE6-05E1D86FBC6F}" name="Project Hierarchy_x000a_(PDL Cost Center)" dataDxfId="66" dataCellStyle="Comma">
      <calculatedColumnFormula>_xlfn.XLOOKUP(Table17[[#This Row],[Project Delivery Lead]],[1]List!Y:Y,[1]List!AC:AC)</calculatedColumnFormula>
    </tableColumn>
    <tableColumn id="28" xr3:uid="{9C74BE4F-324B-0347-8FF1-63D94BFF9A2D}" name="Service Type2" dataDxfId="65">
      <calculatedColumnFormula>IF($A12="","",'[1]Core Assumptions'!$D32)</calculatedColumnFormula>
    </tableColumn>
    <tableColumn id="45" xr3:uid="{62E5A5D1-54E1-6C44-838E-DC03BE6B2B8C}" name="Project Year/Month" dataDxfId="64"/>
    <tableColumn id="47" xr3:uid="{316BE3C8-008B-BA43-830E-D183FCA738DE}" name="Renewable Project?" dataDxfId="63"/>
    <tableColumn id="12" xr3:uid="{68275A36-CD36-1747-8C40-7F97DE12A7B5}" name="Project Start Date" dataDxfId="62" dataCellStyle="Normal 5"/>
    <tableColumn id="51" xr3:uid="{392F0462-9636-8A4B-86C0-03E08F033F93}" name="Project End Date" dataDxfId="61" dataCellStyle="Normal 5"/>
    <tableColumn id="46" xr3:uid="{AE5F96D0-5BCA-284E-8F00-90966D40F67A}" name="Tax Form" dataDxfId="60"/>
    <tableColumn id="37" xr3:uid="{2C2A683A-C416-1C43-99C3-D227D7E00D47}" name="Next Due Date" dataDxfId="59"/>
    <tableColumn id="60" xr3:uid="{3A3EED2F-9629-8340-A063-14B323229A6A}" name="Date of Death" dataDxfId="58"/>
    <tableColumn id="39" xr3:uid="{036764B5-96CD-F943-84E0-1819DFCD47FD}" name="Contract Type" dataDxfId="57">
      <calculatedColumnFormula>IF($A12="","",IF('[1]Pricing Summary'!$B$31="T&amp;M","Time and Material","Fixed Fee"))</calculatedColumnFormula>
    </tableColumn>
    <tableColumn id="2" xr3:uid="{9FD119DB-7BB5-384B-9B13-22B20E7B11D2}" name="Project Name Extension" dataDxfId="56"/>
    <tableColumn id="20" xr3:uid="{EEB27A47-8FA8-E542-8874-28BBCFC9948A}" name="Total Estimated Hours" dataDxfId="55">
      <calculatedColumnFormula>IF($A12="","",'[1]Outputs Recap'!$Z71)</calculatedColumnFormula>
    </tableColumn>
    <tableColumn id="6" xr3:uid="{6D2229E5-6B9D-C648-B75B-64F4E8D07F07}" name="Expected Gross Margin_x000a_(Client Group)" dataDxfId="54">
      <calculatedColumnFormula>IF($A12="","",'[1]Outputs Recap'!$C$12)</calculatedColumnFormula>
    </tableColumn>
    <tableColumn id="24" xr3:uid="{23176220-C748-0D41-9236-775E6D057F18}" name="Estimated Realization at Standard Bill Rates_x000a_Year 1" dataDxfId="53">
      <calculatedColumnFormula>IF($A12="","",VLOOKUP('[1]Outputs Recap'!$C$11,[1]List!$I:$J,2,FALSE))</calculatedColumnFormula>
    </tableColumn>
    <tableColumn id="41" xr3:uid="{34A94D00-B4E8-824F-993F-6F0865A78537}" name="Contract Rate Sheet % of Standard" dataDxfId="52" dataCellStyle="Normal 5">
      <calculatedColumnFormula array="1">IF($A12="","",_xlfn.IFS('[1]Pricing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calculatedColumnFormula>
    </tableColumn>
    <tableColumn id="3" xr3:uid="{09A4CEE4-1CC2-D148-9880-2FB9D1BEF339}" name="OOS Task_x000a_ % of Standard Bill Rates" dataDxfId="51">
      <calculatedColumnFormula>IF($A12="","",_xlfn.XLOOKUP('[1]Core Assumptions'!$D$20,'[1]Other Lookups'!$AH:$AH,'[1]Other Lookups'!$AI:$AI))</calculatedColumnFormula>
    </tableColumn>
    <tableColumn id="16" xr3:uid="{188BC723-CCC5-D14F-BBE3-47D5FD10226C}" name="Total Contract Amount" dataDxfId="50">
      <calculatedColumnFormula>IF($A12="","",'[1]Outputs Recap'!$AE71)</calculatedColumnFormula>
    </tableColumn>
    <tableColumn id="54" xr3:uid="{948FD699-E2AA-464D-AAB7-06FEE460346C}" name="Admin Fee %" dataDxfId="49" dataCellStyle="Percent">
      <calculatedColumnFormula>IF($A12="","",'[1]Outputs Recap'!$C$13)</calculatedColumnFormula>
    </tableColumn>
    <tableColumn id="38" xr3:uid="{7BE1E805-4ED2-2844-B6F0-BA3E6F9B7430}" name="Admin fee included or excluded in Total Contract Amount?" dataDxfId="48"/>
    <tableColumn id="31" xr3:uid="{44475EF0-46C3-3843-92D7-1CB4745E20BB}" name="First-year, one-time Onboarding/Setup Fee %" dataDxfId="47"/>
    <tableColumn id="32" xr3:uid="{9E77D2AA-4F81-7C44-9DCB-32A815F99CAE}" name="First-year, one-time Onboarding/Setup Fee Amount" dataDxfId="46">
      <calculatedColumnFormula>IF($A12="","",IFERROR(+Table17[[#This Row],[Total Contract Amount]]*Table17[[#This Row],[First-year, one-time Onboarding/Setup Fee %]],0))</calculatedColumnFormula>
    </tableColumn>
    <tableColumn id="44" xr3:uid="{90689C43-C528-AC41-AC8D-359974DBC6B7}" name="Suggested or Existing Workday (Parent) Name " dataDxfId="45"/>
    <tableColumn id="57" xr3:uid="{7A23116E-8B52-CD4D-881B-0475DBA39B19}" name="Connected to Private Equity?" dataDxfId="44"/>
    <tableColumn id="56" xr3:uid="{829D04FB-0C6F-8344-9A63-8130749179C6}" name="Name of related PE Fund/Customer" dataDxfId="43"/>
    <tableColumn id="50" xr3:uid="{0425DE96-6452-8340-AEEA-8077BA59D73B}" name="Invoice Type" dataDxfId="42"/>
    <tableColumn id="58" xr3:uid="{434521B1-60D8-084C-B600-EAFCFAE33593}" name="Bill-To Customer Name_x000a_(Consolidated Billing Only)" dataDxfId="41"/>
    <tableColumn id="22" xr3:uid="{82A5E2AE-EFD1-6247-8F44-FB6C01A78238}" name="For New Enity to Group_x000a_Name of Existing Bill Schedule_x000a_(Consolidated Billing Only)_x000a_" dataDxfId="40"/>
    <tableColumn id="9" xr3:uid="{6309C359-3B2D-6D40-8966-AEA4870095D7}" name="Prepaid (Y/N)" dataDxfId="39"/>
    <tableColumn id="10" xr3:uid="{4CDE5EAF-2B7A-7540-9208-250DF0AA44F1}" name="If Prepaid = Yes_x000a_Shared or Project Level" dataDxfId="38"/>
    <tableColumn id="8" xr3:uid="{9E718DFF-3C20-CD4A-BF38-64E4E99F2D78}" name="Billing Terms (50/50, etc)" dataDxfId="37"/>
    <tableColumn id="15" xr3:uid="{6CF9E809-BBA9-BF46-BC54-298FE1D3ABA4}" name="Installment Amounts" dataDxfId="36"/>
    <tableColumn id="11" xr3:uid="{08D43B11-719F-834F-8213-354AEC3A88E8}" name="Specific Installment Dates_x000a_ (cannot be upon completion)" dataDxfId="35"/>
    <tableColumn id="4" xr3:uid="{9A88837F-CCB1-0545-AA95-0227FF43358A}" name="Additional_x000a_EL Instructions" dataDxfId="34"/>
    <tableColumn id="43" xr3:uid="{FA207741-189C-9847-B7C5-AB0953F67FF1}" name="Add'l Customer Contact(s)_x000a_" dataDxfId="33"/>
    <tableColumn id="40" xr3:uid="{DD94488F-1C91-7C45-A9FC-2EF061D2426C}" name="Add'l Customer Contact Email Address(es)" dataDxfId="32"/>
    <tableColumn id="13" xr3:uid="{5F18C4D6-8A7F-EF49-A8A9-C4C909DFFFA9}" name="Invoice Recipient Name(s)_x000a_First &amp; Last" dataDxfId="31"/>
    <tableColumn id="25" xr3:uid="{E94F1F7F-C63A-BB4B-88BE-93C3BA08BEC6}" name="Invoice Recipient Email Address(es)" dataDxfId="30"/>
    <tableColumn id="61" xr3:uid="{40D54258-200B-1040-BCE5-6D2AEC666EB6}" name="Partner signing EL" dataDxfId="29"/>
    <tableColumn id="36" xr3:uid="{6C3C9A7B-FF5D-C54E-B7DA-592E6FE679CA}" name="If Consulting, description of Consulting Services" dataDxfId="28"/>
    <tableColumn id="42" xr3:uid="{A3A03033-01A0-7D4A-B6A3-9894F4DC694C}" name="EL Signed?" dataDxfId="27"/>
    <tableColumn id="30" xr3:uid="{D91EDADA-6F6A-664B-A7A6-72B50F05F768}" name="7216 Authorized?" dataDxfId="26"/>
    <tableColumn id="68" xr3:uid="{AE32099D-7969-D94F-9560-C647723EAC66}" name="Document Delivery" dataDxfId="25" dataCellStyle="Normal 5"/>
    <tableColumn id="69" xr3:uid="{BE02C3E8-7B49-5A47-B686-CC1E13DA1ED2}" name="Invoice Memo" dataDxfId="24" dataCellStyle="Normal 5"/>
    <tableColumn id="70" xr3:uid="{633AF60F-98E9-504D-9BE2-C83ABD08FB0C}" name="Bill-To Contact" dataDxfId="23" dataCellStyle="Normal 5"/>
    <tableColumn id="71" xr3:uid="{FA094394-B1B3-8745-B632-AFD2CE92E450}" name="Month 1" dataDxfId="22" dataCellStyle="Currency"/>
    <tableColumn id="72" xr3:uid="{B992FE37-79E1-0A48-BF11-26E091782083}" name="Month 2" dataDxfId="21" dataCellStyle="Currency"/>
    <tableColumn id="73" xr3:uid="{27853BA0-4961-1249-A053-8350574CAFC5}" name="Month 3" dataDxfId="20" dataCellStyle="Currency"/>
    <tableColumn id="74" xr3:uid="{B8C25097-6E31-EC42-AFDB-64FED4D74CC2}" name="Month 4" dataDxfId="19" dataCellStyle="Currency"/>
    <tableColumn id="75" xr3:uid="{C039FCAA-3025-4A4A-8397-79900B57A15F}" name="Month 5" dataDxfId="18" dataCellStyle="Currency"/>
    <tableColumn id="76" xr3:uid="{9954924B-E400-FB41-898C-CE3C99FBFE5F}" name="Month 6" dataDxfId="17" dataCellStyle="Currency"/>
    <tableColumn id="77" xr3:uid="{8FFBDA89-31F0-654D-AF23-3314C2EA1216}" name="Month 7" dataDxfId="16" dataCellStyle="Currency"/>
    <tableColumn id="78" xr3:uid="{B7BDAAEB-648F-824E-9430-12CAAFD0D157}" name="Month 8" dataDxfId="15" dataCellStyle="Currency"/>
    <tableColumn id="79" xr3:uid="{39088A7D-3942-AA45-B46C-8B84ADE79FDD}" name="Month 9" dataDxfId="14" dataCellStyle="Currency"/>
    <tableColumn id="80" xr3:uid="{3E4A1E07-6D4C-C14D-986C-570AA653CDB5}" name="Month 10" dataDxfId="13" dataCellStyle="Currency"/>
    <tableColumn id="81" xr3:uid="{473286AE-99B3-6146-9554-49EDB9A9F9B8}" name="Month 11" dataDxfId="12" dataCellStyle="Currency"/>
    <tableColumn id="82" xr3:uid="{D1DEFBC3-4200-0349-BB73-9429F1AD5B96}" name="Month 12" dataDxfId="11" dataCellStyle="Currency"/>
    <tableColumn id="83" xr3:uid="{DA3033CC-C1A0-2646-A13C-56E08A3D06CB}" name="Balance" dataDxfId="10" dataCellStyle="Currency">
      <calculatedColumnFormula>IF($A12="","",IF(#REF!&lt;&gt;0,#REF!-SUM(BT12:CE12),""))</calculatedColumnFormula>
    </tableColumn>
    <tableColumn id="84" xr3:uid="{87DE9B71-2BC2-D946-908D-BC92B8ED05AA}" name="Workday Company" dataDxfId="9">
      <calculatedColumnFormula>IF(ISBLANK($X12)=FALSE,"Armanino Advisory LLC","")</calculatedColumnFormula>
    </tableColumn>
    <tableColumn id="85" xr3:uid="{B1923DEA-B90F-FA47-AC8D-15FAEB4970C0}" name="Project Hierarchy" dataDxfId="8">
      <calculatedColumnFormula>_xlfn.IFNA(INDEX([1]List!AC:AC,MATCH(X12,[1]List!Y:Y,0)),"")</calculatedColumnFormula>
    </tableColumn>
    <tableColumn id="86" xr3:uid="{A3B6B8CD-A24A-A940-962E-590688A50815}" name="Project Template" dataDxfId="7"/>
    <tableColumn id="87" xr3:uid="{E634A944-8BF8-164F-BFBC-560CF6CC6ABB}" name="XCM Sync" dataDxfId="6"/>
    <tableColumn id="88" xr3:uid="{B247E60B-028F-8049-BB81-D1F4F1EA81F1}" name="Work Month" dataDxfId="5"/>
    <tableColumn id="89" xr3:uid="{A0422AD3-F670-E34A-9076-621A82552271}" name="Work Year" dataDxfId="4"/>
    <tableColumn id="90" xr3:uid="{EA0B8B53-927D-A042-94E1-F27D7A9B77A5}" name="Request Project Name" dataDxfId="3"/>
    <tableColumn id="91" xr3:uid="{E015917E-E303-2F45-AA0A-48DF94BF7BF7}" name="Account GUID" dataDxfId="2" dataCellStyle="Normal 5"/>
    <tableColumn id="92" xr3:uid="{FC7842CA-F257-E542-AD7A-83B7CDCF294F}" name="Opportunity GUID" dataDxfId="1" dataCellStyle="Normal 5"/>
    <tableColumn id="93" xr3:uid="{149C38FB-9B83-C743-9A25-415F7B229E48}" name="Opportunity Name" dataDxfId="0" dataCellStyle="Normal 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armanino.sharepoint.com/:b:/s/ArmaninoTax/IQCu5T5W47eKSJdhtZHWxuqqAckfZTgmJYvJyeCrO-ALzLA?e=QwbzXD" TargetMode="External"/><Relationship Id="rId1" Type="http://schemas.openxmlformats.org/officeDocument/2006/relationships/hyperlink" Target="https://armanino.sharepoint.com/:b:/s/ArmaninoTax/IQDc7liqERIXQJ2XkoLkLZZeAdNh8PqrU6DKDUNnUQOccW0?e=VGntTy"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C29F-1469-C640-9F41-F00948CCDCF7}">
  <dimension ref="A1:G124"/>
  <sheetViews>
    <sheetView topLeftCell="A55" workbookViewId="0">
      <selection activeCell="I65" sqref="I65"/>
    </sheetView>
  </sheetViews>
  <sheetFormatPr baseColWidth="10" defaultColWidth="6.6640625" defaultRowHeight="15" outlineLevelRow="1" x14ac:dyDescent="0.2"/>
  <cols>
    <col min="1" max="1" width="3.33203125" style="2" customWidth="1"/>
    <col min="2" max="2" width="45.83203125" style="2" customWidth="1"/>
    <col min="3" max="3" width="1.5" style="2" customWidth="1"/>
    <col min="4" max="4" width="31.83203125" style="2" customWidth="1"/>
    <col min="5" max="5" width="2.1640625" style="2" customWidth="1"/>
    <col min="6" max="6" width="105.5" style="2" customWidth="1"/>
    <col min="7" max="16384" width="6.6640625" style="2"/>
  </cols>
  <sheetData>
    <row r="1" spans="1:7" ht="23" thickBot="1" x14ac:dyDescent="0.35">
      <c r="A1" s="1" t="str">
        <f>IF(D5="","",D5)</f>
        <v>Ted Black Tax Return</v>
      </c>
      <c r="D1" s="3" t="s">
        <v>0</v>
      </c>
      <c r="F1" s="4" t="s">
        <v>1</v>
      </c>
    </row>
    <row r="2" spans="1:7" s="7" customFormat="1" ht="68.25" customHeight="1" thickBot="1" x14ac:dyDescent="0.3">
      <c r="A2" s="5" t="str">
        <f>CONCATENATE("Scoping and Pricing Calculator - Tax ",D7," Clients")</f>
        <v>Scoping and Pricing Calculator - Tax PHB Clients</v>
      </c>
      <c r="B2" s="6"/>
      <c r="D2" s="8" t="s">
        <v>2</v>
      </c>
      <c r="F2" s="9" t="s">
        <v>3</v>
      </c>
    </row>
    <row r="3" spans="1:7" s="7" customFormat="1" ht="8.25" customHeight="1" x14ac:dyDescent="0.2"/>
    <row r="4" spans="1:7" s="7" customFormat="1" ht="23" thickBot="1" x14ac:dyDescent="0.35">
      <c r="A4" s="10" t="s">
        <v>4</v>
      </c>
      <c r="F4" s="10" t="s">
        <v>5</v>
      </c>
    </row>
    <row r="5" spans="1:7" ht="17" thickBot="1" x14ac:dyDescent="0.25">
      <c r="A5" s="11">
        <v>1</v>
      </c>
      <c r="B5" s="12" t="s">
        <v>6</v>
      </c>
      <c r="C5" s="13"/>
      <c r="D5" s="14" t="s">
        <v>7</v>
      </c>
      <c r="E5" s="7"/>
      <c r="F5" s="2" t="s">
        <v>8</v>
      </c>
    </row>
    <row r="6" spans="1:7" ht="7.5" customHeight="1" thickBot="1" x14ac:dyDescent="0.25">
      <c r="A6" s="11"/>
      <c r="B6" s="15"/>
      <c r="C6" s="13"/>
      <c r="D6" s="16"/>
      <c r="E6" s="7"/>
    </row>
    <row r="7" spans="1:7" ht="17" thickBot="1" x14ac:dyDescent="0.25">
      <c r="A7" s="11">
        <v>2</v>
      </c>
      <c r="B7" s="12" t="s">
        <v>9</v>
      </c>
      <c r="C7" s="13"/>
      <c r="D7" s="14" t="s">
        <v>10</v>
      </c>
      <c r="E7" s="7"/>
      <c r="G7" s="17" t="s">
        <v>11</v>
      </c>
    </row>
    <row r="8" spans="1:7" ht="7.5" customHeight="1" thickBot="1" x14ac:dyDescent="0.25">
      <c r="A8" s="11"/>
      <c r="B8" s="15"/>
      <c r="C8" s="13"/>
      <c r="D8" s="16"/>
      <c r="E8" s="7"/>
    </row>
    <row r="9" spans="1:7" ht="17" thickBot="1" x14ac:dyDescent="0.25">
      <c r="A9" s="11">
        <v>3</v>
      </c>
      <c r="B9" s="12" t="s">
        <v>12</v>
      </c>
      <c r="C9" s="13"/>
      <c r="D9" s="14" t="s">
        <v>13</v>
      </c>
      <c r="E9" s="7"/>
      <c r="F9" s="2" t="s">
        <v>14</v>
      </c>
      <c r="G9" s="17" t="s">
        <v>11</v>
      </c>
    </row>
    <row r="10" spans="1:7" ht="7.5" customHeight="1" thickBot="1" x14ac:dyDescent="0.25">
      <c r="A10" s="11"/>
      <c r="B10" s="15"/>
      <c r="C10" s="13"/>
      <c r="D10" s="16"/>
      <c r="E10" s="7"/>
    </row>
    <row r="11" spans="1:7" ht="17" hidden="1" thickBot="1" x14ac:dyDescent="0.25">
      <c r="A11" s="11">
        <v>4</v>
      </c>
      <c r="B11" s="12" t="s">
        <v>15</v>
      </c>
      <c r="C11" s="13"/>
      <c r="D11" s="18">
        <v>2026</v>
      </c>
      <c r="E11" s="7"/>
      <c r="F11" s="2" t="s">
        <v>16</v>
      </c>
      <c r="G11" s="17" t="s">
        <v>11</v>
      </c>
    </row>
    <row r="12" spans="1:7" ht="7.5" hidden="1" customHeight="1" x14ac:dyDescent="0.2">
      <c r="A12" s="11"/>
      <c r="B12" s="15"/>
      <c r="C12" s="13"/>
      <c r="D12" s="16"/>
      <c r="E12" s="7"/>
    </row>
    <row r="13" spans="1:7" ht="17" hidden="1" thickBot="1" x14ac:dyDescent="0.25">
      <c r="A13" s="11">
        <v>5</v>
      </c>
      <c r="B13" s="19" t="s">
        <v>17</v>
      </c>
      <c r="C13" s="13"/>
      <c r="D13" s="20">
        <v>46023</v>
      </c>
      <c r="E13" s="7"/>
      <c r="F13" s="2" t="s">
        <v>18</v>
      </c>
    </row>
    <row r="14" spans="1:7" ht="17" hidden="1" thickBot="1" x14ac:dyDescent="0.25">
      <c r="A14" s="11"/>
      <c r="B14" s="19" t="s">
        <v>19</v>
      </c>
      <c r="C14" s="13"/>
      <c r="D14" s="20">
        <v>46310</v>
      </c>
      <c r="E14" s="7"/>
    </row>
    <row r="15" spans="1:7" ht="17" thickBot="1" x14ac:dyDescent="0.25">
      <c r="A15" s="11">
        <v>4</v>
      </c>
      <c r="B15" s="21" t="s">
        <v>20</v>
      </c>
      <c r="C15" s="7"/>
      <c r="D15" s="22">
        <v>40</v>
      </c>
      <c r="E15" s="7"/>
      <c r="F15" s="2" t="s">
        <v>21</v>
      </c>
    </row>
    <row r="16" spans="1:7" ht="7.5" customHeight="1" thickBot="1" x14ac:dyDescent="0.25">
      <c r="A16" s="11"/>
      <c r="B16" s="15"/>
      <c r="C16" s="13"/>
      <c r="D16" s="16"/>
      <c r="E16" s="7"/>
    </row>
    <row r="17" spans="1:6" ht="16" hidden="1" x14ac:dyDescent="0.2">
      <c r="A17" s="11">
        <v>6</v>
      </c>
      <c r="B17" s="19" t="s">
        <v>22</v>
      </c>
      <c r="C17" s="13"/>
      <c r="D17" s="23" t="s">
        <v>23</v>
      </c>
      <c r="E17" s="7"/>
      <c r="F17" s="2" t="s">
        <v>24</v>
      </c>
    </row>
    <row r="18" spans="1:6" ht="17" thickBot="1" x14ac:dyDescent="0.25">
      <c r="A18" s="11">
        <v>5</v>
      </c>
      <c r="B18" s="24" t="s">
        <v>25</v>
      </c>
      <c r="C18" s="13"/>
      <c r="D18" s="23" t="s">
        <v>23</v>
      </c>
      <c r="E18" s="7"/>
      <c r="F18" s="2" t="s">
        <v>26</v>
      </c>
    </row>
    <row r="19" spans="1:6" ht="7.5" customHeight="1" thickBot="1" x14ac:dyDescent="0.25">
      <c r="A19" s="11"/>
      <c r="B19" s="15"/>
      <c r="C19" s="13"/>
      <c r="D19" s="16"/>
      <c r="E19" s="7"/>
    </row>
    <row r="20" spans="1:6" ht="17" thickBot="1" x14ac:dyDescent="0.25">
      <c r="A20" s="11">
        <v>6</v>
      </c>
      <c r="B20" s="25" t="s">
        <v>27</v>
      </c>
      <c r="D20" s="26" t="s">
        <v>28</v>
      </c>
      <c r="F20" s="2" t="s">
        <v>29</v>
      </c>
    </row>
    <row r="21" spans="1:6" ht="7.5" customHeight="1" thickBot="1" x14ac:dyDescent="0.25">
      <c r="A21" s="11"/>
      <c r="B21" s="15"/>
      <c r="C21" s="13"/>
      <c r="D21" s="16"/>
      <c r="E21" s="7"/>
    </row>
    <row r="22" spans="1:6" ht="16" x14ac:dyDescent="0.2">
      <c r="A22" s="11">
        <v>7</v>
      </c>
      <c r="B22" s="24" t="s">
        <v>30</v>
      </c>
      <c r="D22" s="27">
        <v>0</v>
      </c>
      <c r="F22" s="2" t="s">
        <v>31</v>
      </c>
    </row>
    <row r="23" spans="1:6" ht="16" x14ac:dyDescent="0.2">
      <c r="A23" s="11"/>
      <c r="B23" s="19" t="s">
        <v>32</v>
      </c>
      <c r="C23" s="28"/>
      <c r="D23" s="29">
        <v>100</v>
      </c>
      <c r="E23" s="30">
        <f>IF(D23="No Rounding",1,D23)</f>
        <v>100</v>
      </c>
      <c r="F23" s="2" t="s">
        <v>33</v>
      </c>
    </row>
    <row r="24" spans="1:6" ht="17" thickBot="1" x14ac:dyDescent="0.25">
      <c r="A24" s="11"/>
      <c r="B24" s="19" t="s">
        <v>34</v>
      </c>
      <c r="C24" s="28"/>
      <c r="D24" s="29">
        <v>1000</v>
      </c>
      <c r="E24" s="30">
        <f>IF(D24="No Rounding",1,D24)</f>
        <v>1000</v>
      </c>
      <c r="F24" s="2" t="s">
        <v>35</v>
      </c>
    </row>
    <row r="25" spans="1:6" ht="7.5" customHeight="1" thickBot="1" x14ac:dyDescent="0.25">
      <c r="A25" s="11"/>
      <c r="B25" s="15"/>
      <c r="C25" s="13"/>
      <c r="D25" s="16"/>
      <c r="E25" s="7"/>
    </row>
    <row r="26" spans="1:6" ht="17" thickBot="1" x14ac:dyDescent="0.25">
      <c r="A26" s="11">
        <v>8</v>
      </c>
      <c r="B26" s="19" t="s">
        <v>36</v>
      </c>
      <c r="C26" s="28"/>
      <c r="D26" s="31">
        <v>7.0000000000000007E-2</v>
      </c>
      <c r="F26" s="2" t="s">
        <v>37</v>
      </c>
    </row>
    <row r="27" spans="1:6" ht="7.5" customHeight="1" thickBot="1" x14ac:dyDescent="0.25">
      <c r="A27" s="11"/>
      <c r="B27" s="15"/>
      <c r="C27" s="13"/>
      <c r="D27" s="16"/>
      <c r="E27" s="7"/>
    </row>
    <row r="28" spans="1:6" ht="17" thickBot="1" x14ac:dyDescent="0.25">
      <c r="A28" s="11">
        <v>9</v>
      </c>
      <c r="B28" s="32" t="s">
        <v>38</v>
      </c>
      <c r="D28" s="33">
        <f>VLOOKUP(D7,'[1]Other Lookups'!AE:AF,2,FALSE)</f>
        <v>0.746</v>
      </c>
    </row>
    <row r="29" spans="1:6" s="7" customFormat="1" ht="8.25" customHeight="1" x14ac:dyDescent="0.2">
      <c r="A29" s="7" t="s">
        <v>11</v>
      </c>
    </row>
    <row r="30" spans="1:6" s="7" customFormat="1" ht="23" thickBot="1" x14ac:dyDescent="0.35">
      <c r="A30" s="10" t="s">
        <v>39</v>
      </c>
      <c r="D30" s="10" t="s">
        <v>40</v>
      </c>
      <c r="F30" s="10" t="s">
        <v>41</v>
      </c>
    </row>
    <row r="31" spans="1:6" ht="15.75" hidden="1" customHeight="1" x14ac:dyDescent="0.2">
      <c r="B31" s="2" t="s">
        <v>42</v>
      </c>
    </row>
    <row r="32" spans="1:6" ht="15.75" customHeight="1" x14ac:dyDescent="0.2">
      <c r="A32" s="2">
        <v>1</v>
      </c>
      <c r="B32" s="34" t="s">
        <v>43</v>
      </c>
      <c r="D32" s="35" t="s">
        <v>44</v>
      </c>
      <c r="F32" s="35"/>
    </row>
    <row r="33" spans="1:6" ht="15.75" customHeight="1" x14ac:dyDescent="0.2">
      <c r="A33" s="2">
        <v>2</v>
      </c>
      <c r="B33" s="36" t="s">
        <v>45</v>
      </c>
      <c r="D33" s="37" t="s">
        <v>44</v>
      </c>
      <c r="F33" s="37"/>
    </row>
    <row r="34" spans="1:6" ht="15.75" customHeight="1" x14ac:dyDescent="0.2">
      <c r="A34" s="2">
        <v>3</v>
      </c>
      <c r="B34" s="36" t="s">
        <v>46</v>
      </c>
      <c r="D34" s="37" t="s">
        <v>44</v>
      </c>
      <c r="F34" s="37"/>
    </row>
    <row r="35" spans="1:6" ht="15.75" customHeight="1" x14ac:dyDescent="0.2">
      <c r="A35" s="2">
        <v>4</v>
      </c>
      <c r="B35" s="36" t="s">
        <v>47</v>
      </c>
      <c r="D35" s="37" t="s">
        <v>44</v>
      </c>
      <c r="F35" s="37"/>
    </row>
    <row r="36" spans="1:6" ht="15.75" customHeight="1" x14ac:dyDescent="0.2">
      <c r="A36" s="2">
        <v>5</v>
      </c>
      <c r="B36" s="36"/>
      <c r="D36" s="37"/>
      <c r="F36" s="37"/>
    </row>
    <row r="37" spans="1:6" ht="15.75" customHeight="1" x14ac:dyDescent="0.2">
      <c r="A37" s="2">
        <v>6</v>
      </c>
      <c r="B37" s="36"/>
      <c r="D37" s="37"/>
      <c r="F37" s="37"/>
    </row>
    <row r="38" spans="1:6" ht="15.75" customHeight="1" x14ac:dyDescent="0.2">
      <c r="A38" s="2">
        <v>7</v>
      </c>
      <c r="B38" s="36"/>
      <c r="D38" s="37"/>
      <c r="F38" s="37"/>
    </row>
    <row r="39" spans="1:6" ht="15.75" customHeight="1" x14ac:dyDescent="0.2">
      <c r="A39" s="2">
        <v>8</v>
      </c>
      <c r="B39" s="36"/>
      <c r="D39" s="37"/>
      <c r="F39" s="37"/>
    </row>
    <row r="40" spans="1:6" ht="15.75" customHeight="1" x14ac:dyDescent="0.2">
      <c r="A40" s="2">
        <v>9</v>
      </c>
      <c r="B40" s="36"/>
      <c r="D40" s="37"/>
      <c r="F40" s="37"/>
    </row>
    <row r="41" spans="1:6" ht="15.75" customHeight="1" x14ac:dyDescent="0.2">
      <c r="A41" s="2">
        <v>10</v>
      </c>
      <c r="B41" s="36"/>
      <c r="D41" s="37"/>
      <c r="F41" s="37"/>
    </row>
    <row r="42" spans="1:6" ht="15.75" customHeight="1" x14ac:dyDescent="0.2">
      <c r="A42" s="2">
        <v>11</v>
      </c>
      <c r="B42" s="36"/>
      <c r="D42" s="37"/>
      <c r="F42" s="37"/>
    </row>
    <row r="43" spans="1:6" ht="15.75" customHeight="1" outlineLevel="1" x14ac:dyDescent="0.2">
      <c r="A43" s="2">
        <v>12</v>
      </c>
      <c r="B43" s="36"/>
      <c r="D43" s="37"/>
      <c r="F43" s="37"/>
    </row>
    <row r="44" spans="1:6" ht="15.75" customHeight="1" outlineLevel="1" x14ac:dyDescent="0.2">
      <c r="A44" s="2">
        <v>13</v>
      </c>
      <c r="B44" s="36"/>
      <c r="D44" s="37"/>
      <c r="F44" s="37"/>
    </row>
    <row r="45" spans="1:6" ht="15.75" customHeight="1" outlineLevel="1" x14ac:dyDescent="0.2">
      <c r="A45" s="2">
        <v>14</v>
      </c>
      <c r="B45" s="36"/>
      <c r="D45" s="37"/>
      <c r="F45" s="37"/>
    </row>
    <row r="46" spans="1:6" ht="15.75" customHeight="1" outlineLevel="1" x14ac:dyDescent="0.2">
      <c r="A46" s="2">
        <v>15</v>
      </c>
      <c r="B46" s="36"/>
      <c r="D46" s="37"/>
      <c r="F46" s="37"/>
    </row>
    <row r="47" spans="1:6" ht="15.75" customHeight="1" outlineLevel="1" x14ac:dyDescent="0.2">
      <c r="A47" s="2">
        <v>16</v>
      </c>
      <c r="B47" s="36"/>
      <c r="D47" s="37"/>
      <c r="F47" s="37"/>
    </row>
    <row r="48" spans="1:6" ht="15.75" customHeight="1" outlineLevel="1" x14ac:dyDescent="0.2">
      <c r="A48" s="2">
        <v>17</v>
      </c>
      <c r="B48" s="36"/>
      <c r="D48" s="37"/>
      <c r="F48" s="37"/>
    </row>
    <row r="49" spans="1:6" ht="15.75" customHeight="1" outlineLevel="1" x14ac:dyDescent="0.2">
      <c r="A49" s="2">
        <v>18</v>
      </c>
      <c r="B49" s="36"/>
      <c r="D49" s="37"/>
      <c r="F49" s="37"/>
    </row>
    <row r="50" spans="1:6" ht="15.75" customHeight="1" outlineLevel="1" x14ac:dyDescent="0.2">
      <c r="A50" s="2">
        <v>19</v>
      </c>
      <c r="B50" s="36"/>
      <c r="D50" s="37"/>
      <c r="F50" s="37"/>
    </row>
    <row r="51" spans="1:6" ht="15.75" customHeight="1" outlineLevel="1" x14ac:dyDescent="0.2">
      <c r="A51" s="2">
        <v>20</v>
      </c>
      <c r="B51" s="36"/>
      <c r="D51" s="37"/>
      <c r="F51" s="37"/>
    </row>
    <row r="52" spans="1:6" ht="15.75" customHeight="1" outlineLevel="1" x14ac:dyDescent="0.2">
      <c r="A52" s="2">
        <v>21</v>
      </c>
      <c r="B52" s="36"/>
      <c r="D52" s="37"/>
      <c r="F52" s="37"/>
    </row>
    <row r="53" spans="1:6" ht="15.75" customHeight="1" outlineLevel="1" x14ac:dyDescent="0.2">
      <c r="A53" s="2">
        <v>22</v>
      </c>
      <c r="B53" s="36"/>
      <c r="D53" s="37"/>
      <c r="F53" s="37"/>
    </row>
    <row r="54" spans="1:6" ht="15.75" customHeight="1" outlineLevel="1" x14ac:dyDescent="0.2">
      <c r="A54" s="2">
        <v>23</v>
      </c>
      <c r="B54" s="36"/>
      <c r="D54" s="37"/>
      <c r="F54" s="37"/>
    </row>
    <row r="55" spans="1:6" ht="15.75" customHeight="1" outlineLevel="1" x14ac:dyDescent="0.2">
      <c r="A55" s="2">
        <v>24</v>
      </c>
      <c r="B55" s="36"/>
      <c r="D55" s="37"/>
      <c r="F55" s="37"/>
    </row>
    <row r="56" spans="1:6" ht="15.75" customHeight="1" outlineLevel="1" x14ac:dyDescent="0.2">
      <c r="A56" s="2">
        <v>25</v>
      </c>
      <c r="B56" s="36"/>
      <c r="D56" s="37"/>
      <c r="F56" s="37"/>
    </row>
    <row r="57" spans="1:6" ht="15.75" customHeight="1" outlineLevel="1" x14ac:dyDescent="0.2">
      <c r="A57" s="2">
        <v>26</v>
      </c>
      <c r="B57" s="36"/>
      <c r="D57" s="37"/>
      <c r="F57" s="37"/>
    </row>
    <row r="58" spans="1:6" ht="15.75" customHeight="1" outlineLevel="1" x14ac:dyDescent="0.2">
      <c r="A58" s="2">
        <v>27</v>
      </c>
      <c r="B58" s="36"/>
      <c r="D58" s="37"/>
      <c r="F58" s="37"/>
    </row>
    <row r="59" spans="1:6" ht="15.75" customHeight="1" outlineLevel="1" x14ac:dyDescent="0.2">
      <c r="A59" s="2">
        <v>28</v>
      </c>
      <c r="B59" s="36"/>
      <c r="D59" s="37"/>
      <c r="F59" s="37"/>
    </row>
    <row r="60" spans="1:6" ht="15.75" customHeight="1" outlineLevel="1" x14ac:dyDescent="0.2">
      <c r="A60" s="2">
        <v>29</v>
      </c>
      <c r="B60" s="36"/>
      <c r="D60" s="37"/>
      <c r="F60" s="37"/>
    </row>
    <row r="61" spans="1:6" ht="15.75" customHeight="1" outlineLevel="1" x14ac:dyDescent="0.2">
      <c r="A61" s="2">
        <v>30</v>
      </c>
      <c r="B61" s="36"/>
      <c r="D61" s="37"/>
      <c r="F61" s="37"/>
    </row>
    <row r="62" spans="1:6" ht="15.75" customHeight="1" outlineLevel="1" x14ac:dyDescent="0.2">
      <c r="A62" s="2">
        <v>31</v>
      </c>
      <c r="B62" s="36"/>
      <c r="D62" s="37"/>
      <c r="F62" s="37"/>
    </row>
    <row r="63" spans="1:6" ht="15.75" customHeight="1" outlineLevel="1" x14ac:dyDescent="0.2">
      <c r="A63" s="2">
        <v>32</v>
      </c>
      <c r="B63" s="36"/>
      <c r="D63" s="37"/>
      <c r="F63" s="37"/>
    </row>
    <row r="64" spans="1:6" ht="15.75" customHeight="1" outlineLevel="1" x14ac:dyDescent="0.2">
      <c r="A64" s="2">
        <v>33</v>
      </c>
      <c r="B64" s="36"/>
      <c r="D64" s="37"/>
      <c r="F64" s="37"/>
    </row>
    <row r="65" spans="1:6" ht="15.75" customHeight="1" outlineLevel="1" x14ac:dyDescent="0.2">
      <c r="A65" s="2">
        <v>34</v>
      </c>
      <c r="B65" s="36"/>
      <c r="D65" s="37"/>
      <c r="F65" s="37"/>
    </row>
    <row r="66" spans="1:6" ht="15.75" customHeight="1" outlineLevel="1" x14ac:dyDescent="0.2">
      <c r="A66" s="2">
        <v>35</v>
      </c>
      <c r="B66" s="36"/>
      <c r="D66" s="37"/>
      <c r="F66" s="37"/>
    </row>
    <row r="67" spans="1:6" ht="15.75" customHeight="1" outlineLevel="1" x14ac:dyDescent="0.2">
      <c r="A67" s="2">
        <v>36</v>
      </c>
      <c r="B67" s="36"/>
      <c r="D67" s="37"/>
      <c r="F67" s="37"/>
    </row>
    <row r="68" spans="1:6" ht="15.75" customHeight="1" outlineLevel="1" x14ac:dyDescent="0.2">
      <c r="A68" s="2">
        <v>37</v>
      </c>
      <c r="B68" s="36"/>
      <c r="D68" s="37"/>
      <c r="F68" s="37"/>
    </row>
    <row r="69" spans="1:6" ht="15.75" customHeight="1" outlineLevel="1" x14ac:dyDescent="0.2">
      <c r="A69" s="2">
        <v>38</v>
      </c>
      <c r="B69" s="36"/>
      <c r="D69" s="37"/>
      <c r="F69" s="37"/>
    </row>
    <row r="70" spans="1:6" ht="15.75" customHeight="1" outlineLevel="1" x14ac:dyDescent="0.2">
      <c r="A70" s="2">
        <v>39</v>
      </c>
      <c r="B70" s="36"/>
      <c r="D70" s="37"/>
      <c r="F70" s="37"/>
    </row>
    <row r="71" spans="1:6" ht="15.75" customHeight="1" outlineLevel="1" thickBot="1" x14ac:dyDescent="0.25">
      <c r="A71" s="2">
        <v>40</v>
      </c>
      <c r="B71" s="36"/>
      <c r="D71" s="38"/>
      <c r="F71" s="38"/>
    </row>
    <row r="72" spans="1:6" ht="15.75" customHeight="1" x14ac:dyDescent="0.2">
      <c r="A72" s="39" t="s">
        <v>48</v>
      </c>
      <c r="B72" s="40"/>
      <c r="D72" s="40"/>
      <c r="F72" s="40"/>
    </row>
    <row r="73" spans="1:6" s="7" customFormat="1" ht="8.25" customHeight="1" x14ac:dyDescent="0.2"/>
    <row r="74" spans="1:6" ht="23" thickBot="1" x14ac:dyDescent="0.35">
      <c r="A74" s="10" t="s">
        <v>49</v>
      </c>
    </row>
    <row r="75" spans="1:6" ht="45" customHeight="1" outlineLevel="1" x14ac:dyDescent="0.2">
      <c r="B75" s="41" t="s">
        <v>50</v>
      </c>
      <c r="C75" s="42"/>
      <c r="D75" s="42"/>
      <c r="E75" s="42"/>
      <c r="F75" s="43"/>
    </row>
    <row r="76" spans="1:6" ht="45" customHeight="1" outlineLevel="1" x14ac:dyDescent="0.2">
      <c r="B76" s="44" t="s">
        <v>51</v>
      </c>
      <c r="C76" s="45"/>
      <c r="D76" s="45"/>
      <c r="E76" s="45"/>
      <c r="F76" s="46"/>
    </row>
    <row r="77" spans="1:6" ht="30" customHeight="1" outlineLevel="1" x14ac:dyDescent="0.2">
      <c r="B77" s="47" t="s">
        <v>52</v>
      </c>
      <c r="C77" s="48"/>
      <c r="D77" s="48"/>
      <c r="E77" s="48"/>
      <c r="F77" s="49"/>
    </row>
    <row r="78" spans="1:6" ht="45" customHeight="1" outlineLevel="1" x14ac:dyDescent="0.2">
      <c r="B78" s="50" t="s">
        <v>464</v>
      </c>
      <c r="C78" s="51"/>
      <c r="D78" s="51"/>
      <c r="E78" s="51"/>
      <c r="F78" s="52"/>
    </row>
    <row r="79" spans="1:6" ht="45" customHeight="1" outlineLevel="1" thickBot="1" x14ac:dyDescent="0.25">
      <c r="B79" s="53" t="s">
        <v>465</v>
      </c>
      <c r="C79" s="54"/>
      <c r="D79" s="54"/>
      <c r="E79" s="54"/>
      <c r="F79" s="55"/>
    </row>
    <row r="80" spans="1:6" x14ac:dyDescent="0.2">
      <c r="A80" s="39" t="s">
        <v>53</v>
      </c>
    </row>
    <row r="81" spans="1:6" s="7" customFormat="1" ht="8.25" customHeight="1" x14ac:dyDescent="0.2"/>
    <row r="82" spans="1:6" ht="23" thickBot="1" x14ac:dyDescent="0.35">
      <c r="A82" s="10" t="s">
        <v>54</v>
      </c>
    </row>
    <row r="83" spans="1:6" ht="16" outlineLevel="1" x14ac:dyDescent="0.2">
      <c r="A83" s="11">
        <v>1</v>
      </c>
      <c r="B83" s="56" t="s">
        <v>55</v>
      </c>
      <c r="C83" s="40"/>
      <c r="D83" s="40"/>
      <c r="E83" s="40"/>
      <c r="F83" s="57"/>
    </row>
    <row r="84" spans="1:6" ht="16" outlineLevel="1" x14ac:dyDescent="0.2">
      <c r="A84" s="11"/>
      <c r="B84" s="58"/>
      <c r="F84" s="59"/>
    </row>
    <row r="85" spans="1:6" ht="16" outlineLevel="1" x14ac:dyDescent="0.2">
      <c r="A85" s="11">
        <v>2</v>
      </c>
      <c r="B85" s="60" t="s">
        <v>56</v>
      </c>
      <c r="F85" s="59"/>
    </row>
    <row r="86" spans="1:6" ht="16" outlineLevel="1" x14ac:dyDescent="0.2">
      <c r="A86" s="11"/>
      <c r="B86" s="61" t="s">
        <v>57</v>
      </c>
      <c r="F86" s="59"/>
    </row>
    <row r="87" spans="1:6" ht="16" outlineLevel="1" x14ac:dyDescent="0.2">
      <c r="A87" s="11"/>
      <c r="B87" s="61" t="s">
        <v>58</v>
      </c>
      <c r="F87" s="59"/>
    </row>
    <row r="88" spans="1:6" ht="16" outlineLevel="1" x14ac:dyDescent="0.2">
      <c r="A88" s="11"/>
      <c r="B88" s="61" t="s">
        <v>59</v>
      </c>
      <c r="F88" s="59"/>
    </row>
    <row r="89" spans="1:6" ht="16" outlineLevel="1" x14ac:dyDescent="0.2">
      <c r="A89" s="11"/>
      <c r="B89" s="61" t="s">
        <v>60</v>
      </c>
      <c r="F89" s="59"/>
    </row>
    <row r="90" spans="1:6" ht="16" outlineLevel="1" x14ac:dyDescent="0.2">
      <c r="A90" s="11"/>
      <c r="B90" s="61"/>
      <c r="F90" s="59"/>
    </row>
    <row r="91" spans="1:6" ht="16" outlineLevel="1" x14ac:dyDescent="0.2">
      <c r="A91" s="11"/>
      <c r="B91" s="61"/>
      <c r="F91" s="59"/>
    </row>
    <row r="92" spans="1:6" ht="16" outlineLevel="1" x14ac:dyDescent="0.2">
      <c r="A92" s="11"/>
      <c r="B92" s="61"/>
      <c r="F92" s="59"/>
    </row>
    <row r="93" spans="1:6" ht="16" outlineLevel="1" x14ac:dyDescent="0.2">
      <c r="A93" s="11"/>
      <c r="B93" s="61"/>
      <c r="F93" s="59"/>
    </row>
    <row r="94" spans="1:6" ht="16" outlineLevel="1" x14ac:dyDescent="0.2">
      <c r="A94" s="11"/>
      <c r="B94" s="61"/>
      <c r="F94" s="59"/>
    </row>
    <row r="95" spans="1:6" ht="16" outlineLevel="1" x14ac:dyDescent="0.2">
      <c r="A95" s="11"/>
      <c r="B95" s="61"/>
      <c r="F95" s="59"/>
    </row>
    <row r="96" spans="1:6" ht="16" outlineLevel="1" x14ac:dyDescent="0.2">
      <c r="A96" s="11"/>
      <c r="B96" s="61"/>
      <c r="F96" s="59"/>
    </row>
    <row r="97" spans="1:6" ht="16" outlineLevel="1" x14ac:dyDescent="0.2">
      <c r="A97" s="11"/>
      <c r="B97" s="61"/>
      <c r="F97" s="59"/>
    </row>
    <row r="98" spans="1:6" ht="16" outlineLevel="1" x14ac:dyDescent="0.2">
      <c r="A98" s="11"/>
      <c r="B98" s="61"/>
      <c r="F98" s="59"/>
    </row>
    <row r="99" spans="1:6" ht="16" outlineLevel="1" x14ac:dyDescent="0.2">
      <c r="A99" s="11"/>
      <c r="B99" s="61"/>
      <c r="F99" s="59"/>
    </row>
    <row r="100" spans="1:6" ht="16" outlineLevel="1" x14ac:dyDescent="0.2">
      <c r="A100" s="11"/>
      <c r="B100" s="61"/>
      <c r="F100" s="59"/>
    </row>
    <row r="101" spans="1:6" ht="16" outlineLevel="1" x14ac:dyDescent="0.2">
      <c r="A101" s="11"/>
      <c r="B101" s="61"/>
      <c r="F101" s="59"/>
    </row>
    <row r="102" spans="1:6" ht="16" outlineLevel="1" x14ac:dyDescent="0.2">
      <c r="A102" s="11"/>
      <c r="B102" s="61"/>
      <c r="F102" s="59"/>
    </row>
    <row r="103" spans="1:6" ht="16" outlineLevel="1" x14ac:dyDescent="0.2">
      <c r="A103" s="11"/>
      <c r="B103" s="61"/>
      <c r="F103" s="59"/>
    </row>
    <row r="104" spans="1:6" ht="16" outlineLevel="1" x14ac:dyDescent="0.2">
      <c r="A104" s="11"/>
      <c r="B104" s="61"/>
      <c r="F104" s="59"/>
    </row>
    <row r="105" spans="1:6" ht="16" outlineLevel="1" x14ac:dyDescent="0.2">
      <c r="A105" s="11"/>
      <c r="B105" s="61"/>
      <c r="F105" s="59"/>
    </row>
    <row r="106" spans="1:6" ht="16" outlineLevel="1" x14ac:dyDescent="0.2">
      <c r="A106" s="11">
        <v>3</v>
      </c>
      <c r="B106" s="60" t="s">
        <v>61</v>
      </c>
      <c r="F106" s="59"/>
    </row>
    <row r="107" spans="1:6" ht="16" outlineLevel="1" x14ac:dyDescent="0.2">
      <c r="A107" s="11">
        <v>4</v>
      </c>
      <c r="B107" s="61" t="s">
        <v>62</v>
      </c>
      <c r="F107" s="59"/>
    </row>
    <row r="108" spans="1:6" ht="16" outlineLevel="1" x14ac:dyDescent="0.2">
      <c r="A108" s="11"/>
      <c r="B108" s="61"/>
      <c r="F108" s="59"/>
    </row>
    <row r="109" spans="1:6" ht="16" outlineLevel="1" x14ac:dyDescent="0.2">
      <c r="A109" s="11"/>
      <c r="B109" s="61"/>
      <c r="F109" s="59"/>
    </row>
    <row r="110" spans="1:6" ht="16" outlineLevel="1" x14ac:dyDescent="0.2">
      <c r="A110" s="11"/>
      <c r="B110" s="61"/>
      <c r="F110" s="59"/>
    </row>
    <row r="111" spans="1:6" ht="16" outlineLevel="1" x14ac:dyDescent="0.2">
      <c r="A111" s="11"/>
      <c r="B111" s="61"/>
      <c r="F111" s="59"/>
    </row>
    <row r="112" spans="1:6" ht="16" outlineLevel="1" x14ac:dyDescent="0.2">
      <c r="A112" s="11"/>
      <c r="B112" s="61"/>
      <c r="F112" s="59"/>
    </row>
    <row r="113" spans="1:6" ht="16" outlineLevel="1" x14ac:dyDescent="0.2">
      <c r="A113" s="11"/>
      <c r="B113" s="61"/>
      <c r="F113" s="59"/>
    </row>
    <row r="114" spans="1:6" ht="16" outlineLevel="1" x14ac:dyDescent="0.2">
      <c r="A114" s="11"/>
      <c r="B114" s="61"/>
      <c r="F114" s="59"/>
    </row>
    <row r="115" spans="1:6" ht="16" outlineLevel="1" x14ac:dyDescent="0.2">
      <c r="A115" s="11"/>
      <c r="B115" s="61"/>
      <c r="F115" s="59"/>
    </row>
    <row r="116" spans="1:6" ht="16" outlineLevel="1" x14ac:dyDescent="0.2">
      <c r="A116" s="11"/>
      <c r="B116" s="61"/>
      <c r="F116" s="59"/>
    </row>
    <row r="117" spans="1:6" ht="16" outlineLevel="1" x14ac:dyDescent="0.2">
      <c r="A117" s="11"/>
      <c r="B117" s="61"/>
      <c r="F117" s="59"/>
    </row>
    <row r="118" spans="1:6" ht="16" outlineLevel="1" x14ac:dyDescent="0.2">
      <c r="A118" s="11"/>
      <c r="B118" s="61"/>
      <c r="F118" s="59"/>
    </row>
    <row r="119" spans="1:6" ht="16" outlineLevel="1" x14ac:dyDescent="0.2">
      <c r="A119" s="11">
        <v>5</v>
      </c>
      <c r="B119" s="61" t="s">
        <v>63</v>
      </c>
      <c r="F119" s="59"/>
    </row>
    <row r="120" spans="1:6" ht="16" outlineLevel="1" x14ac:dyDescent="0.2">
      <c r="A120" s="11">
        <v>6</v>
      </c>
      <c r="B120" s="60" t="s">
        <v>64</v>
      </c>
      <c r="F120" s="59"/>
    </row>
    <row r="121" spans="1:6" ht="16" outlineLevel="1" x14ac:dyDescent="0.2">
      <c r="A121" s="11"/>
      <c r="B121" s="61"/>
      <c r="F121" s="59"/>
    </row>
    <row r="122" spans="1:6" ht="16" outlineLevel="1" x14ac:dyDescent="0.2">
      <c r="A122" s="11"/>
      <c r="B122" s="61"/>
      <c r="F122" s="59"/>
    </row>
    <row r="123" spans="1:6" ht="17" outlineLevel="1" thickBot="1" x14ac:dyDescent="0.25">
      <c r="A123" s="11"/>
      <c r="B123" s="62"/>
      <c r="C123" s="63"/>
      <c r="D123" s="63"/>
      <c r="E123" s="63"/>
      <c r="F123" s="64"/>
    </row>
    <row r="124" spans="1:6" x14ac:dyDescent="0.2">
      <c r="A124" s="39"/>
    </row>
  </sheetData>
  <mergeCells count="5">
    <mergeCell ref="B75:F75"/>
    <mergeCell ref="B76:F76"/>
    <mergeCell ref="B77:F77"/>
    <mergeCell ref="B78:F78"/>
    <mergeCell ref="B79:F79"/>
  </mergeCells>
  <dataValidations count="6">
    <dataValidation type="list" allowBlank="1" showInputMessage="1" showErrorMessage="1" sqref="D11" xr:uid="{89431D3B-F98A-F243-947C-20917FFBDB1C}">
      <formula1>"2025, 2026"</formula1>
    </dataValidation>
    <dataValidation type="decimal" allowBlank="1" showInputMessage="1" showErrorMessage="1" sqref="D22" xr:uid="{C2D68BF8-508B-D245-911D-336F1686A67A}">
      <formula1>-1</formula1>
      <formula2>1</formula2>
    </dataValidation>
    <dataValidation type="decimal" allowBlank="1" showInputMessage="1" showErrorMessage="1" sqref="D26" xr:uid="{FFEADED5-27CD-B34C-9352-5D1C8F086B0D}">
      <formula1>0</formula1>
      <formula2>1</formula2>
    </dataValidation>
    <dataValidation type="list" allowBlank="1" showInputMessage="1" showErrorMessage="1" sqref="D17:D19 D9" xr:uid="{B31A12F6-87C6-2A43-A337-4C8FBA4F5555}">
      <formula1>"Yes, No"</formula1>
    </dataValidation>
    <dataValidation type="decimal" operator="greaterThanOrEqual" allowBlank="1" showInputMessage="1" showErrorMessage="1" sqref="D15" xr:uid="{C7B709F0-CD24-104D-8CA6-ADAE12838A06}">
      <formula1>0</formula1>
    </dataValidation>
    <dataValidation type="date" allowBlank="1" showInputMessage="1" showErrorMessage="1" sqref="D13:D15" xr:uid="{490C293E-41DF-034B-A849-26C272248132}">
      <formula1>1</formula1>
      <formula2>146099</formula2>
    </dataValidation>
  </dataValidations>
  <hyperlinks>
    <hyperlink ref="F1" r:id="rId1" xr:uid="{E3078785-93CD-AB46-B8E5-883B142D1519}"/>
    <hyperlink ref="F2" r:id="rId2" xr:uid="{30B6EE6C-F3A0-CF4D-9286-774AD2AAF0F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BE4D-80CF-804E-896D-684204CEFEA4}">
  <dimension ref="A1:CH261"/>
  <sheetViews>
    <sheetView topLeftCell="A192" workbookViewId="0">
      <selection activeCell="B230" sqref="B230"/>
    </sheetView>
  </sheetViews>
  <sheetFormatPr baseColWidth="10" defaultColWidth="6.6640625" defaultRowHeight="15" outlineLevelRow="1" outlineLevelCol="1" x14ac:dyDescent="0.2"/>
  <cols>
    <col min="1" max="1" width="3.5" style="11" customWidth="1"/>
    <col min="2" max="2" width="60.83203125" style="2" customWidth="1"/>
    <col min="3" max="3" width="16.83203125" style="2" customWidth="1"/>
    <col min="4" max="4" width="2.6640625" style="2" customWidth="1"/>
    <col min="5" max="7" width="7" style="2" customWidth="1"/>
    <col min="8" max="8" width="1.5" style="2" customWidth="1"/>
    <col min="9" max="9" width="7" style="2" customWidth="1"/>
    <col min="10" max="10" width="1.5" style="2" customWidth="1"/>
    <col min="11" max="11" width="6.5" style="2" customWidth="1"/>
    <col min="12" max="27" width="6.6640625" style="2"/>
    <col min="28" max="31" width="6.6640625" style="2" hidden="1" customWidth="1" outlineLevel="1"/>
    <col min="32" max="32" width="2.6640625" style="2" customWidth="1" collapsed="1"/>
    <col min="33" max="34" width="6.6640625" style="156" hidden="1" customWidth="1"/>
    <col min="35" max="36" width="6.6640625" style="2"/>
    <col min="37" max="37" width="1.5" style="2" customWidth="1"/>
    <col min="38" max="40" width="9.83203125" style="11" customWidth="1"/>
    <col min="41" max="42" width="9.83203125" style="2" customWidth="1"/>
    <col min="43" max="43" width="9.83203125" style="39" customWidth="1"/>
    <col min="44" max="44" width="7.6640625" style="39" bestFit="1" customWidth="1"/>
    <col min="45" max="45" width="1.5" style="2" customWidth="1"/>
    <col min="46" max="46" width="9.83203125" style="11" customWidth="1"/>
    <col min="47" max="47" width="1.5" style="156" hidden="1" customWidth="1"/>
    <col min="48" max="48" width="6.6640625" style="156" hidden="1" customWidth="1"/>
    <col min="49" max="49" width="9.83203125" style="157" hidden="1" customWidth="1"/>
    <col min="50" max="50" width="9.83203125" style="156" hidden="1" customWidth="1"/>
    <col min="51" max="51" width="1.5" style="156" hidden="1" customWidth="1"/>
    <col min="52" max="54" width="9.83203125" style="165" hidden="1" customWidth="1"/>
    <col min="55" max="55" width="1.5" style="159" hidden="1" customWidth="1" outlineLevel="1"/>
    <col min="56" max="56" width="6.6640625" style="2" hidden="1" customWidth="1" outlineLevel="1"/>
    <col min="57" max="58" width="9.83203125" style="11" hidden="1" customWidth="1" outlineLevel="1"/>
    <col min="59" max="59" width="6.33203125" style="11" hidden="1" customWidth="1" outlineLevel="1"/>
    <col min="60" max="60" width="1.5" style="2" hidden="1" customWidth="1" outlineLevel="1"/>
    <col min="61" max="61" width="6.6640625" style="2" hidden="1" customWidth="1" outlineLevel="1"/>
    <col min="62" max="63" width="9.83203125" style="11" hidden="1" customWidth="1" outlineLevel="1"/>
    <col min="64" max="64" width="6.33203125" style="11" hidden="1" customWidth="1" outlineLevel="1"/>
    <col min="65" max="65" width="1.5" style="2" hidden="1" customWidth="1" outlineLevel="1"/>
    <col min="66" max="66" width="6.6640625" style="2" hidden="1" customWidth="1" outlineLevel="1"/>
    <col min="67" max="68" width="9.83203125" style="11" hidden="1" customWidth="1" outlineLevel="1"/>
    <col min="69" max="69" width="6.33203125" style="11" hidden="1" customWidth="1" outlineLevel="1"/>
    <col min="70" max="70" width="1.5" style="2" hidden="1" customWidth="1" outlineLevel="1"/>
    <col min="71" max="71" width="6.6640625" style="2" hidden="1" customWidth="1" outlineLevel="1"/>
    <col min="72" max="73" width="9.83203125" style="11" hidden="1" customWidth="1" outlineLevel="1"/>
    <col min="74" max="74" width="6.33203125" style="11" hidden="1" customWidth="1" outlineLevel="1"/>
    <col min="75" max="75" width="1.5" style="2" hidden="1" customWidth="1" outlineLevel="1"/>
    <col min="76" max="76" width="6.6640625" style="2" hidden="1" customWidth="1" outlineLevel="1"/>
    <col min="77" max="78" width="9.83203125" style="11" hidden="1" customWidth="1" outlineLevel="1"/>
    <col min="79" max="79" width="6.33203125" style="11" hidden="1" customWidth="1" outlineLevel="1"/>
    <col min="80" max="80" width="1.5" style="2" hidden="1" customWidth="1" outlineLevel="1"/>
    <col min="81" max="81" width="6.6640625" style="2" hidden="1" customWidth="1" outlineLevel="1"/>
    <col min="82" max="83" width="9.83203125" style="11" hidden="1" customWidth="1" outlineLevel="1"/>
    <col min="84" max="84" width="6.33203125" style="11" hidden="1" customWidth="1" outlineLevel="1"/>
    <col min="85" max="85" width="2.6640625" style="2" customWidth="1" collapsed="1"/>
    <col min="86" max="86" width="73.6640625" style="167" customWidth="1"/>
    <col min="87" max="16384" width="6.6640625" style="2"/>
  </cols>
  <sheetData>
    <row r="1" spans="1:86" s="65" customFormat="1" ht="27" customHeight="1" thickBot="1" x14ac:dyDescent="0.4">
      <c r="A1" s="1" t="str">
        <f>IF('[1]Core Assumptions'!D5="","",'[1]Core Assumptions'!D5)</f>
        <v>Ted Black Tax Return</v>
      </c>
      <c r="D1" s="66"/>
      <c r="E1" s="67" t="s">
        <v>65</v>
      </c>
      <c r="F1" s="68"/>
      <c r="G1" s="68"/>
      <c r="H1" s="67"/>
      <c r="I1" s="67" t="s">
        <v>66</v>
      </c>
      <c r="J1" s="67"/>
      <c r="K1" s="67"/>
      <c r="L1" s="68"/>
      <c r="M1" s="68"/>
      <c r="N1" s="68"/>
      <c r="O1" s="68"/>
      <c r="P1" s="68"/>
      <c r="Q1" s="68"/>
      <c r="R1" s="68"/>
      <c r="S1" s="68"/>
      <c r="T1" s="68"/>
      <c r="U1" s="69" t="str">
        <f>IF(OR('[1]Core Assumptions'!$D$17="No",'[1]Core Assumptions'!$D$18="No"),"Check that Offshoring is Available &amp; Acceptable","")</f>
        <v/>
      </c>
      <c r="V1" s="68"/>
      <c r="W1" s="68"/>
      <c r="X1" s="68"/>
      <c r="Y1" s="68"/>
      <c r="Z1" s="68"/>
      <c r="AA1" s="68"/>
      <c r="AB1" s="68"/>
      <c r="AC1" s="68"/>
      <c r="AD1" s="68"/>
      <c r="AE1" s="68"/>
      <c r="AF1" s="66" t="s">
        <v>67</v>
      </c>
      <c r="AG1" s="70"/>
      <c r="AH1" s="70"/>
      <c r="AI1" s="68"/>
      <c r="AJ1" s="68"/>
      <c r="AK1" s="67"/>
      <c r="AL1" s="67" t="s">
        <v>68</v>
      </c>
      <c r="AM1" s="71"/>
      <c r="AN1" s="71"/>
      <c r="AO1" s="72"/>
      <c r="AP1" s="72"/>
      <c r="AQ1" s="73"/>
      <c r="AR1" s="74"/>
      <c r="AS1" s="67"/>
      <c r="AT1" s="71"/>
      <c r="AU1" s="75"/>
      <c r="AV1" s="70"/>
      <c r="AW1" s="75"/>
      <c r="AX1" s="76"/>
      <c r="AY1" s="75"/>
      <c r="AZ1" s="77"/>
      <c r="BA1" s="78"/>
      <c r="BB1" s="78"/>
      <c r="BC1" s="79"/>
      <c r="BD1" s="67" t="s">
        <v>69</v>
      </c>
      <c r="BF1" s="68"/>
      <c r="BG1" s="68"/>
      <c r="BH1" s="67"/>
      <c r="BI1" s="67"/>
      <c r="BJ1" s="71"/>
      <c r="BK1" s="71"/>
      <c r="BL1" s="71"/>
      <c r="BM1" s="67"/>
      <c r="BN1" s="67"/>
      <c r="BO1" s="71"/>
      <c r="BP1" s="71"/>
      <c r="BQ1" s="71"/>
      <c r="BR1" s="67"/>
      <c r="BS1" s="67" t="s">
        <v>70</v>
      </c>
      <c r="BU1" s="68"/>
      <c r="BV1" s="68"/>
      <c r="BW1" s="67"/>
      <c r="BX1" s="67"/>
      <c r="BY1" s="71"/>
      <c r="BZ1" s="71"/>
      <c r="CA1" s="71"/>
      <c r="CB1" s="67"/>
      <c r="CC1" s="67"/>
      <c r="CD1" s="71"/>
      <c r="CE1" s="71"/>
      <c r="CF1" s="71"/>
      <c r="CG1" s="66" t="s">
        <v>71</v>
      </c>
      <c r="CH1" s="67"/>
    </row>
    <row r="2" spans="1:86" s="65" customFormat="1" ht="21" customHeight="1" x14ac:dyDescent="0.3">
      <c r="A2" s="80"/>
      <c r="B2" s="81"/>
      <c r="C2" s="82" t="s">
        <v>72</v>
      </c>
      <c r="D2" s="66"/>
      <c r="E2" s="83" t="s">
        <v>73</v>
      </c>
      <c r="F2" s="84" t="s">
        <v>74</v>
      </c>
      <c r="G2" s="85" t="s">
        <v>75</v>
      </c>
      <c r="H2" s="71"/>
      <c r="I2" s="86" t="s">
        <v>76</v>
      </c>
      <c r="J2" s="71"/>
      <c r="K2" s="87" t="s">
        <v>77</v>
      </c>
      <c r="L2" s="88" t="s">
        <v>78</v>
      </c>
      <c r="M2" s="88" t="s">
        <v>79</v>
      </c>
      <c r="N2" s="88" t="s">
        <v>80</v>
      </c>
      <c r="O2" s="88" t="s">
        <v>81</v>
      </c>
      <c r="P2" s="88" t="s">
        <v>82</v>
      </c>
      <c r="Q2" s="88" t="s">
        <v>83</v>
      </c>
      <c r="R2" s="88" t="s">
        <v>84</v>
      </c>
      <c r="S2" s="88" t="s">
        <v>85</v>
      </c>
      <c r="T2" s="89" t="s">
        <v>86</v>
      </c>
      <c r="U2" s="87" t="s">
        <v>79</v>
      </c>
      <c r="V2" s="88" t="s">
        <v>80</v>
      </c>
      <c r="W2" s="88" t="s">
        <v>81</v>
      </c>
      <c r="X2" s="88" t="s">
        <v>82</v>
      </c>
      <c r="Y2" s="88" t="s">
        <v>83</v>
      </c>
      <c r="Z2" s="88" t="s">
        <v>84</v>
      </c>
      <c r="AA2" s="89" t="s">
        <v>85</v>
      </c>
      <c r="AB2" s="87" t="s">
        <v>77</v>
      </c>
      <c r="AC2" s="88" t="s">
        <v>79</v>
      </c>
      <c r="AD2" s="88" t="s">
        <v>81</v>
      </c>
      <c r="AE2" s="89" t="s">
        <v>83</v>
      </c>
      <c r="AF2" s="66"/>
      <c r="AG2" s="90" t="s">
        <v>87</v>
      </c>
      <c r="AH2" s="90" t="s">
        <v>88</v>
      </c>
      <c r="AI2" s="87" t="s">
        <v>89</v>
      </c>
      <c r="AJ2" s="89" t="s">
        <v>90</v>
      </c>
      <c r="AK2" s="71"/>
      <c r="AL2" s="91" t="s">
        <v>91</v>
      </c>
      <c r="AM2" s="92" t="s">
        <v>92</v>
      </c>
      <c r="AN2" s="93" t="str">
        <f>IF('[1]Core Assumptions'!D22&gt;=0,CONCATENATE("Step 3.                T&amp;M plus              ",'[1]Core Assumptions'!D22*100,"%     Scoping Adjustment"),CONCATENATE("Step 3.                T&amp;M less              ",-'[1]Core Assumptions'!D22*100,"% Discount on Revenue"))</f>
        <v>Step 3.                T&amp;M plus              0%     Scoping Adjustment</v>
      </c>
      <c r="AO2" s="94" t="s">
        <v>93</v>
      </c>
      <c r="AP2" s="95" t="s">
        <v>38</v>
      </c>
      <c r="AQ2" s="96" t="s">
        <v>94</v>
      </c>
      <c r="AR2" s="97" t="s">
        <v>95</v>
      </c>
      <c r="AS2" s="71"/>
      <c r="AT2" s="98" t="s">
        <v>96</v>
      </c>
      <c r="AU2" s="99"/>
      <c r="AV2" s="90" t="s">
        <v>88</v>
      </c>
      <c r="AW2" s="100" t="s">
        <v>97</v>
      </c>
      <c r="AX2" s="101" t="s">
        <v>98</v>
      </c>
      <c r="AY2" s="99"/>
      <c r="AZ2" s="102" t="s">
        <v>73</v>
      </c>
      <c r="BA2" s="103" t="s">
        <v>74</v>
      </c>
      <c r="BB2" s="104" t="s">
        <v>75</v>
      </c>
      <c r="BC2" s="105"/>
      <c r="BD2" s="106" t="s">
        <v>99</v>
      </c>
      <c r="BE2" s="107"/>
      <c r="BF2" s="107"/>
      <c r="BG2" s="108"/>
      <c r="BH2" s="71"/>
      <c r="BI2" s="109" t="s">
        <v>100</v>
      </c>
      <c r="BJ2" s="110" t="s">
        <v>74</v>
      </c>
      <c r="BK2" s="110"/>
      <c r="BL2" s="111"/>
      <c r="BM2" s="71"/>
      <c r="BN2" s="112" t="s">
        <v>101</v>
      </c>
      <c r="BO2" s="113" t="s">
        <v>75</v>
      </c>
      <c r="BP2" s="113"/>
      <c r="BQ2" s="114"/>
      <c r="BR2" s="71"/>
      <c r="BS2" s="106" t="s">
        <v>102</v>
      </c>
      <c r="BT2" s="107"/>
      <c r="BU2" s="107"/>
      <c r="BV2" s="108"/>
      <c r="BW2" s="71"/>
      <c r="BX2" s="109" t="s">
        <v>103</v>
      </c>
      <c r="BY2" s="110" t="s">
        <v>74</v>
      </c>
      <c r="BZ2" s="110"/>
      <c r="CA2" s="111"/>
      <c r="CB2" s="71"/>
      <c r="CC2" s="112" t="s">
        <v>104</v>
      </c>
      <c r="CD2" s="113" t="s">
        <v>75</v>
      </c>
      <c r="CE2" s="113"/>
      <c r="CF2" s="114"/>
      <c r="CG2" s="66"/>
      <c r="CH2" s="115"/>
    </row>
    <row r="3" spans="1:86" ht="63" customHeight="1" thickBot="1" x14ac:dyDescent="0.4">
      <c r="A3" s="116" t="str">
        <f>'[1]Core Assumptions'!A2</f>
        <v>Scoping and Pricing Calculator - Tax PHB Clients</v>
      </c>
      <c r="B3" s="64"/>
      <c r="C3" s="117"/>
      <c r="D3" s="66"/>
      <c r="E3" s="118"/>
      <c r="F3" s="119"/>
      <c r="G3" s="120"/>
      <c r="H3" s="121"/>
      <c r="I3" s="122"/>
      <c r="J3" s="121"/>
      <c r="K3" s="123"/>
      <c r="L3" s="124"/>
      <c r="M3" s="124"/>
      <c r="N3" s="124"/>
      <c r="O3" s="124"/>
      <c r="P3" s="124"/>
      <c r="Q3" s="124"/>
      <c r="R3" s="124"/>
      <c r="S3" s="124"/>
      <c r="T3" s="125"/>
      <c r="U3" s="123"/>
      <c r="V3" s="124"/>
      <c r="W3" s="124"/>
      <c r="X3" s="124"/>
      <c r="Y3" s="124"/>
      <c r="Z3" s="124"/>
      <c r="AA3" s="125"/>
      <c r="AB3" s="123"/>
      <c r="AC3" s="124"/>
      <c r="AD3" s="124"/>
      <c r="AE3" s="125"/>
      <c r="AF3" s="66"/>
      <c r="AG3" s="126"/>
      <c r="AH3" s="126"/>
      <c r="AI3" s="123"/>
      <c r="AJ3" s="125"/>
      <c r="AK3" s="121"/>
      <c r="AL3" s="127"/>
      <c r="AM3" s="128"/>
      <c r="AN3" s="129"/>
      <c r="AO3" s="130"/>
      <c r="AP3" s="131"/>
      <c r="AQ3" s="132"/>
      <c r="AR3" s="133"/>
      <c r="AS3" s="121"/>
      <c r="AT3" s="134"/>
      <c r="AU3" s="135"/>
      <c r="AV3" s="126"/>
      <c r="AW3" s="136"/>
      <c r="AX3" s="137"/>
      <c r="AY3" s="135"/>
      <c r="AZ3" s="138" t="s">
        <v>105</v>
      </c>
      <c r="BA3" s="139" t="s">
        <v>105</v>
      </c>
      <c r="BB3" s="140" t="s">
        <v>105</v>
      </c>
      <c r="BC3" s="141"/>
      <c r="BD3" s="142" t="s">
        <v>106</v>
      </c>
      <c r="BE3" s="143" t="s">
        <v>107</v>
      </c>
      <c r="BF3" s="143" t="s">
        <v>108</v>
      </c>
      <c r="BG3" s="144" t="s">
        <v>109</v>
      </c>
      <c r="BH3" s="121"/>
      <c r="BI3" s="145" t="s">
        <v>106</v>
      </c>
      <c r="BJ3" s="146" t="s">
        <v>107</v>
      </c>
      <c r="BK3" s="146" t="s">
        <v>108</v>
      </c>
      <c r="BL3" s="147" t="s">
        <v>109</v>
      </c>
      <c r="BM3" s="121"/>
      <c r="BN3" s="148" t="s">
        <v>106</v>
      </c>
      <c r="BO3" s="149" t="s">
        <v>107</v>
      </c>
      <c r="BP3" s="149" t="s">
        <v>108</v>
      </c>
      <c r="BQ3" s="150" t="s">
        <v>109</v>
      </c>
      <c r="BR3" s="121"/>
      <c r="BS3" s="142" t="s">
        <v>106</v>
      </c>
      <c r="BT3" s="143" t="s">
        <v>107</v>
      </c>
      <c r="BU3" s="143" t="s">
        <v>108</v>
      </c>
      <c r="BV3" s="144" t="s">
        <v>109</v>
      </c>
      <c r="BW3" s="121"/>
      <c r="BX3" s="145" t="s">
        <v>106</v>
      </c>
      <c r="BY3" s="146" t="s">
        <v>107</v>
      </c>
      <c r="BZ3" s="146" t="s">
        <v>108</v>
      </c>
      <c r="CA3" s="147" t="s">
        <v>109</v>
      </c>
      <c r="CB3" s="121"/>
      <c r="CC3" s="148" t="s">
        <v>106</v>
      </c>
      <c r="CD3" s="149" t="s">
        <v>107</v>
      </c>
      <c r="CE3" s="149" t="s">
        <v>108</v>
      </c>
      <c r="CF3" s="150" t="s">
        <v>109</v>
      </c>
      <c r="CG3" s="66"/>
      <c r="CH3" s="151" t="s">
        <v>110</v>
      </c>
    </row>
    <row r="4" spans="1:86" ht="24" customHeight="1" x14ac:dyDescent="0.25">
      <c r="B4" s="8" t="s">
        <v>2</v>
      </c>
      <c r="C4" s="152"/>
      <c r="D4" s="66"/>
      <c r="H4" s="7"/>
      <c r="K4" s="153" t="e" vm="1">
        <v>#VALUE!</v>
      </c>
      <c r="L4" s="153" t="e" vm="1">
        <v>#VALUE!</v>
      </c>
      <c r="M4" s="153" t="e" vm="1">
        <v>#VALUE!</v>
      </c>
      <c r="N4" s="153" t="e" vm="1">
        <v>#VALUE!</v>
      </c>
      <c r="O4" s="153" t="e" vm="1">
        <v>#VALUE!</v>
      </c>
      <c r="P4" s="153" t="e" vm="1">
        <v>#VALUE!</v>
      </c>
      <c r="Q4" s="153" t="e" vm="1">
        <v>#VALUE!</v>
      </c>
      <c r="R4" s="153" t="e" vm="1">
        <v>#VALUE!</v>
      </c>
      <c r="S4" s="153" t="e" vm="1">
        <v>#VALUE!</v>
      </c>
      <c r="T4" s="153" t="e" vm="1">
        <v>#VALUE!</v>
      </c>
      <c r="U4" s="154" t="e" vm="2">
        <v>#VALUE!</v>
      </c>
      <c r="V4" s="154" t="e" vm="2">
        <v>#VALUE!</v>
      </c>
      <c r="W4" s="154" t="e" vm="2">
        <v>#VALUE!</v>
      </c>
      <c r="X4" s="154" t="e" vm="2">
        <v>#VALUE!</v>
      </c>
      <c r="Y4" s="154" t="e" vm="2">
        <v>#VALUE!</v>
      </c>
      <c r="Z4" s="154" t="e" vm="2">
        <v>#VALUE!</v>
      </c>
      <c r="AA4" s="154" t="e" vm="2">
        <v>#VALUE!</v>
      </c>
      <c r="AB4" s="154" t="e" vm="3">
        <v>#VALUE!</v>
      </c>
      <c r="AC4" s="154" t="e" vm="3">
        <v>#VALUE!</v>
      </c>
      <c r="AD4" s="154" t="e" vm="3">
        <v>#VALUE!</v>
      </c>
      <c r="AE4" s="154" t="e" vm="3">
        <v>#VALUE!</v>
      </c>
      <c r="AF4" s="66"/>
      <c r="AG4" s="155"/>
      <c r="AH4" s="155"/>
      <c r="AV4" s="155"/>
      <c r="AZ4" s="158"/>
      <c r="BA4" s="158"/>
      <c r="BB4" s="158"/>
      <c r="BE4" s="2"/>
      <c r="BF4" s="2"/>
      <c r="BG4" s="2"/>
      <c r="BJ4" s="2"/>
      <c r="BK4" s="2"/>
      <c r="BL4" s="2"/>
      <c r="BO4" s="2"/>
      <c r="BP4" s="2"/>
      <c r="BQ4" s="2"/>
      <c r="BT4" s="2"/>
      <c r="BU4" s="2"/>
      <c r="BV4" s="2"/>
      <c r="BY4" s="2"/>
      <c r="BZ4" s="2"/>
      <c r="CA4" s="2"/>
      <c r="CD4" s="2"/>
      <c r="CE4" s="2"/>
      <c r="CF4" s="2"/>
      <c r="CG4" s="66"/>
      <c r="CH4" s="2"/>
    </row>
    <row r="5" spans="1:86" ht="8.25" customHeight="1" thickBot="1" x14ac:dyDescent="0.25">
      <c r="A5" s="160"/>
      <c r="B5" s="161"/>
      <c r="C5" s="161"/>
      <c r="D5" s="162"/>
      <c r="E5" s="162"/>
      <c r="F5" s="162"/>
      <c r="G5" s="162"/>
      <c r="H5" s="162"/>
      <c r="J5" s="162"/>
      <c r="AB5" s="154"/>
      <c r="AF5" s="162"/>
      <c r="AK5" s="162"/>
      <c r="AO5" s="11"/>
      <c r="AP5" s="11"/>
      <c r="AQ5" s="163"/>
      <c r="AS5" s="162"/>
      <c r="AU5" s="164"/>
      <c r="AX5" s="157"/>
      <c r="AY5" s="164"/>
      <c r="BC5" s="166"/>
      <c r="BD5" s="162"/>
      <c r="BG5" s="7"/>
      <c r="BH5" s="162"/>
      <c r="BI5" s="162"/>
      <c r="BM5" s="162"/>
      <c r="BN5" s="162"/>
      <c r="BR5" s="162"/>
      <c r="BS5" s="162"/>
      <c r="BV5" s="7"/>
      <c r="BW5" s="162"/>
      <c r="BX5" s="162"/>
      <c r="CB5" s="162"/>
      <c r="CC5" s="162"/>
      <c r="CG5" s="162"/>
    </row>
    <row r="6" spans="1:86" s="11" customFormat="1" ht="16.5" customHeight="1" thickBot="1" x14ac:dyDescent="0.25">
      <c r="A6" s="168"/>
      <c r="B6" s="169" t="str">
        <f>'[1]Pricing Summary'!X2</f>
        <v xml:space="preserve">Comparison Data - Alacon Investors, LLC Partnership LLC Return 2024/12 (PRJ000162919)
</v>
      </c>
      <c r="C6" s="170"/>
      <c r="D6" s="171" t="s">
        <v>11</v>
      </c>
      <c r="E6" s="172"/>
      <c r="F6" s="172"/>
      <c r="G6" s="172"/>
      <c r="H6" s="172"/>
      <c r="I6" s="172"/>
      <c r="J6" s="172"/>
      <c r="K6" s="173">
        <f>SUMIFS('[1]Project Profitability Import'!$M:$M,'[1]PPI Links'!$A:$A,"US",'[1]PPI Links'!$B:$B,K$2)</f>
        <v>0</v>
      </c>
      <c r="L6" s="174">
        <f>SUMIFS('[1]Project Profitability Import'!$M:$M,'[1]PPI Links'!$A:$A,"US",'[1]PPI Links'!$B:$B,L$2)</f>
        <v>0</v>
      </c>
      <c r="M6" s="174">
        <f>SUMIFS('[1]Project Profitability Import'!$M:$M,'[1]PPI Links'!$A:$A,"US",'[1]PPI Links'!$B:$B,M$2)</f>
        <v>0</v>
      </c>
      <c r="N6" s="174">
        <f>SUMIFS('[1]Project Profitability Import'!$M:$M,'[1]PPI Links'!$A:$A,"US",'[1]PPI Links'!$B:$B,N$2)</f>
        <v>0</v>
      </c>
      <c r="O6" s="174">
        <f>SUMIFS('[1]Project Profitability Import'!$M:$M,'[1]PPI Links'!$A:$A,"US",'[1]PPI Links'!$B:$B,O$2)</f>
        <v>0</v>
      </c>
      <c r="P6" s="174">
        <f>SUMIFS('[1]Project Profitability Import'!$M:$M,'[1]PPI Links'!$A:$A,"US",'[1]PPI Links'!$B:$B,P$2)</f>
        <v>0</v>
      </c>
      <c r="Q6" s="174">
        <f>SUMIFS('[1]Project Profitability Import'!$M:$M,'[1]PPI Links'!$A:$A,"US",'[1]PPI Links'!$B:$B,Q$2)</f>
        <v>0</v>
      </c>
      <c r="R6" s="174">
        <f>SUMIFS('[1]Project Profitability Import'!$M:$M,'[1]PPI Links'!$A:$A,"US",'[1]PPI Links'!$B:$B,R$2)</f>
        <v>0</v>
      </c>
      <c r="S6" s="174">
        <f>SUMIFS('[1]Project Profitability Import'!$M:$M,'[1]PPI Links'!$A:$A,"US",'[1]PPI Links'!$B:$B,S$2)</f>
        <v>10.8</v>
      </c>
      <c r="T6" s="174">
        <f>SUMIFS('[1]Project Profitability Import'!$M:$M,'[1]PPI Links'!$A:$A,"US",'[1]PPI Links'!$B:$B,T$2)</f>
        <v>0</v>
      </c>
      <c r="U6" s="173">
        <f>SUMIFS('[1]Project Profitability Import'!$M:$M,'[1]PPI Links'!$A:$A,"India",'[1]PPI Links'!$B:$B,U$2)</f>
        <v>0</v>
      </c>
      <c r="V6" s="174">
        <f>SUMIFS('[1]Project Profitability Import'!$M:$M,'[1]PPI Links'!$A:$A,"India",'[1]PPI Links'!$B:$B,V$2)</f>
        <v>0</v>
      </c>
      <c r="W6" s="174">
        <f>SUMIFS('[1]Project Profitability Import'!$M:$M,'[1]PPI Links'!$A:$A,"India",'[1]PPI Links'!$B:$B,W$2)</f>
        <v>0</v>
      </c>
      <c r="X6" s="174">
        <f>SUMIFS('[1]Project Profitability Import'!$M:$M,'[1]PPI Links'!$A:$A,"India",'[1]PPI Links'!$B:$B,X$2)</f>
        <v>0</v>
      </c>
      <c r="Y6" s="174">
        <f>SUMIFS('[1]Project Profitability Import'!$M:$M,'[1]PPI Links'!$A:$A,"India",'[1]PPI Links'!$B:$B,Y$2)</f>
        <v>0</v>
      </c>
      <c r="Z6" s="174">
        <f>SUMIFS('[1]Project Profitability Import'!$M:$M,'[1]PPI Links'!$A:$A,"India",'[1]PPI Links'!$B:$B,Z$2)</f>
        <v>0</v>
      </c>
      <c r="AA6" s="175">
        <f>SUMIFS('[1]Project Profitability Import'!$M:$M,'[1]PPI Links'!$A:$A,"India",'[1]PPI Links'!$B:$B,AA$2)</f>
        <v>0</v>
      </c>
      <c r="AB6" s="174">
        <f>SUMIFS('[1]Project Profitability Import'!$M:$M,'[1]PPI Links'!$A:$A,"Philippines",'[1]PPI Links'!$B:$B,AB$2)</f>
        <v>0</v>
      </c>
      <c r="AC6" s="174">
        <f>SUMIFS('[1]Project Profitability Import'!$M:$M,'[1]PPI Links'!$A:$A,"Philippines",'[1]PPI Links'!$B:$B,AC$2)</f>
        <v>0</v>
      </c>
      <c r="AD6" s="174">
        <f>SUMIFS('[1]Project Profitability Import'!$M:$M,'[1]PPI Links'!$A:$A,"Philippines",'[1]PPI Links'!$B:$B,AD$2)</f>
        <v>0</v>
      </c>
      <c r="AE6" s="175">
        <f>SUMIFS('[1]Project Profitability Import'!$M:$M,'[1]PPI Links'!$A:$A,"Philippines",'[1]PPI Links'!$B:$B,AE$2)</f>
        <v>0</v>
      </c>
      <c r="AG6" s="176"/>
      <c r="AH6" s="176"/>
      <c r="AI6" s="173">
        <f>SUM(K6:AA6)</f>
        <v>10.8</v>
      </c>
      <c r="AJ6" s="177">
        <f>IFERROR(SUM($U6:$AA6)/$AI6,0)</f>
        <v>0</v>
      </c>
      <c r="AK6" s="172"/>
      <c r="AL6" s="178">
        <f>MAX('[1]Project Profitability Import'!$N:$N)</f>
        <v>7236</v>
      </c>
      <c r="AM6" s="179">
        <f>MAX('[1]Project Profitability Import'!$Q:$Q)</f>
        <v>7236</v>
      </c>
      <c r="AN6" s="179">
        <f>MAX('[1]Project Profitability Import'!$T:$T)</f>
        <v>7236</v>
      </c>
      <c r="AO6" s="180">
        <f>AN6</f>
        <v>7236</v>
      </c>
      <c r="AP6" s="181"/>
      <c r="AQ6" s="182">
        <f t="shared" ref="AQ6" si="0">IF(AL6=0,0,AO6/AL6)</f>
        <v>1</v>
      </c>
      <c r="AR6" s="183">
        <f>IFERROR(AO6/SUM(K6:AE6),0)</f>
        <v>670</v>
      </c>
      <c r="AS6" s="184"/>
      <c r="AT6" s="185">
        <f>-MIN('[1]Project Profitability Import'!$V:$V)</f>
        <v>1442.22</v>
      </c>
      <c r="AU6" s="186"/>
      <c r="AV6" s="176"/>
      <c r="AW6" s="186"/>
      <c r="AX6" s="186"/>
      <c r="AY6" s="186"/>
      <c r="AZ6" s="178">
        <f>AL6</f>
        <v>7236</v>
      </c>
      <c r="BA6" s="179">
        <f>AL6</f>
        <v>7236</v>
      </c>
      <c r="BB6" s="180">
        <f>AL6</f>
        <v>7236</v>
      </c>
      <c r="BC6" s="187"/>
      <c r="BD6" s="173">
        <f>AI6</f>
        <v>10.8</v>
      </c>
      <c r="BE6" s="179">
        <f>AO6</f>
        <v>7236</v>
      </c>
      <c r="BF6" s="179">
        <f>BE6+MIN('[1]Project Profitability Import'!$V:$V)</f>
        <v>5793.78</v>
      </c>
      <c r="BG6" s="188">
        <f t="shared" ref="BG6" si="1">IFERROR(BF6/BE6,0)</f>
        <v>0.80068822553897179</v>
      </c>
      <c r="BH6" s="184"/>
      <c r="BI6" s="173">
        <f>$AI6</f>
        <v>10.8</v>
      </c>
      <c r="BJ6" s="179">
        <f>$AO6</f>
        <v>7236</v>
      </c>
      <c r="BK6" s="179">
        <f>BJ6+MIN('[1]Project Profitability Import'!$V:$V)</f>
        <v>5793.78</v>
      </c>
      <c r="BL6" s="188">
        <f t="shared" ref="BL6" si="2">IFERROR(BK6/BJ6,0)</f>
        <v>0.80068822553897179</v>
      </c>
      <c r="BN6" s="173">
        <f>$AI6</f>
        <v>10.8</v>
      </c>
      <c r="BO6" s="179">
        <f>$AO6</f>
        <v>7236</v>
      </c>
      <c r="BP6" s="179">
        <f>BO6+MIN('[1]Project Profitability Import'!$V:$V)</f>
        <v>5793.78</v>
      </c>
      <c r="BQ6" s="188">
        <f t="shared" ref="BQ6" si="3">IFERROR(BP6/BO6,0)</f>
        <v>0.80068822553897179</v>
      </c>
      <c r="BR6" s="184"/>
      <c r="BS6" s="173">
        <f>$AI6</f>
        <v>10.8</v>
      </c>
      <c r="BT6" s="179">
        <f>$AO6</f>
        <v>7236</v>
      </c>
      <c r="BU6" s="179">
        <f>BT6+MIN('[1]Project Profitability Import'!$V:$V)</f>
        <v>5793.78</v>
      </c>
      <c r="BV6" s="188">
        <f t="shared" ref="BV6" si="4">IFERROR(BU6/BT6,0)</f>
        <v>0.80068822553897179</v>
      </c>
      <c r="BW6" s="184"/>
      <c r="BX6" s="173">
        <f>$AI6</f>
        <v>10.8</v>
      </c>
      <c r="BY6" s="179">
        <f>$AO6</f>
        <v>7236</v>
      </c>
      <c r="BZ6" s="179">
        <f>BY6+MIN('[1]Project Profitability Import'!$V:$V)</f>
        <v>5793.78</v>
      </c>
      <c r="CA6" s="188">
        <f t="shared" ref="CA6" si="5">IFERROR(BZ6/BY6,0)</f>
        <v>0.80068822553897179</v>
      </c>
      <c r="CC6" s="173">
        <f>$AI6</f>
        <v>10.8</v>
      </c>
      <c r="CD6" s="179">
        <f>$AO6</f>
        <v>7236</v>
      </c>
      <c r="CE6" s="179">
        <f>CD6+MIN('[1]Project Profitability Import'!$V:$V)</f>
        <v>5793.78</v>
      </c>
      <c r="CF6" s="188">
        <f t="shared" ref="CF6" si="6">IFERROR(CE6/CD6,0)</f>
        <v>0.80068822553897179</v>
      </c>
      <c r="CH6" s="167"/>
    </row>
    <row r="7" spans="1:86" s="11" customFormat="1" ht="17" thickBot="1" x14ac:dyDescent="0.25">
      <c r="A7" s="168"/>
      <c r="B7" s="189" t="s">
        <v>111</v>
      </c>
      <c r="C7" s="190"/>
      <c r="D7" s="172"/>
      <c r="E7" s="172"/>
      <c r="F7" s="172"/>
      <c r="G7" s="172"/>
      <c r="H7" s="172"/>
      <c r="J7" s="191"/>
      <c r="K7" s="192">
        <f>K192</f>
        <v>0</v>
      </c>
      <c r="L7" s="193">
        <f t="shared" ref="L7:AE7" si="7">L192</f>
        <v>0</v>
      </c>
      <c r="M7" s="193">
        <f t="shared" si="7"/>
        <v>0</v>
      </c>
      <c r="N7" s="193">
        <f t="shared" si="7"/>
        <v>0</v>
      </c>
      <c r="O7" s="193">
        <f t="shared" si="7"/>
        <v>0</v>
      </c>
      <c r="P7" s="193">
        <f t="shared" si="7"/>
        <v>0</v>
      </c>
      <c r="Q7" s="193">
        <f t="shared" si="7"/>
        <v>0</v>
      </c>
      <c r="R7" s="193">
        <f t="shared" si="7"/>
        <v>40</v>
      </c>
      <c r="S7" s="193">
        <f t="shared" si="7"/>
        <v>0</v>
      </c>
      <c r="T7" s="193">
        <f t="shared" si="7"/>
        <v>0</v>
      </c>
      <c r="U7" s="192">
        <f t="shared" si="7"/>
        <v>0</v>
      </c>
      <c r="V7" s="193">
        <f t="shared" si="7"/>
        <v>0</v>
      </c>
      <c r="W7" s="193">
        <f t="shared" si="7"/>
        <v>0</v>
      </c>
      <c r="X7" s="193">
        <f t="shared" si="7"/>
        <v>0</v>
      </c>
      <c r="Y7" s="193">
        <f t="shared" si="7"/>
        <v>0</v>
      </c>
      <c r="Z7" s="193">
        <f t="shared" si="7"/>
        <v>0</v>
      </c>
      <c r="AA7" s="194">
        <f t="shared" si="7"/>
        <v>0</v>
      </c>
      <c r="AB7" s="193">
        <f t="shared" si="7"/>
        <v>0</v>
      </c>
      <c r="AC7" s="193">
        <f t="shared" si="7"/>
        <v>0</v>
      </c>
      <c r="AD7" s="193">
        <f t="shared" si="7"/>
        <v>0</v>
      </c>
      <c r="AE7" s="194">
        <f t="shared" si="7"/>
        <v>0</v>
      </c>
      <c r="AF7" s="184"/>
      <c r="AG7" s="176"/>
      <c r="AH7" s="176"/>
      <c r="AI7" s="192">
        <f>AI192</f>
        <v>40</v>
      </c>
      <c r="AJ7" s="195">
        <f>AJ192</f>
        <v>0</v>
      </c>
      <c r="AK7" s="172"/>
      <c r="AL7" s="196">
        <f t="shared" ref="AL7:AX7" si="8">AL192</f>
        <v>23000</v>
      </c>
      <c r="AM7" s="197">
        <f t="shared" si="8"/>
        <v>23000</v>
      </c>
      <c r="AN7" s="197">
        <f t="shared" si="8"/>
        <v>23200</v>
      </c>
      <c r="AO7" s="198">
        <f t="shared" si="8"/>
        <v>23100</v>
      </c>
      <c r="AP7" s="199">
        <f>AP192</f>
        <v>16800</v>
      </c>
      <c r="AQ7" s="200">
        <f t="shared" si="8"/>
        <v>1.0043478260869565</v>
      </c>
      <c r="AR7" s="201">
        <f t="shared" si="8"/>
        <v>577.5</v>
      </c>
      <c r="AS7" s="184"/>
      <c r="AT7" s="202">
        <f t="shared" si="8"/>
        <v>4280</v>
      </c>
      <c r="AU7" s="186"/>
      <c r="AV7" s="176"/>
      <c r="AW7" s="203">
        <f t="shared" si="8"/>
        <v>23000</v>
      </c>
      <c r="AX7" s="204">
        <f t="shared" si="8"/>
        <v>23100</v>
      </c>
      <c r="AY7" s="186"/>
      <c r="AZ7" s="203">
        <f t="shared" ref="AZ7:BB7" si="9">AZ192</f>
        <v>23000</v>
      </c>
      <c r="BA7" s="205">
        <f t="shared" si="9"/>
        <v>23000</v>
      </c>
      <c r="BB7" s="204">
        <f t="shared" si="9"/>
        <v>23000</v>
      </c>
      <c r="BC7" s="187"/>
      <c r="BD7" s="206">
        <f>BD196</f>
        <v>40</v>
      </c>
      <c r="BE7" s="207">
        <f>BE196</f>
        <v>23000</v>
      </c>
      <c r="BF7" s="207">
        <f>BF196</f>
        <v>18720</v>
      </c>
      <c r="BG7" s="208">
        <f>BG196</f>
        <v>0.81391304347826088</v>
      </c>
      <c r="BH7" s="184"/>
      <c r="BI7" s="209">
        <f>BI196</f>
        <v>40</v>
      </c>
      <c r="BJ7" s="210">
        <f>BJ196</f>
        <v>23000</v>
      </c>
      <c r="BK7" s="210">
        <f>BK196</f>
        <v>18720</v>
      </c>
      <c r="BL7" s="211">
        <f>BL196</f>
        <v>0.81391304347826088</v>
      </c>
      <c r="BM7" s="184"/>
      <c r="BN7" s="212">
        <f>BN196</f>
        <v>40</v>
      </c>
      <c r="BO7" s="213">
        <f>BO196</f>
        <v>23000</v>
      </c>
      <c r="BP7" s="213">
        <f>BP196</f>
        <v>18720</v>
      </c>
      <c r="BQ7" s="214">
        <f>BQ196</f>
        <v>0.81391304347826088</v>
      </c>
      <c r="BR7" s="184"/>
      <c r="BS7" s="206">
        <f>BS196</f>
        <v>40</v>
      </c>
      <c r="BT7" s="207">
        <f>BT196</f>
        <v>23100</v>
      </c>
      <c r="BU7" s="207">
        <f>BU196</f>
        <v>18820</v>
      </c>
      <c r="BV7" s="208">
        <f>BV196</f>
        <v>0.81471861471861473</v>
      </c>
      <c r="BW7" s="184"/>
      <c r="BX7" s="209">
        <f>BX196</f>
        <v>40</v>
      </c>
      <c r="BY7" s="210">
        <f>BY196</f>
        <v>23100</v>
      </c>
      <c r="BZ7" s="210">
        <f>BZ196</f>
        <v>18820</v>
      </c>
      <c r="CA7" s="211">
        <f>CA196</f>
        <v>0.81471861471861473</v>
      </c>
      <c r="CB7" s="184"/>
      <c r="CC7" s="212">
        <f>CC196</f>
        <v>40</v>
      </c>
      <c r="CD7" s="213">
        <f>CD196</f>
        <v>23100</v>
      </c>
      <c r="CE7" s="213">
        <f>CE196</f>
        <v>18820</v>
      </c>
      <c r="CF7" s="214">
        <f>CF196</f>
        <v>0.81471861471861473</v>
      </c>
      <c r="CG7" s="184"/>
      <c r="CH7" s="167"/>
    </row>
    <row r="8" spans="1:86" s="11" customFormat="1" ht="16.5" customHeight="1" thickBot="1" x14ac:dyDescent="0.25">
      <c r="A8" s="168"/>
      <c r="B8" s="215" t="s">
        <v>112</v>
      </c>
      <c r="C8" s="216"/>
      <c r="D8" s="172"/>
      <c r="E8" s="172"/>
      <c r="F8" s="172"/>
      <c r="G8" s="172"/>
      <c r="H8" s="172"/>
      <c r="J8" s="191"/>
      <c r="K8" s="217"/>
      <c r="L8" s="217"/>
      <c r="M8" s="217"/>
      <c r="N8" s="217"/>
      <c r="O8" s="217"/>
      <c r="P8" s="217"/>
      <c r="Q8" s="217"/>
      <c r="R8" s="217"/>
      <c r="S8" s="217"/>
      <c r="T8" s="217"/>
      <c r="U8" s="217"/>
      <c r="V8" s="217"/>
      <c r="W8" s="217"/>
      <c r="X8" s="217"/>
      <c r="Y8" s="217"/>
      <c r="Z8" s="217"/>
      <c r="AA8" s="217"/>
      <c r="AB8" s="217"/>
      <c r="AC8" s="217"/>
      <c r="AD8" s="217"/>
      <c r="AE8" s="217"/>
      <c r="AF8" s="184"/>
      <c r="AG8" s="176"/>
      <c r="AH8" s="176"/>
      <c r="AI8" s="217"/>
      <c r="AJ8" s="218"/>
      <c r="AK8" s="172"/>
      <c r="AL8" s="196">
        <f>AL7-$AT7</f>
        <v>18720</v>
      </c>
      <c r="AM8" s="197">
        <f t="shared" ref="AM8:AO8" si="10">AM7-$AT7</f>
        <v>18720</v>
      </c>
      <c r="AN8" s="197">
        <f t="shared" si="10"/>
        <v>18920</v>
      </c>
      <c r="AO8" s="198">
        <f t="shared" si="10"/>
        <v>18820</v>
      </c>
      <c r="AP8" s="199">
        <f>AT7/(1-'[1]Core Assumptions'!D28)*'[1]Core Assumptions'!D28</f>
        <v>12570.393700787401</v>
      </c>
      <c r="AQ8" s="219"/>
      <c r="AR8" s="220"/>
      <c r="AS8" s="184"/>
      <c r="AT8" s="221"/>
      <c r="AU8" s="186"/>
      <c r="AV8" s="176"/>
      <c r="AW8" s="222"/>
      <c r="AX8" s="222"/>
      <c r="AY8" s="186"/>
      <c r="AZ8" s="222"/>
      <c r="BA8" s="222"/>
      <c r="BB8" s="222"/>
      <c r="BC8" s="187"/>
      <c r="BD8" s="187"/>
      <c r="BE8" s="187"/>
      <c r="BF8" s="187"/>
      <c r="BG8" s="187"/>
      <c r="BH8" s="187"/>
      <c r="BI8" s="187"/>
      <c r="BJ8" s="187"/>
      <c r="BK8" s="187"/>
      <c r="BL8" s="187"/>
      <c r="BM8" s="187"/>
      <c r="BN8" s="187"/>
      <c r="BO8" s="187"/>
      <c r="BP8" s="187"/>
      <c r="BQ8" s="187"/>
      <c r="BR8" s="187"/>
      <c r="BS8" s="187"/>
      <c r="BT8" s="187"/>
      <c r="BU8" s="187"/>
      <c r="BV8" s="187"/>
      <c r="BW8" s="187"/>
      <c r="BX8" s="187"/>
      <c r="BY8" s="187"/>
      <c r="BZ8" s="187"/>
      <c r="CA8" s="187"/>
      <c r="CB8" s="187"/>
      <c r="CC8" s="187"/>
      <c r="CD8" s="187"/>
      <c r="CE8" s="187"/>
      <c r="CF8" s="187"/>
      <c r="CG8" s="184"/>
      <c r="CH8" s="167"/>
    </row>
    <row r="9" spans="1:86" s="11" customFormat="1" ht="17" thickBot="1" x14ac:dyDescent="0.25">
      <c r="A9" s="168"/>
      <c r="B9" s="215" t="s">
        <v>113</v>
      </c>
      <c r="C9" s="216"/>
      <c r="D9" s="172"/>
      <c r="E9" s="172"/>
      <c r="F9" s="172"/>
      <c r="G9" s="172"/>
      <c r="H9" s="172"/>
      <c r="J9" s="191"/>
      <c r="K9" s="217"/>
      <c r="L9" s="217"/>
      <c r="M9" s="217"/>
      <c r="N9" s="217"/>
      <c r="O9" s="217"/>
      <c r="P9" s="217"/>
      <c r="Q9" s="217"/>
      <c r="R9" s="217"/>
      <c r="S9" s="217"/>
      <c r="T9" s="217"/>
      <c r="U9" s="217"/>
      <c r="V9" s="217"/>
      <c r="W9" s="217"/>
      <c r="X9" s="217"/>
      <c r="Y9" s="217"/>
      <c r="Z9" s="217"/>
      <c r="AA9" s="217"/>
      <c r="AB9" s="217"/>
      <c r="AC9" s="217"/>
      <c r="AD9" s="217"/>
      <c r="AE9" s="217"/>
      <c r="AF9" s="184"/>
      <c r="AG9" s="176"/>
      <c r="AH9" s="176"/>
      <c r="AI9" s="217"/>
      <c r="AJ9" s="218"/>
      <c r="AK9" s="172"/>
      <c r="AL9" s="223">
        <f>IF(AL7=0,0,AL8/AL7)</f>
        <v>0.81391304347826088</v>
      </c>
      <c r="AM9" s="224">
        <f>IF(AM7=0,0,AM8/AM7)</f>
        <v>0.81391304347826088</v>
      </c>
      <c r="AN9" s="224">
        <f>IF(AN7=0,0,AN8/AN7)</f>
        <v>0.81551724137931036</v>
      </c>
      <c r="AO9" s="225">
        <f>IF(AO7=0,0,AO8/AO7)</f>
        <v>0.81471861471861473</v>
      </c>
      <c r="AP9" s="226">
        <f>IF(AP7=0,0,AP8/AP7)</f>
        <v>0.74823772028496438</v>
      </c>
      <c r="AQ9" s="219"/>
      <c r="AR9" s="220"/>
      <c r="AS9" s="184"/>
      <c r="AT9" s="221"/>
      <c r="AU9" s="186"/>
      <c r="AV9" s="176"/>
      <c r="AW9" s="222"/>
      <c r="AX9" s="222"/>
      <c r="AY9" s="186"/>
      <c r="AZ9" s="222"/>
      <c r="BA9" s="222"/>
      <c r="BB9" s="222"/>
      <c r="BC9" s="187"/>
      <c r="BD9" s="187"/>
      <c r="BE9" s="187"/>
      <c r="BF9" s="187"/>
      <c r="BG9" s="187"/>
      <c r="BH9" s="187"/>
      <c r="BI9" s="187"/>
      <c r="BJ9" s="187"/>
      <c r="BK9" s="187"/>
      <c r="BL9" s="187"/>
      <c r="BM9" s="187"/>
      <c r="BN9" s="187"/>
      <c r="BO9" s="187"/>
      <c r="BP9" s="187"/>
      <c r="BQ9" s="187"/>
      <c r="BR9" s="187"/>
      <c r="BS9" s="187"/>
      <c r="BT9" s="187"/>
      <c r="BU9" s="187"/>
      <c r="BV9" s="187"/>
      <c r="BW9" s="187"/>
      <c r="BX9" s="187"/>
      <c r="BY9" s="187"/>
      <c r="BZ9" s="187"/>
      <c r="CA9" s="187"/>
      <c r="CB9" s="187"/>
      <c r="CC9" s="187"/>
      <c r="CD9" s="187"/>
      <c r="CE9" s="187"/>
      <c r="CF9" s="187"/>
      <c r="CG9" s="184"/>
      <c r="CH9" s="167"/>
    </row>
    <row r="10" spans="1:86" ht="8.25" hidden="1" customHeight="1" outlineLevel="1" x14ac:dyDescent="0.2">
      <c r="A10" s="160"/>
      <c r="B10" s="161"/>
      <c r="C10" s="161"/>
      <c r="D10" s="162"/>
      <c r="E10" s="162"/>
      <c r="F10" s="162"/>
      <c r="G10" s="162"/>
      <c r="H10" s="162"/>
      <c r="J10" s="162"/>
      <c r="AF10" s="162"/>
      <c r="AK10" s="162"/>
      <c r="AO10" s="11"/>
      <c r="AP10" s="11"/>
      <c r="AQ10" s="163"/>
      <c r="AS10" s="162"/>
      <c r="AU10" s="164"/>
      <c r="AX10" s="157"/>
      <c r="AY10" s="164"/>
      <c r="BC10" s="166"/>
      <c r="BD10" s="162"/>
      <c r="BG10" s="7"/>
      <c r="BH10" s="162"/>
      <c r="BI10" s="162"/>
      <c r="BM10" s="162"/>
      <c r="BN10" s="162"/>
      <c r="BR10" s="162"/>
      <c r="BS10" s="162"/>
      <c r="BV10" s="7"/>
      <c r="BW10" s="162"/>
      <c r="BX10" s="162"/>
      <c r="CB10" s="162"/>
      <c r="CC10" s="162"/>
      <c r="CG10" s="162"/>
    </row>
    <row r="11" spans="1:86" ht="15.75" hidden="1" customHeight="1" outlineLevel="1" x14ac:dyDescent="0.2">
      <c r="A11" s="227" t="str">
        <f>CONCATENATE('[1]Core Assumptions'!$D$7," Standard Rates")</f>
        <v>PHB Standard Rates</v>
      </c>
      <c r="K11" s="228">
        <f>VLOOKUP(K$2,'[1]Rates + Costs'!$A:$B,2,FALSE)</f>
        <v>155</v>
      </c>
      <c r="L11" s="228">
        <f>VLOOKUP(L$2,'[1]Rates + Costs'!$A:$B,2,FALSE)</f>
        <v>215</v>
      </c>
      <c r="M11" s="228">
        <f>VLOOKUP(M$2,'[1]Rates + Costs'!$A:$B,2,FALSE)</f>
        <v>275</v>
      </c>
      <c r="N11" s="228">
        <f>VLOOKUP(N$2,'[1]Rates + Costs'!$A:$B,2,FALSE)</f>
        <v>300</v>
      </c>
      <c r="O11" s="228">
        <f>VLOOKUP(O$2,'[1]Rates + Costs'!$A:$B,2,FALSE)</f>
        <v>365</v>
      </c>
      <c r="P11" s="228">
        <f>VLOOKUP(P$2,'[1]Rates + Costs'!$A:$B,2,FALSE)</f>
        <v>395</v>
      </c>
      <c r="Q11" s="228">
        <f>VLOOKUP(Q$2,'[1]Rates + Costs'!$A:$B,2,FALSE)</f>
        <v>450</v>
      </c>
      <c r="R11" s="228">
        <f>VLOOKUP(R$2,'[1]Rates + Costs'!$A:$B,2,FALSE)</f>
        <v>575</v>
      </c>
      <c r="S11" s="228">
        <f>VLOOKUP(S$2,'[1]Rates + Costs'!$A:$B,2,FALSE)</f>
        <v>695</v>
      </c>
      <c r="T11" s="228">
        <f>VLOOKUP(T$2,'[1]Rates + Costs'!$A:$B,2,FALSE)</f>
        <v>910</v>
      </c>
      <c r="U11" s="228">
        <f>VLOOKUP(U$2,'[1]Rates + Costs'!$W:$X,2,FALSE)</f>
        <v>210</v>
      </c>
      <c r="V11" s="228">
        <f>VLOOKUP(V$2,'[1]Rates + Costs'!$W:$X,2,FALSE)</f>
        <v>230</v>
      </c>
      <c r="W11" s="228">
        <f>VLOOKUP(W$2,'[1]Rates + Costs'!$W:$X,2,FALSE)</f>
        <v>275</v>
      </c>
      <c r="X11" s="228">
        <f>VLOOKUP(X$2,'[1]Rates + Costs'!$W:$X,2,FALSE)</f>
        <v>295</v>
      </c>
      <c r="Y11" s="228">
        <f>VLOOKUP(Y$2,'[1]Rates + Costs'!$W:$X,2,FALSE)</f>
        <v>345</v>
      </c>
      <c r="Z11" s="228">
        <f>VLOOKUP(Z$2,'[1]Rates + Costs'!$W:$X,2,FALSE)</f>
        <v>430</v>
      </c>
      <c r="AA11" s="228">
        <f>VLOOKUP(AA$2,'[1]Rates + Costs'!$W:$X,2,FALSE)</f>
        <v>520</v>
      </c>
      <c r="AB11" s="228">
        <f>VLOOKUP(AB$2,'[1]Rates + Costs'!$AS:$AT,2,FALSE)</f>
        <v>155</v>
      </c>
      <c r="AC11" s="228">
        <f>VLOOKUP(AC$2,'[1]Rates + Costs'!$AS:$AT,2,FALSE)</f>
        <v>210</v>
      </c>
      <c r="AD11" s="228">
        <f>VLOOKUP(AD$2,'[1]Rates + Costs'!$AS:$AT,2,FALSE)</f>
        <v>275</v>
      </c>
      <c r="AE11" s="228">
        <f>VLOOKUP(AE$2,'[1]Rates + Costs'!$AS:$AT,2,FALSE)</f>
        <v>340</v>
      </c>
      <c r="AG11" s="229"/>
      <c r="AH11" s="229"/>
      <c r="AV11" s="229"/>
    </row>
    <row r="12" spans="1:86" ht="15" hidden="1" customHeight="1" outlineLevel="1" x14ac:dyDescent="0.2">
      <c r="A12" s="227" t="s">
        <v>114</v>
      </c>
      <c r="K12" s="228">
        <f>VLOOKUP(K$2,'[1]Rates + Costs'!$A:$J,9,FALSE)</f>
        <v>80</v>
      </c>
      <c r="L12" s="228">
        <f>VLOOKUP(L$2,'[1]Rates + Costs'!$A:$J,9,FALSE)</f>
        <v>110</v>
      </c>
      <c r="M12" s="228">
        <f>VLOOKUP(M$2,'[1]Rates + Costs'!$A:$J,9,FALSE)</f>
        <v>140</v>
      </c>
      <c r="N12" s="228">
        <f>VLOOKUP(N$2,'[1]Rates + Costs'!$A:$J,9,FALSE)</f>
        <v>150</v>
      </c>
      <c r="O12" s="228">
        <f>VLOOKUP(O$2,'[1]Rates + Costs'!$A:$J,9,FALSE)</f>
        <v>185</v>
      </c>
      <c r="P12" s="228">
        <f>VLOOKUP(P$2,'[1]Rates + Costs'!$A:$J,9,FALSE)</f>
        <v>200</v>
      </c>
      <c r="Q12" s="228">
        <f>VLOOKUP(Q$2,'[1]Rates + Costs'!$A:$J,9,FALSE)</f>
        <v>225</v>
      </c>
      <c r="R12" s="228">
        <f>VLOOKUP(R$2,'[1]Rates + Costs'!$A:$J,9,FALSE)</f>
        <v>290</v>
      </c>
      <c r="S12" s="228">
        <f>VLOOKUP(S$2,'[1]Rates + Costs'!$A:$J,9,FALSE)</f>
        <v>350</v>
      </c>
      <c r="T12" s="228">
        <f>VLOOKUP(T$2,'[1]Rates + Costs'!$A:$J,9,FALSE)</f>
        <v>455</v>
      </c>
      <c r="U12" s="228">
        <f>VLOOKUP(U$2,'[1]Rates + Costs'!$W:$AF,9,FALSE)</f>
        <v>105</v>
      </c>
      <c r="V12" s="228">
        <f>VLOOKUP(V$2,'[1]Rates + Costs'!$W:$AF,9,FALSE)</f>
        <v>115</v>
      </c>
      <c r="W12" s="228">
        <f>VLOOKUP(W$2,'[1]Rates + Costs'!$W:$AF,9,FALSE)</f>
        <v>140</v>
      </c>
      <c r="X12" s="228">
        <f>VLOOKUP(X$2,'[1]Rates + Costs'!$W:$AF,9,FALSE)</f>
        <v>150</v>
      </c>
      <c r="Y12" s="228">
        <f>VLOOKUP(Y$2,'[1]Rates + Costs'!$W:$AF,9,FALSE)</f>
        <v>175</v>
      </c>
      <c r="Z12" s="228">
        <f>VLOOKUP(Z$2,'[1]Rates + Costs'!$W:$AF,9,FALSE)</f>
        <v>215</v>
      </c>
      <c r="AA12" s="228">
        <f>VLOOKUP(AA$2,'[1]Rates + Costs'!$W:$AF,9,FALSE)</f>
        <v>260</v>
      </c>
      <c r="AB12" s="228">
        <f>VLOOKUP(AB$2,'[1]Rates + Costs'!$AS:$BB,9,FALSE)</f>
        <v>155</v>
      </c>
      <c r="AC12" s="228">
        <f>VLOOKUP(AC$2,'[1]Rates + Costs'!$AS:$BB,9,FALSE)</f>
        <v>105</v>
      </c>
      <c r="AD12" s="228">
        <f>VLOOKUP(AD$2,'[1]Rates + Costs'!$AS:$BB,9,FALSE)</f>
        <v>140</v>
      </c>
      <c r="AE12" s="228">
        <f>VLOOKUP(AE$2,'[1]Rates + Costs'!$AS:$BB,9,FALSE)</f>
        <v>170</v>
      </c>
      <c r="AG12" s="229"/>
      <c r="AH12" s="229"/>
      <c r="AV12" s="229"/>
    </row>
    <row r="13" spans="1:86" ht="15.75" hidden="1" customHeight="1" outlineLevel="1" x14ac:dyDescent="0.2">
      <c r="A13" s="227" t="str">
        <f>CONCATENATE('[1]Core Assumptions'!$D$7," Contract Rates")</f>
        <v>PHB Contract Rates</v>
      </c>
      <c r="K13" s="228">
        <f>VLOOKUP(K$2,'[1]Rates + Costs'!$A:$I,HLOOKUP('[1]Core Assumptions'!$D$20,'[1]Rates + Costs'!$B$3:$I$4,2,FALSE)+1,FALSE)</f>
        <v>155</v>
      </c>
      <c r="L13" s="228">
        <f>VLOOKUP(L$2,'[1]Rates + Costs'!$A:$I,HLOOKUP('[1]Core Assumptions'!$D$20,'[1]Rates + Costs'!$B$3:$I$4,2,FALSE)+1,FALSE)</f>
        <v>215</v>
      </c>
      <c r="M13" s="228">
        <f>VLOOKUP(M$2,'[1]Rates + Costs'!$A:$I,HLOOKUP('[1]Core Assumptions'!$D$20,'[1]Rates + Costs'!$B$3:$I$4,2,FALSE)+1,FALSE)</f>
        <v>275</v>
      </c>
      <c r="N13" s="228">
        <f>VLOOKUP(N$2,'[1]Rates + Costs'!$A:$I,HLOOKUP('[1]Core Assumptions'!$D$20,'[1]Rates + Costs'!$B$3:$I$4,2,FALSE)+1,FALSE)</f>
        <v>300</v>
      </c>
      <c r="O13" s="228">
        <f>VLOOKUP(O$2,'[1]Rates + Costs'!$A:$I,HLOOKUP('[1]Core Assumptions'!$D$20,'[1]Rates + Costs'!$B$3:$I$4,2,FALSE)+1,FALSE)</f>
        <v>365</v>
      </c>
      <c r="P13" s="228">
        <f>VLOOKUP(P$2,'[1]Rates + Costs'!$A:$I,HLOOKUP('[1]Core Assumptions'!$D$20,'[1]Rates + Costs'!$B$3:$I$4,2,FALSE)+1,FALSE)</f>
        <v>395</v>
      </c>
      <c r="Q13" s="228">
        <f>VLOOKUP(Q$2,'[1]Rates + Costs'!$A:$I,HLOOKUP('[1]Core Assumptions'!$D$20,'[1]Rates + Costs'!$B$3:$I$4,2,FALSE)+1,FALSE)</f>
        <v>450</v>
      </c>
      <c r="R13" s="228">
        <f>VLOOKUP(R$2,'[1]Rates + Costs'!$A:$I,HLOOKUP('[1]Core Assumptions'!$D$20,'[1]Rates + Costs'!$B$3:$I$4,2,FALSE)+1,FALSE)</f>
        <v>575</v>
      </c>
      <c r="S13" s="228">
        <f>VLOOKUP(S$2,'[1]Rates + Costs'!$A:$I,HLOOKUP('[1]Core Assumptions'!$D$20,'[1]Rates + Costs'!$B$3:$I$4,2,FALSE)+1,FALSE)</f>
        <v>695</v>
      </c>
      <c r="T13" s="228">
        <f>VLOOKUP(T$2,'[1]Rates + Costs'!$A:$I,HLOOKUP('[1]Core Assumptions'!$D$20,'[1]Rates + Costs'!$B$3:$I$4,2,FALSE)+1,FALSE)</f>
        <v>910</v>
      </c>
      <c r="U13" s="228">
        <f>VLOOKUP(U$2,'[1]Rates + Costs'!$W:$AE,HLOOKUP('[1]Core Assumptions'!$D$20,'[1]Rates + Costs'!$X$3:$AE$4,2,FALSE)+1,FALSE)</f>
        <v>210</v>
      </c>
      <c r="V13" s="228">
        <f>VLOOKUP(V$2,'[1]Rates + Costs'!$W:$AE,HLOOKUP('[1]Core Assumptions'!$D$20,'[1]Rates + Costs'!$X$3:$AE$4,2,FALSE)+1,FALSE)</f>
        <v>230</v>
      </c>
      <c r="W13" s="228">
        <f>VLOOKUP(W$2,'[1]Rates + Costs'!$W:$AE,HLOOKUP('[1]Core Assumptions'!$D$20,'[1]Rates + Costs'!$X$3:$AE$4,2,FALSE)+1,FALSE)</f>
        <v>275</v>
      </c>
      <c r="X13" s="228">
        <f>VLOOKUP(X$2,'[1]Rates + Costs'!$W:$AE,HLOOKUP('[1]Core Assumptions'!$D$20,'[1]Rates + Costs'!$X$3:$AE$4,2,FALSE)+1,FALSE)</f>
        <v>295</v>
      </c>
      <c r="Y13" s="228">
        <f>VLOOKUP(Y$2,'[1]Rates + Costs'!$W:$AE,HLOOKUP('[1]Core Assumptions'!$D$20,'[1]Rates + Costs'!$X$3:$AE$4,2,FALSE)+1,FALSE)</f>
        <v>345</v>
      </c>
      <c r="Z13" s="228">
        <f>VLOOKUP(Z$2,'[1]Rates + Costs'!$W:$AE,HLOOKUP('[1]Core Assumptions'!$D$20,'[1]Rates + Costs'!$X$3:$AE$4,2,FALSE)+1,FALSE)</f>
        <v>430</v>
      </c>
      <c r="AA13" s="228">
        <f>VLOOKUP(AA$2,'[1]Rates + Costs'!$W:$AE,HLOOKUP('[1]Core Assumptions'!$D$20,'[1]Rates + Costs'!$X$3:$AE$4,2,FALSE)+1,FALSE)</f>
        <v>520</v>
      </c>
      <c r="AB13" s="228">
        <f>VLOOKUP(AB$2,'[1]Rates + Costs'!$AS:$BA,HLOOKUP('[1]Core Assumptions'!$D$20,'[1]Rates + Costs'!$AT$3:$BA$4,2,FALSE)+1,FALSE)</f>
        <v>155</v>
      </c>
      <c r="AC13" s="228">
        <f>VLOOKUP(AC$2,'[1]Rates + Costs'!$AS:$BA,HLOOKUP('[1]Core Assumptions'!$D$20,'[1]Rates + Costs'!$AT$3:$BA$4,2,FALSE)+1,FALSE)</f>
        <v>210</v>
      </c>
      <c r="AD13" s="228">
        <f>VLOOKUP(AD$2,'[1]Rates + Costs'!$AS:$BA,HLOOKUP('[1]Core Assumptions'!$D$20,'[1]Rates + Costs'!$AT$3:$BA$4,2,FALSE)+1,FALSE)</f>
        <v>275</v>
      </c>
      <c r="AE13" s="228">
        <f>VLOOKUP(AE$2,'[1]Rates + Costs'!$AS:$BA,HLOOKUP('[1]Core Assumptions'!$D$20,'[1]Rates + Costs'!$AT$3:$BA$4,2,FALSE)+1,FALSE)</f>
        <v>340</v>
      </c>
      <c r="AG13" s="229"/>
      <c r="AH13" s="229"/>
      <c r="AV13" s="229"/>
    </row>
    <row r="14" spans="1:86" ht="15" hidden="1" customHeight="1" outlineLevel="1" x14ac:dyDescent="0.2">
      <c r="A14" s="2" t="s">
        <v>115</v>
      </c>
      <c r="K14" s="228">
        <f>VLOOKUP(K$2,'[1]Rates + Costs'!$L:$T,HLOOKUP('[1]Core Assumptions'!$D$20,'[1]Rates + Costs'!$L$3:$T$4,2,FALSE)+1,FALSE)</f>
        <v>46</v>
      </c>
      <c r="L14" s="228">
        <f>VLOOKUP(L$2,'[1]Rates + Costs'!$L:$T,HLOOKUP('[1]Core Assumptions'!$D$20,'[1]Rates + Costs'!$L$3:$T$4,2,FALSE)+1,FALSE)</f>
        <v>38</v>
      </c>
      <c r="M14" s="228">
        <f>VLOOKUP(M$2,'[1]Rates + Costs'!$L:$T,HLOOKUP('[1]Core Assumptions'!$D$20,'[1]Rates + Costs'!$L$3:$T$4,2,FALSE)+1,FALSE)</f>
        <v>45</v>
      </c>
      <c r="N14" s="228">
        <f>VLOOKUP(N$2,'[1]Rates + Costs'!$L:$T,HLOOKUP('[1]Core Assumptions'!$D$20,'[1]Rates + Costs'!$L$3:$T$4,2,FALSE)+1,FALSE)</f>
        <v>45</v>
      </c>
      <c r="O14" s="228">
        <f>VLOOKUP(O$2,'[1]Rates + Costs'!$L:$T,HLOOKUP('[1]Core Assumptions'!$D$20,'[1]Rates + Costs'!$L$3:$T$4,2,FALSE)+1,FALSE)</f>
        <v>63</v>
      </c>
      <c r="P14" s="228">
        <f>VLOOKUP(P$2,'[1]Rates + Costs'!$L:$T,HLOOKUP('[1]Core Assumptions'!$D$20,'[1]Rates + Costs'!$L$3:$T$4,2,FALSE)+1,FALSE)</f>
        <v>63</v>
      </c>
      <c r="Q14" s="228">
        <f>VLOOKUP(Q$2,'[1]Rates + Costs'!$L:$T,HLOOKUP('[1]Core Assumptions'!$D$20,'[1]Rates + Costs'!$L$3:$T$4,2,FALSE)+1,FALSE)</f>
        <v>81</v>
      </c>
      <c r="R14" s="228">
        <f>VLOOKUP(R$2,'[1]Rates + Costs'!$L:$T,HLOOKUP('[1]Core Assumptions'!$D$20,'[1]Rates + Costs'!$L$3:$T$4,2,FALSE)+1,FALSE)</f>
        <v>107</v>
      </c>
      <c r="S14" s="228">
        <f>VLOOKUP(S$2,'[1]Rates + Costs'!$L:$T,HLOOKUP('[1]Core Assumptions'!$D$20,'[1]Rates + Costs'!$L$3:$T$4,2,FALSE)+1,FALSE)</f>
        <v>131</v>
      </c>
      <c r="T14" s="228">
        <f>VLOOKUP(T$2,'[1]Rates + Costs'!$L:$T,HLOOKUP('[1]Core Assumptions'!$D$20,'[1]Rates + Costs'!$L$3:$T$4,2,FALSE)+1,FALSE)</f>
        <v>260</v>
      </c>
      <c r="U14" s="228">
        <f>VLOOKUP(U$2,'[1]Rates + Costs'!$AH:$AP,HLOOKUP('[1]Core Assumptions'!$D$20,'[1]Rates + Costs'!$AI$3:$AP$4,2,FALSE)+1,FALSE)</f>
        <v>7</v>
      </c>
      <c r="V14" s="228">
        <f>VLOOKUP(V$2,'[1]Rates + Costs'!$AH:$AP,HLOOKUP('[1]Core Assumptions'!$D$20,'[1]Rates + Costs'!$AI$3:$AP$4,2,FALSE)+1,FALSE)</f>
        <v>7</v>
      </c>
      <c r="W14" s="228">
        <f>VLOOKUP(W$2,'[1]Rates + Costs'!$AH:$AP,HLOOKUP('[1]Core Assumptions'!$D$20,'[1]Rates + Costs'!$AI$3:$AP$4,2,FALSE)+1,FALSE)</f>
        <v>14</v>
      </c>
      <c r="X14" s="228">
        <f>VLOOKUP(X$2,'[1]Rates + Costs'!$AH:$AP,HLOOKUP('[1]Core Assumptions'!$D$20,'[1]Rates + Costs'!$AI$3:$AP$4,2,FALSE)+1,FALSE)</f>
        <v>14</v>
      </c>
      <c r="Y14" s="228">
        <f>VLOOKUP(Y$2,'[1]Rates + Costs'!$AH:$AP,HLOOKUP('[1]Core Assumptions'!$D$20,'[1]Rates + Costs'!$AI$3:$AP$4,2,FALSE)+1,FALSE)</f>
        <v>28</v>
      </c>
      <c r="Z14" s="228">
        <f>VLOOKUP(Z$2,'[1]Rates + Costs'!$AH:$AP,HLOOKUP('[1]Core Assumptions'!$D$20,'[1]Rates + Costs'!$AI$3:$AP$4,2,FALSE)+1,FALSE)</f>
        <v>37</v>
      </c>
      <c r="AA14" s="228">
        <f>VLOOKUP(AA$2,'[1]Rates + Costs'!$AH:$AP,HLOOKUP('[1]Core Assumptions'!$D$20,'[1]Rates + Costs'!$AI$3:$AP$4,2,FALSE)+1,FALSE)</f>
        <v>56</v>
      </c>
      <c r="AB14" s="228">
        <f>VLOOKUP(AB$2,'[1]Rates + Costs'!$BD:$BL,HLOOKUP('[1]Core Assumptions'!$D$20,'[1]Rates + Costs'!$BE$3:$BL$4,2,FALSE)+1,FALSE)</f>
        <v>6</v>
      </c>
      <c r="AC14" s="228">
        <f>VLOOKUP(AC$2,'[1]Rates + Costs'!$BD:$BL,HLOOKUP('[1]Core Assumptions'!$D$20,'[1]Rates + Costs'!$BE$3:$BL$4,2,FALSE)+1,FALSE)</f>
        <v>7</v>
      </c>
      <c r="AD14" s="228">
        <f>VLOOKUP(AD$2,'[1]Rates + Costs'!$BD:$BL,HLOOKUP('[1]Core Assumptions'!$D$20,'[1]Rates + Costs'!$BE$3:$BL$4,2,FALSE)+1,FALSE)</f>
        <v>14</v>
      </c>
      <c r="AE14" s="228">
        <f>VLOOKUP(AE$2,'[1]Rates + Costs'!$BD:$BL,HLOOKUP('[1]Core Assumptions'!$D$20,'[1]Rates + Costs'!$BE$3:$BL$4,2,FALSE)+1,FALSE)</f>
        <v>28</v>
      </c>
      <c r="AG14" s="229"/>
      <c r="AH14" s="229"/>
      <c r="AV14" s="229"/>
      <c r="AZ14" s="230"/>
      <c r="BE14" s="231"/>
      <c r="BT14" s="231"/>
    </row>
    <row r="15" spans="1:86" collapsed="1" x14ac:dyDescent="0.2">
      <c r="A15" s="39" t="s">
        <v>116</v>
      </c>
      <c r="K15" s="232"/>
      <c r="AA15" s="233"/>
      <c r="AB15" s="233"/>
      <c r="AC15" s="233"/>
      <c r="AD15" s="233"/>
      <c r="AE15" s="233"/>
      <c r="BF15" s="231"/>
      <c r="BU15" s="231"/>
    </row>
    <row r="16" spans="1:86" ht="23.25" customHeight="1" thickBot="1" x14ac:dyDescent="0.3">
      <c r="A16" s="160"/>
      <c r="B16" s="234" t="s">
        <v>117</v>
      </c>
      <c r="C16" s="235" t="s">
        <v>118</v>
      </c>
      <c r="D16" s="162"/>
      <c r="E16" s="234" t="s">
        <v>119</v>
      </c>
      <c r="F16" s="162"/>
      <c r="G16" s="162"/>
      <c r="H16" s="162"/>
      <c r="I16" s="236" t="s">
        <v>120</v>
      </c>
      <c r="J16" s="162"/>
      <c r="K16" s="236" t="s">
        <v>121</v>
      </c>
      <c r="U16" s="69"/>
      <c r="AF16" s="162"/>
      <c r="AK16" s="162"/>
      <c r="AL16" s="237" t="s">
        <v>122</v>
      </c>
      <c r="AO16" s="238"/>
      <c r="AP16" s="238"/>
      <c r="AQ16" s="239"/>
      <c r="AS16" s="162"/>
      <c r="AU16" s="164"/>
      <c r="AW16" s="240"/>
      <c r="AX16" s="241"/>
      <c r="AY16" s="164"/>
      <c r="BC16" s="166"/>
      <c r="BD16" s="162"/>
      <c r="BH16" s="162"/>
      <c r="BI16" s="162"/>
      <c r="BM16" s="162"/>
      <c r="BN16" s="162"/>
      <c r="BR16" s="162"/>
      <c r="BS16" s="162"/>
      <c r="BW16" s="162"/>
      <c r="BX16" s="162"/>
      <c r="CB16" s="162"/>
      <c r="CC16" s="162"/>
      <c r="CG16" s="162"/>
      <c r="CH16" s="237" t="s">
        <v>123</v>
      </c>
    </row>
    <row r="17" spans="1:86" ht="15.75" customHeight="1" x14ac:dyDescent="0.2">
      <c r="A17" s="242">
        <f>IF(OR(E17&lt;&gt;FALSE,F17&lt;&gt;FALSE,G17&lt;&gt;FALSE),MAX(A$16:A16)+1,"")</f>
        <v>1</v>
      </c>
      <c r="B17" s="243" t="str">
        <f>IF('[1]Core Assumptions'!B32="","Single Entity * - Federal Tax Return(s)",CONCATENATE('[1]Core Assumptions'!B32," - Federal &amp; State Tax Returns"))</f>
        <v>A Business - Federal &amp; State Tax Returns</v>
      </c>
      <c r="C17" s="244" t="str">
        <f>IF('[1]Core Assumptions'!B32="","",'[1]Core Assumptions'!B32)</f>
        <v>A Business</v>
      </c>
      <c r="D17" s="245" t="s">
        <v>11</v>
      </c>
      <c r="E17" s="246" t="b">
        <v>1</v>
      </c>
      <c r="F17" s="247" t="b">
        <v>1</v>
      </c>
      <c r="G17" s="248" t="b">
        <v>1</v>
      </c>
      <c r="H17" s="249"/>
      <c r="I17" s="250">
        <v>1</v>
      </c>
      <c r="J17" s="249"/>
      <c r="K17" s="251"/>
      <c r="L17" s="252"/>
      <c r="M17" s="252"/>
      <c r="N17" s="252"/>
      <c r="O17" s="252"/>
      <c r="P17" s="252"/>
      <c r="Q17" s="252"/>
      <c r="R17" s="252">
        <v>10</v>
      </c>
      <c r="S17" s="252"/>
      <c r="T17" s="252"/>
      <c r="U17" s="251"/>
      <c r="V17" s="252"/>
      <c r="W17" s="252"/>
      <c r="X17" s="252"/>
      <c r="Y17" s="252"/>
      <c r="Z17" s="252"/>
      <c r="AA17" s="253"/>
      <c r="AB17" s="254"/>
      <c r="AC17" s="255"/>
      <c r="AD17" s="255"/>
      <c r="AE17" s="256"/>
      <c r="AF17" s="249"/>
      <c r="AG17" s="257">
        <f>IF(OR(AND($E17=TRUE,'[1]Pricing Summary'!$B$33=$E$2),AND($F17=TRUE,'[1]Pricing Summary'!$B$33=$F$2),AND($G17=TRUE,'[1]Pricing Summary'!$B$33=$G$2)),1,0)</f>
        <v>1</v>
      </c>
      <c r="AH17" s="257">
        <f>IF(OR($E17=TRUE,$F17=TRUE,$G17=TRUE),1,0)</f>
        <v>1</v>
      </c>
      <c r="AI17" s="258">
        <f t="shared" ref="AI17:AI56" si="11">$I17*SUM($K17:$AE17)*$AH17</f>
        <v>10</v>
      </c>
      <c r="AJ17" s="259">
        <f t="shared" ref="AJ17:AJ56" si="12">IFERROR(SUM($U17:$AA17)/SUM($K17:$AA17)*$AH17,0)</f>
        <v>0</v>
      </c>
      <c r="AK17" s="249"/>
      <c r="AL17" s="260">
        <f>SUMPRODUCT($K$11:$AE$11,$K17:$AE17)</f>
        <v>5750</v>
      </c>
      <c r="AM17" s="261">
        <f>SUMPRODUCT($K$13:$AE$13,$K17:$AE17)</f>
        <v>5750</v>
      </c>
      <c r="AN17" s="261">
        <f>MROUND((1+'[1]Core Assumptions'!$D$22)*AM17,'[1]Core Assumptions'!$E$23)</f>
        <v>5800</v>
      </c>
      <c r="AO17" s="262">
        <f>AN17-100</f>
        <v>5700</v>
      </c>
      <c r="AP17" s="263">
        <f>IF(AN$7=0,0,MROUND(AN17/AN$7*AP$8/'[1]Core Assumptions'!$D$28,'[1]Core Assumptions'!$E$23))</f>
        <v>4200</v>
      </c>
      <c r="AQ17" s="264">
        <f t="shared" ref="AQ17:AQ56" si="13">IF(AL17=0,0,AO17/AL17)</f>
        <v>0.99130434782608701</v>
      </c>
      <c r="AR17" s="265">
        <f t="shared" ref="AR17:AR56" si="14">IFERROR(AO17/SUM(K17:AE17),0)</f>
        <v>570</v>
      </c>
      <c r="AS17" s="249"/>
      <c r="AT17" s="266">
        <f t="shared" ref="AT17:AT56" si="15">SUMPRODUCT($K$14:$AE$14,$K17:$AE17)</f>
        <v>1070</v>
      </c>
      <c r="AU17" s="267"/>
      <c r="AV17" s="257">
        <f>IF(OR(AND($E17=TRUE,'[1]Pricing Summary'!$B$33="Ultimate"),AND($F17=TRUE,'[1]Pricing Summary'!$B$33="Enhanced"),AND($G17=TRUE,'[1]Pricing Summary'!$B$33="Essential")),1,0)</f>
        <v>1</v>
      </c>
      <c r="AW17" s="268">
        <f t="shared" ref="AW17:AW56" si="16">$AL17*$AV17</f>
        <v>5750</v>
      </c>
      <c r="AX17" s="269">
        <f t="shared" ref="AX17:AX56" si="17">$AO17*$AV17</f>
        <v>5700</v>
      </c>
      <c r="AY17" s="267"/>
      <c r="AZ17" s="268">
        <f t="shared" ref="AZ17:AZ56" si="18">IF($E17=TRUE,$I17*$AL17,0)</f>
        <v>5750</v>
      </c>
      <c r="BA17" s="270">
        <f t="shared" ref="BA17:BA56" si="19">IF($F17=TRUE,$I17*$AL17,0)</f>
        <v>5750</v>
      </c>
      <c r="BB17" s="271">
        <f t="shared" ref="BB17:BB56" si="20">IF($G17=TRUE,$I17*$AL17,0)</f>
        <v>5750</v>
      </c>
      <c r="BC17" s="272"/>
      <c r="BD17" s="273">
        <f t="shared" ref="BD17:BD56" si="21">IF($E17=TRUE,$AI17,0)</f>
        <v>10</v>
      </c>
      <c r="BE17" s="274">
        <f t="shared" ref="BE17:BE56" si="22">IF($E17=TRUE,$I17*$AM17,0)</f>
        <v>5750</v>
      </c>
      <c r="BF17" s="274">
        <f t="shared" ref="BF17:BF56" si="23">IF($E17=TRUE,BE17-$I17*$AT17,0)</f>
        <v>4680</v>
      </c>
      <c r="BG17" s="275">
        <f t="shared" ref="BG17:BG56" si="24">IFERROR(BF17/BE17,0)</f>
        <v>0.81391304347826088</v>
      </c>
      <c r="BH17" s="249"/>
      <c r="BI17" s="276">
        <f t="shared" ref="BI17:BI56" si="25">IF($F17=TRUE,$AI17,0)</f>
        <v>10</v>
      </c>
      <c r="BJ17" s="277">
        <f t="shared" ref="BJ17:BJ56" si="26">IF($F17=TRUE,$I17*$AM17,0)</f>
        <v>5750</v>
      </c>
      <c r="BK17" s="277">
        <f t="shared" ref="BK17:BK56" si="27">IF($F17=TRUE,BJ17-$I17*$AT17,0)</f>
        <v>4680</v>
      </c>
      <c r="BL17" s="278">
        <f t="shared" ref="BL17:BL56" si="28">IFERROR(BK17/BJ17,0)</f>
        <v>0.81391304347826088</v>
      </c>
      <c r="BM17" s="249"/>
      <c r="BN17" s="279">
        <f t="shared" ref="BN17:BN56" si="29">IF($G17=TRUE,$AI17,0)</f>
        <v>10</v>
      </c>
      <c r="BO17" s="280">
        <f t="shared" ref="BO17:BO56" si="30">IF($G17=TRUE,$I17*$AM17,0)</f>
        <v>5750</v>
      </c>
      <c r="BP17" s="280">
        <f t="shared" ref="BP17:BP56" si="31">IF($G17=TRUE,BO17-$I17*$AT17,0)</f>
        <v>4680</v>
      </c>
      <c r="BQ17" s="281">
        <f t="shared" ref="BQ17:BQ56" si="32">IFERROR(BP17/BO17,0)</f>
        <v>0.81391304347826088</v>
      </c>
      <c r="BR17" s="249"/>
      <c r="BS17" s="273">
        <f t="shared" ref="BS17:BS56" si="33">IF($E17=TRUE,$AI17,0)</f>
        <v>10</v>
      </c>
      <c r="BT17" s="274">
        <f t="shared" ref="BT17:BT56" si="34">IF($E17=TRUE,$I17*$AO17,0)</f>
        <v>5700</v>
      </c>
      <c r="BU17" s="274">
        <f t="shared" ref="BU17:BU56" si="35">IF($E17=TRUE,BT17-$I17*$AT17,0)</f>
        <v>4630</v>
      </c>
      <c r="BV17" s="275">
        <f t="shared" ref="BV17:BV56" si="36">IFERROR(BU17/BT17,0)</f>
        <v>0.81228070175438594</v>
      </c>
      <c r="BW17" s="249"/>
      <c r="BX17" s="276">
        <f t="shared" ref="BX17:BX56" si="37">IF($F17=TRUE,$AI17,0)</f>
        <v>10</v>
      </c>
      <c r="BY17" s="277">
        <f t="shared" ref="BY17:BY56" si="38">IF($F17=TRUE,$I17*$AO17,0)</f>
        <v>5700</v>
      </c>
      <c r="BZ17" s="277">
        <f t="shared" ref="BZ17:BZ56" si="39">IF($F17=TRUE,BY17-$I17*$AT17,0)</f>
        <v>4630</v>
      </c>
      <c r="CA17" s="278">
        <f t="shared" ref="CA17:CA56" si="40">IFERROR(BZ17/BY17,0)</f>
        <v>0.81228070175438594</v>
      </c>
      <c r="CB17" s="249"/>
      <c r="CC17" s="279">
        <f t="shared" ref="CC17:CC56" si="41">IF($G17=TRUE,$AI17,0)</f>
        <v>10</v>
      </c>
      <c r="CD17" s="280">
        <f t="shared" ref="CD17:CD56" si="42">IF($G17=TRUE,$I17*$AO17,0)</f>
        <v>5700</v>
      </c>
      <c r="CE17" s="280">
        <f t="shared" ref="CE17:CE56" si="43">IF($G17=TRUE,CD17-$I17*$AT17,0)</f>
        <v>4630</v>
      </c>
      <c r="CF17" s="281">
        <f t="shared" ref="CF17:CF56" si="44">IFERROR(CE17/CD17,0)</f>
        <v>0.81228070175438594</v>
      </c>
      <c r="CG17" s="249"/>
      <c r="CH17" s="282"/>
    </row>
    <row r="18" spans="1:86" ht="15.75" customHeight="1" x14ac:dyDescent="0.2">
      <c r="A18" s="242">
        <f>IF(OR(E18&lt;&gt;FALSE,F18&lt;&gt;FALSE,G18&lt;&gt;FALSE),MAX(A$16:A17)+1,"")</f>
        <v>2</v>
      </c>
      <c r="B18" s="283" t="str">
        <f>IF('[1]Core Assumptions'!B33="","Single Entity * - Federal Tax Return(s)",CONCATENATE('[1]Core Assumptions'!B33," - Federal &amp; State Tax Returns"))</f>
        <v>B Corp - Federal &amp; State Tax Returns</v>
      </c>
      <c r="C18" s="284" t="str">
        <f>IF('[1]Core Assumptions'!B33="","",'[1]Core Assumptions'!B33)</f>
        <v>B Corp</v>
      </c>
      <c r="D18" s="245" t="s">
        <v>11</v>
      </c>
      <c r="E18" s="285" t="b">
        <v>1</v>
      </c>
      <c r="F18" s="286" t="b">
        <v>1</v>
      </c>
      <c r="G18" s="287" t="b">
        <v>1</v>
      </c>
      <c r="H18" s="249"/>
      <c r="I18" s="288">
        <v>1</v>
      </c>
      <c r="J18" s="249"/>
      <c r="K18" s="289"/>
      <c r="L18" s="290"/>
      <c r="M18" s="290"/>
      <c r="N18" s="290"/>
      <c r="O18" s="290"/>
      <c r="P18" s="290"/>
      <c r="Q18" s="290"/>
      <c r="R18" s="290">
        <v>10</v>
      </c>
      <c r="S18" s="290"/>
      <c r="T18" s="290"/>
      <c r="U18" s="289"/>
      <c r="V18" s="290"/>
      <c r="W18" s="290"/>
      <c r="X18" s="290"/>
      <c r="Y18" s="290"/>
      <c r="Z18" s="290"/>
      <c r="AA18" s="291"/>
      <c r="AB18" s="292"/>
      <c r="AC18" s="293"/>
      <c r="AD18" s="293"/>
      <c r="AE18" s="294"/>
      <c r="AF18" s="249"/>
      <c r="AG18" s="295">
        <f>IF(OR(AND($E18=TRUE,'[1]Pricing Summary'!$B$33=$E$2),AND($F18=TRUE,'[1]Pricing Summary'!$B$33=$F$2),AND($G18=TRUE,'[1]Pricing Summary'!$B$33=$G$2)),1,0)</f>
        <v>1</v>
      </c>
      <c r="AH18" s="295">
        <f t="shared" ref="AH18:AH56" si="45">IF(OR($E18=TRUE,$F18=TRUE,$G18=TRUE),1,0)</f>
        <v>1</v>
      </c>
      <c r="AI18" s="296">
        <f t="shared" si="11"/>
        <v>10</v>
      </c>
      <c r="AJ18" s="297">
        <f t="shared" si="12"/>
        <v>0</v>
      </c>
      <c r="AK18" s="249"/>
      <c r="AL18" s="298">
        <f t="shared" ref="AL18:AL56" si="46">SUMPRODUCT($K$11:$AE$11,$K18:$AE18)</f>
        <v>5750</v>
      </c>
      <c r="AM18" s="221">
        <f t="shared" ref="AM18:AM56" si="47">SUMPRODUCT($K$13:$AE$13,$K18:$AE18)</f>
        <v>5750</v>
      </c>
      <c r="AN18" s="221">
        <f>MROUND((1+'[1]Core Assumptions'!$D$22)*AM18,'[1]Core Assumptions'!$E$23)</f>
        <v>5800</v>
      </c>
      <c r="AO18" s="299">
        <f t="shared" ref="AO18:AO56" si="48">AN18</f>
        <v>5800</v>
      </c>
      <c r="AP18" s="300">
        <f>IF(AN$7=0,0,MROUND(AN18/AN$7*AP$8/'[1]Core Assumptions'!$D$28,'[1]Core Assumptions'!$E$23))</f>
        <v>4200</v>
      </c>
      <c r="AQ18" s="301">
        <f t="shared" si="13"/>
        <v>1.008695652173913</v>
      </c>
      <c r="AR18" s="302">
        <f t="shared" si="14"/>
        <v>580</v>
      </c>
      <c r="AS18" s="249"/>
      <c r="AT18" s="303">
        <f t="shared" si="15"/>
        <v>1070</v>
      </c>
      <c r="AU18" s="267"/>
      <c r="AV18" s="295">
        <f>IF(OR(AND($E18=TRUE,'[1]Pricing Summary'!$B$33="Ultimate"),AND($F18=TRUE,'[1]Pricing Summary'!$B$33="Enhanced"),AND($G18=TRUE,'[1]Pricing Summary'!$B$33="Essential")),1,0)</f>
        <v>1</v>
      </c>
      <c r="AW18" s="304">
        <f t="shared" si="16"/>
        <v>5750</v>
      </c>
      <c r="AX18" s="305">
        <f t="shared" si="17"/>
        <v>5800</v>
      </c>
      <c r="AY18" s="267"/>
      <c r="AZ18" s="304">
        <f t="shared" si="18"/>
        <v>5750</v>
      </c>
      <c r="BA18" s="222">
        <f t="shared" si="19"/>
        <v>5750</v>
      </c>
      <c r="BB18" s="306">
        <f t="shared" si="20"/>
        <v>5750</v>
      </c>
      <c r="BC18" s="272"/>
      <c r="BD18" s="307">
        <f t="shared" si="21"/>
        <v>10</v>
      </c>
      <c r="BE18" s="308">
        <f t="shared" si="22"/>
        <v>5750</v>
      </c>
      <c r="BF18" s="308">
        <f t="shared" si="23"/>
        <v>4680</v>
      </c>
      <c r="BG18" s="309">
        <f t="shared" si="24"/>
        <v>0.81391304347826088</v>
      </c>
      <c r="BH18" s="249"/>
      <c r="BI18" s="310">
        <f t="shared" si="25"/>
        <v>10</v>
      </c>
      <c r="BJ18" s="311">
        <f t="shared" si="26"/>
        <v>5750</v>
      </c>
      <c r="BK18" s="311">
        <f t="shared" si="27"/>
        <v>4680</v>
      </c>
      <c r="BL18" s="312">
        <f t="shared" si="28"/>
        <v>0.81391304347826088</v>
      </c>
      <c r="BM18" s="249"/>
      <c r="BN18" s="313">
        <f t="shared" si="29"/>
        <v>10</v>
      </c>
      <c r="BO18" s="314">
        <f t="shared" si="30"/>
        <v>5750</v>
      </c>
      <c r="BP18" s="314">
        <f t="shared" si="31"/>
        <v>4680</v>
      </c>
      <c r="BQ18" s="315">
        <f t="shared" si="32"/>
        <v>0.81391304347826088</v>
      </c>
      <c r="BR18" s="249"/>
      <c r="BS18" s="307">
        <f t="shared" si="33"/>
        <v>10</v>
      </c>
      <c r="BT18" s="308">
        <f t="shared" si="34"/>
        <v>5800</v>
      </c>
      <c r="BU18" s="308">
        <f t="shared" si="35"/>
        <v>4730</v>
      </c>
      <c r="BV18" s="309">
        <f t="shared" si="36"/>
        <v>0.81551724137931036</v>
      </c>
      <c r="BW18" s="249"/>
      <c r="BX18" s="310">
        <f t="shared" si="37"/>
        <v>10</v>
      </c>
      <c r="BY18" s="311">
        <f t="shared" si="38"/>
        <v>5800</v>
      </c>
      <c r="BZ18" s="311">
        <f t="shared" si="39"/>
        <v>4730</v>
      </c>
      <c r="CA18" s="312">
        <f t="shared" si="40"/>
        <v>0.81551724137931036</v>
      </c>
      <c r="CB18" s="249"/>
      <c r="CC18" s="313">
        <f t="shared" si="41"/>
        <v>10</v>
      </c>
      <c r="CD18" s="314">
        <f t="shared" si="42"/>
        <v>5800</v>
      </c>
      <c r="CE18" s="314">
        <f t="shared" si="43"/>
        <v>4730</v>
      </c>
      <c r="CF18" s="315">
        <f t="shared" si="44"/>
        <v>0.81551724137931036</v>
      </c>
      <c r="CG18" s="249"/>
      <c r="CH18" s="316"/>
    </row>
    <row r="19" spans="1:86" ht="15.75" customHeight="1" x14ac:dyDescent="0.2">
      <c r="A19" s="242">
        <f>IF(OR(E19&lt;&gt;FALSE,F19&lt;&gt;FALSE,G19&lt;&gt;FALSE),MAX(A$16:A18)+1,"")</f>
        <v>3</v>
      </c>
      <c r="B19" s="283" t="str">
        <f>IF('[1]Core Assumptions'!B34="","Single Entity * - Federal Tax Return(s)",CONCATENATE('[1]Core Assumptions'!B34," - Federal &amp; State Tax Returns"))</f>
        <v>C LLC - Federal &amp; State Tax Returns</v>
      </c>
      <c r="C19" s="284" t="str">
        <f>IF('[1]Core Assumptions'!B34="","",'[1]Core Assumptions'!B34)</f>
        <v>C LLC</v>
      </c>
      <c r="D19" s="245" t="s">
        <v>11</v>
      </c>
      <c r="E19" s="285" t="b">
        <v>1</v>
      </c>
      <c r="F19" s="286" t="b">
        <v>1</v>
      </c>
      <c r="G19" s="317" t="b">
        <v>1</v>
      </c>
      <c r="H19" s="249"/>
      <c r="I19" s="288">
        <v>1</v>
      </c>
      <c r="J19" s="249"/>
      <c r="K19" s="289"/>
      <c r="L19" s="290"/>
      <c r="M19" s="290"/>
      <c r="N19" s="290"/>
      <c r="O19" s="290"/>
      <c r="P19" s="290"/>
      <c r="Q19" s="290"/>
      <c r="R19" s="290">
        <v>10</v>
      </c>
      <c r="S19" s="290"/>
      <c r="T19" s="290"/>
      <c r="U19" s="289"/>
      <c r="V19" s="290"/>
      <c r="W19" s="290"/>
      <c r="X19" s="290"/>
      <c r="Y19" s="290"/>
      <c r="Z19" s="290"/>
      <c r="AA19" s="291"/>
      <c r="AB19" s="292"/>
      <c r="AC19" s="293"/>
      <c r="AD19" s="293"/>
      <c r="AE19" s="294"/>
      <c r="AF19" s="249"/>
      <c r="AG19" s="295">
        <f>IF(OR(AND($E19=TRUE,'[1]Pricing Summary'!$B$33=$E$2),AND($F19=TRUE,'[1]Pricing Summary'!$B$33=$F$2),AND($G19=TRUE,'[1]Pricing Summary'!$B$33=$G$2)),1,0)</f>
        <v>1</v>
      </c>
      <c r="AH19" s="295">
        <f t="shared" si="45"/>
        <v>1</v>
      </c>
      <c r="AI19" s="296">
        <f t="shared" si="11"/>
        <v>10</v>
      </c>
      <c r="AJ19" s="297">
        <f t="shared" si="12"/>
        <v>0</v>
      </c>
      <c r="AK19" s="249"/>
      <c r="AL19" s="298">
        <f t="shared" si="46"/>
        <v>5750</v>
      </c>
      <c r="AM19" s="221">
        <f t="shared" si="47"/>
        <v>5750</v>
      </c>
      <c r="AN19" s="221">
        <f>MROUND((1+'[1]Core Assumptions'!$D$22)*AM19,'[1]Core Assumptions'!$E$23)</f>
        <v>5800</v>
      </c>
      <c r="AO19" s="299">
        <f t="shared" si="48"/>
        <v>5800</v>
      </c>
      <c r="AP19" s="300">
        <f>IF(AN$7=0,0,MROUND(AN19/AN$7*AP$8/'[1]Core Assumptions'!$D$28,'[1]Core Assumptions'!$E$23))</f>
        <v>4200</v>
      </c>
      <c r="AQ19" s="301">
        <f t="shared" si="13"/>
        <v>1.008695652173913</v>
      </c>
      <c r="AR19" s="302">
        <f t="shared" si="14"/>
        <v>580</v>
      </c>
      <c r="AS19" s="249"/>
      <c r="AT19" s="303">
        <f t="shared" si="15"/>
        <v>1070</v>
      </c>
      <c r="AU19" s="267"/>
      <c r="AV19" s="295">
        <f>IF(OR(AND($E19=TRUE,'[1]Pricing Summary'!$B$33="Ultimate"),AND($F19=TRUE,'[1]Pricing Summary'!$B$33="Enhanced"),AND($G19=TRUE,'[1]Pricing Summary'!$B$33="Essential")),1,0)</f>
        <v>1</v>
      </c>
      <c r="AW19" s="304">
        <f t="shared" si="16"/>
        <v>5750</v>
      </c>
      <c r="AX19" s="305">
        <f t="shared" si="17"/>
        <v>5800</v>
      </c>
      <c r="AY19" s="267"/>
      <c r="AZ19" s="304">
        <f t="shared" si="18"/>
        <v>5750</v>
      </c>
      <c r="BA19" s="222">
        <f t="shared" si="19"/>
        <v>5750</v>
      </c>
      <c r="BB19" s="306">
        <f t="shared" si="20"/>
        <v>5750</v>
      </c>
      <c r="BC19" s="272"/>
      <c r="BD19" s="307">
        <f t="shared" si="21"/>
        <v>10</v>
      </c>
      <c r="BE19" s="308">
        <f t="shared" si="22"/>
        <v>5750</v>
      </c>
      <c r="BF19" s="308">
        <f t="shared" si="23"/>
        <v>4680</v>
      </c>
      <c r="BG19" s="309">
        <f t="shared" si="24"/>
        <v>0.81391304347826088</v>
      </c>
      <c r="BH19" s="249"/>
      <c r="BI19" s="310">
        <f t="shared" si="25"/>
        <v>10</v>
      </c>
      <c r="BJ19" s="311">
        <f t="shared" si="26"/>
        <v>5750</v>
      </c>
      <c r="BK19" s="311">
        <f t="shared" si="27"/>
        <v>4680</v>
      </c>
      <c r="BL19" s="312">
        <f t="shared" si="28"/>
        <v>0.81391304347826088</v>
      </c>
      <c r="BM19" s="249"/>
      <c r="BN19" s="313">
        <f t="shared" si="29"/>
        <v>10</v>
      </c>
      <c r="BO19" s="314">
        <f t="shared" si="30"/>
        <v>5750</v>
      </c>
      <c r="BP19" s="314">
        <f t="shared" si="31"/>
        <v>4680</v>
      </c>
      <c r="BQ19" s="315">
        <f t="shared" si="32"/>
        <v>0.81391304347826088</v>
      </c>
      <c r="BR19" s="249"/>
      <c r="BS19" s="307">
        <f t="shared" si="33"/>
        <v>10</v>
      </c>
      <c r="BT19" s="308">
        <f t="shared" si="34"/>
        <v>5800</v>
      </c>
      <c r="BU19" s="308">
        <f t="shared" si="35"/>
        <v>4730</v>
      </c>
      <c r="BV19" s="309">
        <f t="shared" si="36"/>
        <v>0.81551724137931036</v>
      </c>
      <c r="BW19" s="249"/>
      <c r="BX19" s="310">
        <f t="shared" si="37"/>
        <v>10</v>
      </c>
      <c r="BY19" s="311">
        <f t="shared" si="38"/>
        <v>5800</v>
      </c>
      <c r="BZ19" s="311">
        <f t="shared" si="39"/>
        <v>4730</v>
      </c>
      <c r="CA19" s="312">
        <f t="shared" si="40"/>
        <v>0.81551724137931036</v>
      </c>
      <c r="CB19" s="249"/>
      <c r="CC19" s="313">
        <f t="shared" si="41"/>
        <v>10</v>
      </c>
      <c r="CD19" s="314">
        <f t="shared" si="42"/>
        <v>5800</v>
      </c>
      <c r="CE19" s="314">
        <f t="shared" si="43"/>
        <v>4730</v>
      </c>
      <c r="CF19" s="315">
        <f t="shared" si="44"/>
        <v>0.81551724137931036</v>
      </c>
      <c r="CG19" s="249"/>
      <c r="CH19" s="316"/>
    </row>
    <row r="20" spans="1:86" ht="15.75" customHeight="1" x14ac:dyDescent="0.2">
      <c r="A20" s="242">
        <f>IF(OR(E20&lt;&gt;FALSE,F20&lt;&gt;FALSE,G20&lt;&gt;FALSE),MAX(A$16:A19)+1,"")</f>
        <v>4</v>
      </c>
      <c r="B20" s="283" t="str">
        <f>IF('[1]Core Assumptions'!B35="","Single Entity * - Federal Tax Return(s)",CONCATENATE('[1]Core Assumptions'!B35," - Federal &amp; State Tax Returns"))</f>
        <v>D Demo Corp - Federal &amp; State Tax Returns</v>
      </c>
      <c r="C20" s="284" t="str">
        <f>IF('[1]Core Assumptions'!B35="","",'[1]Core Assumptions'!B35)</f>
        <v>D Demo Corp</v>
      </c>
      <c r="D20" s="245" t="s">
        <v>11</v>
      </c>
      <c r="E20" s="285" t="b">
        <v>1</v>
      </c>
      <c r="F20" s="286" t="b">
        <v>1</v>
      </c>
      <c r="G20" s="287" t="b">
        <v>1</v>
      </c>
      <c r="H20" s="249"/>
      <c r="I20" s="288">
        <v>1</v>
      </c>
      <c r="J20" s="249"/>
      <c r="K20" s="289"/>
      <c r="L20" s="290"/>
      <c r="M20" s="290"/>
      <c r="N20" s="290"/>
      <c r="O20" s="290"/>
      <c r="P20" s="290"/>
      <c r="Q20" s="290"/>
      <c r="R20" s="290">
        <v>10</v>
      </c>
      <c r="S20" s="290"/>
      <c r="T20" s="290"/>
      <c r="U20" s="289"/>
      <c r="V20" s="290"/>
      <c r="W20" s="290"/>
      <c r="X20" s="290"/>
      <c r="Y20" s="290"/>
      <c r="Z20" s="290"/>
      <c r="AA20" s="291"/>
      <c r="AB20" s="292"/>
      <c r="AC20" s="293"/>
      <c r="AD20" s="293"/>
      <c r="AE20" s="294"/>
      <c r="AF20" s="249"/>
      <c r="AG20" s="295">
        <f>IF(OR(AND($E20=TRUE,'[1]Pricing Summary'!$B$33=$E$2),AND($F20=TRUE,'[1]Pricing Summary'!$B$33=$F$2),AND($G20=TRUE,'[1]Pricing Summary'!$B$33=$G$2)),1,0)</f>
        <v>1</v>
      </c>
      <c r="AH20" s="295">
        <f t="shared" si="45"/>
        <v>1</v>
      </c>
      <c r="AI20" s="296">
        <f t="shared" si="11"/>
        <v>10</v>
      </c>
      <c r="AJ20" s="297">
        <f t="shared" si="12"/>
        <v>0</v>
      </c>
      <c r="AK20" s="249"/>
      <c r="AL20" s="298">
        <f t="shared" si="46"/>
        <v>5750</v>
      </c>
      <c r="AM20" s="221">
        <f t="shared" si="47"/>
        <v>5750</v>
      </c>
      <c r="AN20" s="221">
        <f>MROUND((1+'[1]Core Assumptions'!$D$22)*AM20,'[1]Core Assumptions'!$E$23)</f>
        <v>5800</v>
      </c>
      <c r="AO20" s="299">
        <f t="shared" si="48"/>
        <v>5800</v>
      </c>
      <c r="AP20" s="300">
        <f>IF(AN$7=0,0,MROUND(AN20/AN$7*AP$8/'[1]Core Assumptions'!$D$28,'[1]Core Assumptions'!$E$23))</f>
        <v>4200</v>
      </c>
      <c r="AQ20" s="301">
        <f t="shared" si="13"/>
        <v>1.008695652173913</v>
      </c>
      <c r="AR20" s="302">
        <f t="shared" si="14"/>
        <v>580</v>
      </c>
      <c r="AS20" s="249"/>
      <c r="AT20" s="303">
        <f t="shared" si="15"/>
        <v>1070</v>
      </c>
      <c r="AU20" s="267"/>
      <c r="AV20" s="295">
        <f>IF(OR(AND($E20=TRUE,'[1]Pricing Summary'!$B$33="Ultimate"),AND($F20=TRUE,'[1]Pricing Summary'!$B$33="Enhanced"),AND($G20=TRUE,'[1]Pricing Summary'!$B$33="Essential")),1,0)</f>
        <v>1</v>
      </c>
      <c r="AW20" s="304">
        <f t="shared" si="16"/>
        <v>5750</v>
      </c>
      <c r="AX20" s="305">
        <f t="shared" si="17"/>
        <v>5800</v>
      </c>
      <c r="AY20" s="267"/>
      <c r="AZ20" s="304">
        <f t="shared" si="18"/>
        <v>5750</v>
      </c>
      <c r="BA20" s="222">
        <f t="shared" si="19"/>
        <v>5750</v>
      </c>
      <c r="BB20" s="306">
        <f t="shared" si="20"/>
        <v>5750</v>
      </c>
      <c r="BC20" s="272"/>
      <c r="BD20" s="307">
        <f t="shared" si="21"/>
        <v>10</v>
      </c>
      <c r="BE20" s="308">
        <f t="shared" si="22"/>
        <v>5750</v>
      </c>
      <c r="BF20" s="308">
        <f t="shared" si="23"/>
        <v>4680</v>
      </c>
      <c r="BG20" s="309">
        <f t="shared" si="24"/>
        <v>0.81391304347826088</v>
      </c>
      <c r="BH20" s="249"/>
      <c r="BI20" s="310">
        <f t="shared" si="25"/>
        <v>10</v>
      </c>
      <c r="BJ20" s="311">
        <f t="shared" si="26"/>
        <v>5750</v>
      </c>
      <c r="BK20" s="311">
        <f t="shared" si="27"/>
        <v>4680</v>
      </c>
      <c r="BL20" s="312">
        <f t="shared" si="28"/>
        <v>0.81391304347826088</v>
      </c>
      <c r="BM20" s="249"/>
      <c r="BN20" s="313">
        <f t="shared" si="29"/>
        <v>10</v>
      </c>
      <c r="BO20" s="314">
        <f t="shared" si="30"/>
        <v>5750</v>
      </c>
      <c r="BP20" s="314">
        <f t="shared" si="31"/>
        <v>4680</v>
      </c>
      <c r="BQ20" s="315">
        <f t="shared" si="32"/>
        <v>0.81391304347826088</v>
      </c>
      <c r="BR20" s="249"/>
      <c r="BS20" s="307">
        <f t="shared" si="33"/>
        <v>10</v>
      </c>
      <c r="BT20" s="308">
        <f t="shared" si="34"/>
        <v>5800</v>
      </c>
      <c r="BU20" s="308">
        <f t="shared" si="35"/>
        <v>4730</v>
      </c>
      <c r="BV20" s="309">
        <f t="shared" si="36"/>
        <v>0.81551724137931036</v>
      </c>
      <c r="BW20" s="249"/>
      <c r="BX20" s="310">
        <f t="shared" si="37"/>
        <v>10</v>
      </c>
      <c r="BY20" s="311">
        <f t="shared" si="38"/>
        <v>5800</v>
      </c>
      <c r="BZ20" s="311">
        <f t="shared" si="39"/>
        <v>4730</v>
      </c>
      <c r="CA20" s="312">
        <f t="shared" si="40"/>
        <v>0.81551724137931036</v>
      </c>
      <c r="CB20" s="249"/>
      <c r="CC20" s="313">
        <f t="shared" si="41"/>
        <v>10</v>
      </c>
      <c r="CD20" s="314">
        <f t="shared" si="42"/>
        <v>5800</v>
      </c>
      <c r="CE20" s="314">
        <f t="shared" si="43"/>
        <v>4730</v>
      </c>
      <c r="CF20" s="315">
        <f t="shared" si="44"/>
        <v>0.81551724137931036</v>
      </c>
      <c r="CG20" s="249"/>
      <c r="CH20" s="316"/>
    </row>
    <row r="21" spans="1:86" ht="15.75" customHeight="1" x14ac:dyDescent="0.2">
      <c r="A21" s="242" t="str">
        <f>IF(OR(E21&lt;&gt;FALSE,F21&lt;&gt;FALSE,G21&lt;&gt;FALSE),MAX(A$16:A20)+1,"")</f>
        <v/>
      </c>
      <c r="B21" s="283" t="str">
        <f>IF('[1]Core Assumptions'!B36="","",CONCATENATE('[1]Core Assumptions'!B36," - Federal &amp; State Tax Returns"))</f>
        <v/>
      </c>
      <c r="C21" s="284" t="str">
        <f>IF('[1]Core Assumptions'!B36="","",'[1]Core Assumptions'!B36)</f>
        <v/>
      </c>
      <c r="D21" s="245" t="s">
        <v>11</v>
      </c>
      <c r="E21" s="285" t="b">
        <v>0</v>
      </c>
      <c r="F21" s="286" t="b">
        <v>0</v>
      </c>
      <c r="G21" s="317" t="b">
        <v>0</v>
      </c>
      <c r="H21" s="249"/>
      <c r="I21" s="288">
        <v>1</v>
      </c>
      <c r="J21" s="249"/>
      <c r="K21" s="289"/>
      <c r="L21" s="290"/>
      <c r="M21" s="290"/>
      <c r="N21" s="290"/>
      <c r="O21" s="290"/>
      <c r="P21" s="290"/>
      <c r="Q21" s="290"/>
      <c r="R21" s="290"/>
      <c r="S21" s="290"/>
      <c r="T21" s="290"/>
      <c r="U21" s="289"/>
      <c r="V21" s="290"/>
      <c r="W21" s="290"/>
      <c r="X21" s="290"/>
      <c r="Y21" s="290"/>
      <c r="Z21" s="290"/>
      <c r="AA21" s="291"/>
      <c r="AB21" s="292"/>
      <c r="AC21" s="293"/>
      <c r="AD21" s="293"/>
      <c r="AE21" s="294"/>
      <c r="AF21" s="249"/>
      <c r="AG21" s="295">
        <f>IF(OR(AND($E21=TRUE,'[1]Pricing Summary'!$B$33=$E$2),AND($F21=TRUE,'[1]Pricing Summary'!$B$33=$F$2),AND($G21=TRUE,'[1]Pricing Summary'!$B$33=$G$2)),1,0)</f>
        <v>0</v>
      </c>
      <c r="AH21" s="295">
        <f t="shared" si="45"/>
        <v>0</v>
      </c>
      <c r="AI21" s="296">
        <f t="shared" si="11"/>
        <v>0</v>
      </c>
      <c r="AJ21" s="297">
        <f t="shared" si="12"/>
        <v>0</v>
      </c>
      <c r="AK21" s="249"/>
      <c r="AL21" s="298">
        <f t="shared" si="46"/>
        <v>0</v>
      </c>
      <c r="AM21" s="221">
        <f t="shared" si="47"/>
        <v>0</v>
      </c>
      <c r="AN21" s="221">
        <f>MROUND((1+'[1]Core Assumptions'!$D$22)*AM21,'[1]Core Assumptions'!$E$23)</f>
        <v>0</v>
      </c>
      <c r="AO21" s="299">
        <f t="shared" si="48"/>
        <v>0</v>
      </c>
      <c r="AP21" s="300">
        <f>IF(AN$7=0,0,MROUND(AN21/AN$7*AP$8/'[1]Core Assumptions'!$D$28,'[1]Core Assumptions'!$E$23))</f>
        <v>0</v>
      </c>
      <c r="AQ21" s="301">
        <f t="shared" si="13"/>
        <v>0</v>
      </c>
      <c r="AR21" s="302">
        <f t="shared" si="14"/>
        <v>0</v>
      </c>
      <c r="AS21" s="249"/>
      <c r="AT21" s="303">
        <f t="shared" si="15"/>
        <v>0</v>
      </c>
      <c r="AU21" s="267"/>
      <c r="AV21" s="295">
        <f>IF(OR(AND($E21=TRUE,'[1]Pricing Summary'!$B$33="Ultimate"),AND($F21=TRUE,'[1]Pricing Summary'!$B$33="Enhanced"),AND($G21=TRUE,'[1]Pricing Summary'!$B$33="Essential")),1,0)</f>
        <v>0</v>
      </c>
      <c r="AW21" s="304">
        <f t="shared" si="16"/>
        <v>0</v>
      </c>
      <c r="AX21" s="305">
        <f t="shared" si="17"/>
        <v>0</v>
      </c>
      <c r="AY21" s="267"/>
      <c r="AZ21" s="304">
        <f t="shared" si="18"/>
        <v>0</v>
      </c>
      <c r="BA21" s="222">
        <f t="shared" si="19"/>
        <v>0</v>
      </c>
      <c r="BB21" s="306">
        <f t="shared" si="20"/>
        <v>0</v>
      </c>
      <c r="BC21" s="272"/>
      <c r="BD21" s="307">
        <f t="shared" si="21"/>
        <v>0</v>
      </c>
      <c r="BE21" s="308">
        <f t="shared" si="22"/>
        <v>0</v>
      </c>
      <c r="BF21" s="308">
        <f t="shared" si="23"/>
        <v>0</v>
      </c>
      <c r="BG21" s="309">
        <f t="shared" si="24"/>
        <v>0</v>
      </c>
      <c r="BH21" s="249"/>
      <c r="BI21" s="310">
        <f t="shared" si="25"/>
        <v>0</v>
      </c>
      <c r="BJ21" s="311">
        <f t="shared" si="26"/>
        <v>0</v>
      </c>
      <c r="BK21" s="311">
        <f t="shared" si="27"/>
        <v>0</v>
      </c>
      <c r="BL21" s="312">
        <f t="shared" si="28"/>
        <v>0</v>
      </c>
      <c r="BM21" s="249"/>
      <c r="BN21" s="313">
        <f t="shared" si="29"/>
        <v>0</v>
      </c>
      <c r="BO21" s="314">
        <f t="shared" si="30"/>
        <v>0</v>
      </c>
      <c r="BP21" s="314">
        <f t="shared" si="31"/>
        <v>0</v>
      </c>
      <c r="BQ21" s="315">
        <f t="shared" si="32"/>
        <v>0</v>
      </c>
      <c r="BR21" s="249"/>
      <c r="BS21" s="307">
        <f t="shared" si="33"/>
        <v>0</v>
      </c>
      <c r="BT21" s="308">
        <f t="shared" si="34"/>
        <v>0</v>
      </c>
      <c r="BU21" s="308">
        <f t="shared" si="35"/>
        <v>0</v>
      </c>
      <c r="BV21" s="309">
        <f t="shared" si="36"/>
        <v>0</v>
      </c>
      <c r="BW21" s="249"/>
      <c r="BX21" s="310">
        <f t="shared" si="37"/>
        <v>0</v>
      </c>
      <c r="BY21" s="311">
        <f t="shared" si="38"/>
        <v>0</v>
      </c>
      <c r="BZ21" s="311">
        <f t="shared" si="39"/>
        <v>0</v>
      </c>
      <c r="CA21" s="312">
        <f t="shared" si="40"/>
        <v>0</v>
      </c>
      <c r="CB21" s="249"/>
      <c r="CC21" s="313">
        <f t="shared" si="41"/>
        <v>0</v>
      </c>
      <c r="CD21" s="314">
        <f t="shared" si="42"/>
        <v>0</v>
      </c>
      <c r="CE21" s="314">
        <f t="shared" si="43"/>
        <v>0</v>
      </c>
      <c r="CF21" s="315">
        <f t="shared" si="44"/>
        <v>0</v>
      </c>
      <c r="CG21" s="249"/>
      <c r="CH21" s="316"/>
    </row>
    <row r="22" spans="1:86" ht="15.75" customHeight="1" thickBot="1" x14ac:dyDescent="0.25">
      <c r="A22" s="242" t="str">
        <f>IF(OR(E22&lt;&gt;FALSE,F22&lt;&gt;FALSE,G22&lt;&gt;FALSE),MAX(A$16:A21)+1,"")</f>
        <v/>
      </c>
      <c r="B22" s="283" t="str">
        <f>IF('[1]Core Assumptions'!B37="","",CONCATENATE('[1]Core Assumptions'!B37," - Federal &amp; State Tax Returns"))</f>
        <v/>
      </c>
      <c r="C22" s="284" t="str">
        <f>IF('[1]Core Assumptions'!B37="","",'[1]Core Assumptions'!B37)</f>
        <v/>
      </c>
      <c r="D22" s="245" t="s">
        <v>11</v>
      </c>
      <c r="E22" s="285" t="b">
        <v>0</v>
      </c>
      <c r="F22" s="286" t="b">
        <v>0</v>
      </c>
      <c r="G22" s="287" t="b">
        <v>0</v>
      </c>
      <c r="H22" s="249"/>
      <c r="I22" s="288">
        <v>1</v>
      </c>
      <c r="J22" s="249"/>
      <c r="K22" s="289"/>
      <c r="L22" s="290"/>
      <c r="M22" s="290"/>
      <c r="N22" s="290"/>
      <c r="O22" s="290"/>
      <c r="P22" s="290"/>
      <c r="Q22" s="290"/>
      <c r="R22" s="290"/>
      <c r="S22" s="290"/>
      <c r="T22" s="290"/>
      <c r="U22" s="289"/>
      <c r="V22" s="290"/>
      <c r="W22" s="290"/>
      <c r="X22" s="290"/>
      <c r="Y22" s="290"/>
      <c r="Z22" s="290"/>
      <c r="AA22" s="291"/>
      <c r="AB22" s="318"/>
      <c r="AC22" s="319"/>
      <c r="AD22" s="319"/>
      <c r="AE22" s="320"/>
      <c r="AF22" s="249"/>
      <c r="AG22" s="295">
        <f>IF(OR(AND($E22=TRUE,'[1]Pricing Summary'!$B$33=$E$2),AND($F22=TRUE,'[1]Pricing Summary'!$B$33=$F$2),AND($G22=TRUE,'[1]Pricing Summary'!$B$33=$G$2)),1,0)</f>
        <v>0</v>
      </c>
      <c r="AH22" s="295">
        <f t="shared" si="45"/>
        <v>0</v>
      </c>
      <c r="AI22" s="296">
        <f t="shared" si="11"/>
        <v>0</v>
      </c>
      <c r="AJ22" s="297">
        <f t="shared" si="12"/>
        <v>0</v>
      </c>
      <c r="AK22" s="249"/>
      <c r="AL22" s="298">
        <f t="shared" si="46"/>
        <v>0</v>
      </c>
      <c r="AM22" s="221">
        <f t="shared" si="47"/>
        <v>0</v>
      </c>
      <c r="AN22" s="221">
        <f>MROUND((1+'[1]Core Assumptions'!$D$22)*AM22,'[1]Core Assumptions'!$E$23)</f>
        <v>0</v>
      </c>
      <c r="AO22" s="299">
        <f t="shared" si="48"/>
        <v>0</v>
      </c>
      <c r="AP22" s="300">
        <f>IF(AN$7=0,0,MROUND(AN22/AN$7*AP$8/'[1]Core Assumptions'!$D$28,'[1]Core Assumptions'!$E$23))</f>
        <v>0</v>
      </c>
      <c r="AQ22" s="301">
        <f t="shared" si="13"/>
        <v>0</v>
      </c>
      <c r="AR22" s="302">
        <f t="shared" si="14"/>
        <v>0</v>
      </c>
      <c r="AS22" s="249"/>
      <c r="AT22" s="303">
        <f t="shared" si="15"/>
        <v>0</v>
      </c>
      <c r="AU22" s="267"/>
      <c r="AV22" s="295">
        <f>IF(OR(AND($E22=TRUE,'[1]Pricing Summary'!$B$33="Ultimate"),AND($F22=TRUE,'[1]Pricing Summary'!$B$33="Enhanced"),AND($G22=TRUE,'[1]Pricing Summary'!$B$33="Essential")),1,0)</f>
        <v>0</v>
      </c>
      <c r="AW22" s="304">
        <f t="shared" si="16"/>
        <v>0</v>
      </c>
      <c r="AX22" s="305">
        <f t="shared" si="17"/>
        <v>0</v>
      </c>
      <c r="AY22" s="267"/>
      <c r="AZ22" s="304">
        <f t="shared" si="18"/>
        <v>0</v>
      </c>
      <c r="BA22" s="222">
        <f t="shared" si="19"/>
        <v>0</v>
      </c>
      <c r="BB22" s="306">
        <f t="shared" si="20"/>
        <v>0</v>
      </c>
      <c r="BC22" s="272"/>
      <c r="BD22" s="307">
        <f t="shared" si="21"/>
        <v>0</v>
      </c>
      <c r="BE22" s="308">
        <f t="shared" si="22"/>
        <v>0</v>
      </c>
      <c r="BF22" s="308">
        <f t="shared" si="23"/>
        <v>0</v>
      </c>
      <c r="BG22" s="309">
        <f t="shared" si="24"/>
        <v>0</v>
      </c>
      <c r="BH22" s="249"/>
      <c r="BI22" s="310">
        <f t="shared" si="25"/>
        <v>0</v>
      </c>
      <c r="BJ22" s="311">
        <f t="shared" si="26"/>
        <v>0</v>
      </c>
      <c r="BK22" s="311">
        <f t="shared" si="27"/>
        <v>0</v>
      </c>
      <c r="BL22" s="312">
        <f t="shared" si="28"/>
        <v>0</v>
      </c>
      <c r="BM22" s="249"/>
      <c r="BN22" s="313">
        <f t="shared" si="29"/>
        <v>0</v>
      </c>
      <c r="BO22" s="314">
        <f t="shared" si="30"/>
        <v>0</v>
      </c>
      <c r="BP22" s="314">
        <f t="shared" si="31"/>
        <v>0</v>
      </c>
      <c r="BQ22" s="315">
        <f t="shared" si="32"/>
        <v>0</v>
      </c>
      <c r="BR22" s="249"/>
      <c r="BS22" s="307">
        <f t="shared" si="33"/>
        <v>0</v>
      </c>
      <c r="BT22" s="308">
        <f t="shared" si="34"/>
        <v>0</v>
      </c>
      <c r="BU22" s="308">
        <f t="shared" si="35"/>
        <v>0</v>
      </c>
      <c r="BV22" s="309">
        <f t="shared" si="36"/>
        <v>0</v>
      </c>
      <c r="BW22" s="249"/>
      <c r="BX22" s="310">
        <f t="shared" si="37"/>
        <v>0</v>
      </c>
      <c r="BY22" s="311">
        <f t="shared" si="38"/>
        <v>0</v>
      </c>
      <c r="BZ22" s="311">
        <f t="shared" si="39"/>
        <v>0</v>
      </c>
      <c r="CA22" s="312">
        <f t="shared" si="40"/>
        <v>0</v>
      </c>
      <c r="CB22" s="249"/>
      <c r="CC22" s="313">
        <f t="shared" si="41"/>
        <v>0</v>
      </c>
      <c r="CD22" s="314">
        <f t="shared" si="42"/>
        <v>0</v>
      </c>
      <c r="CE22" s="314">
        <f t="shared" si="43"/>
        <v>0</v>
      </c>
      <c r="CF22" s="315">
        <f t="shared" si="44"/>
        <v>0</v>
      </c>
      <c r="CG22" s="249"/>
      <c r="CH22" s="316"/>
    </row>
    <row r="23" spans="1:86" ht="15.75" customHeight="1" thickBot="1" x14ac:dyDescent="0.25">
      <c r="A23" s="242" t="str">
        <f>IF(OR(E23&lt;&gt;FALSE,F23&lt;&gt;FALSE,G23&lt;&gt;FALSE),MAX(A$16:A22)+1,"")</f>
        <v/>
      </c>
      <c r="B23" s="283" t="str">
        <f>IF('[1]Core Assumptions'!B38="","",CONCATENATE('[1]Core Assumptions'!B38," - Federal &amp; State Tax Returns"))</f>
        <v/>
      </c>
      <c r="C23" s="284" t="str">
        <f>IF('[1]Core Assumptions'!B38="","",'[1]Core Assumptions'!B38)</f>
        <v/>
      </c>
      <c r="D23" s="245" t="s">
        <v>11</v>
      </c>
      <c r="E23" s="285" t="b">
        <v>0</v>
      </c>
      <c r="F23" s="286" t="b">
        <v>0</v>
      </c>
      <c r="G23" s="317" t="b">
        <v>0</v>
      </c>
      <c r="H23" s="249"/>
      <c r="I23" s="288">
        <v>1</v>
      </c>
      <c r="J23" s="249"/>
      <c r="K23" s="289"/>
      <c r="L23" s="290"/>
      <c r="M23" s="290"/>
      <c r="N23" s="290"/>
      <c r="O23" s="290"/>
      <c r="P23" s="290"/>
      <c r="Q23" s="290"/>
      <c r="R23" s="290"/>
      <c r="S23" s="290"/>
      <c r="T23" s="290"/>
      <c r="U23" s="289"/>
      <c r="V23" s="290"/>
      <c r="W23" s="290"/>
      <c r="X23" s="290"/>
      <c r="Y23" s="290"/>
      <c r="Z23" s="290"/>
      <c r="AA23" s="291"/>
      <c r="AB23" s="318"/>
      <c r="AC23" s="319"/>
      <c r="AD23" s="319"/>
      <c r="AE23" s="320"/>
      <c r="AF23" s="249"/>
      <c r="AG23" s="295">
        <f>IF(OR(AND($E23=TRUE,'[1]Pricing Summary'!$B$33=$E$2),AND($F23=TRUE,'[1]Pricing Summary'!$B$33=$F$2),AND($G23=TRUE,'[1]Pricing Summary'!$B$33=$G$2)),1,0)</f>
        <v>0</v>
      </c>
      <c r="AH23" s="295">
        <f t="shared" si="45"/>
        <v>0</v>
      </c>
      <c r="AI23" s="296">
        <f t="shared" si="11"/>
        <v>0</v>
      </c>
      <c r="AJ23" s="297">
        <f t="shared" si="12"/>
        <v>0</v>
      </c>
      <c r="AK23" s="249"/>
      <c r="AL23" s="298">
        <f t="shared" si="46"/>
        <v>0</v>
      </c>
      <c r="AM23" s="221">
        <f t="shared" si="47"/>
        <v>0</v>
      </c>
      <c r="AN23" s="221">
        <f>MROUND((1+'[1]Core Assumptions'!$D$22)*AM23,'[1]Core Assumptions'!$E$23)</f>
        <v>0</v>
      </c>
      <c r="AO23" s="299">
        <f t="shared" si="48"/>
        <v>0</v>
      </c>
      <c r="AP23" s="300">
        <f>IF(AN$7=0,0,MROUND(AN23/AN$7*AP$8/'[1]Core Assumptions'!$D$28,'[1]Core Assumptions'!$E$23))</f>
        <v>0</v>
      </c>
      <c r="AQ23" s="301">
        <f t="shared" si="13"/>
        <v>0</v>
      </c>
      <c r="AR23" s="302">
        <f t="shared" si="14"/>
        <v>0</v>
      </c>
      <c r="AS23" s="249"/>
      <c r="AT23" s="303">
        <f t="shared" si="15"/>
        <v>0</v>
      </c>
      <c r="AU23" s="267"/>
      <c r="AV23" s="295">
        <f>IF(OR(AND($E23=TRUE,'[1]Pricing Summary'!$B$33="Ultimate"),AND($F23=TRUE,'[1]Pricing Summary'!$B$33="Enhanced"),AND($G23=TRUE,'[1]Pricing Summary'!$B$33="Essential")),1,0)</f>
        <v>0</v>
      </c>
      <c r="AW23" s="304">
        <f t="shared" si="16"/>
        <v>0</v>
      </c>
      <c r="AX23" s="305">
        <f t="shared" si="17"/>
        <v>0</v>
      </c>
      <c r="AY23" s="267"/>
      <c r="AZ23" s="304">
        <f t="shared" si="18"/>
        <v>0</v>
      </c>
      <c r="BA23" s="222">
        <f t="shared" si="19"/>
        <v>0</v>
      </c>
      <c r="BB23" s="306">
        <f t="shared" si="20"/>
        <v>0</v>
      </c>
      <c r="BC23" s="272"/>
      <c r="BD23" s="307">
        <f t="shared" si="21"/>
        <v>0</v>
      </c>
      <c r="BE23" s="308">
        <f t="shared" si="22"/>
        <v>0</v>
      </c>
      <c r="BF23" s="308">
        <f t="shared" si="23"/>
        <v>0</v>
      </c>
      <c r="BG23" s="321">
        <f t="shared" si="24"/>
        <v>0</v>
      </c>
      <c r="BH23" s="249"/>
      <c r="BI23" s="310">
        <f t="shared" si="25"/>
        <v>0</v>
      </c>
      <c r="BJ23" s="311">
        <f t="shared" si="26"/>
        <v>0</v>
      </c>
      <c r="BK23" s="311">
        <f t="shared" si="27"/>
        <v>0</v>
      </c>
      <c r="BL23" s="312">
        <f t="shared" si="28"/>
        <v>0</v>
      </c>
      <c r="BM23" s="249"/>
      <c r="BN23" s="313">
        <f t="shared" si="29"/>
        <v>0</v>
      </c>
      <c r="BO23" s="314">
        <f t="shared" si="30"/>
        <v>0</v>
      </c>
      <c r="BP23" s="314">
        <f t="shared" si="31"/>
        <v>0</v>
      </c>
      <c r="BQ23" s="315">
        <f t="shared" si="32"/>
        <v>0</v>
      </c>
      <c r="BR23" s="249"/>
      <c r="BS23" s="307">
        <f t="shared" si="33"/>
        <v>0</v>
      </c>
      <c r="BT23" s="308">
        <f t="shared" si="34"/>
        <v>0</v>
      </c>
      <c r="BU23" s="308">
        <f t="shared" si="35"/>
        <v>0</v>
      </c>
      <c r="BV23" s="321">
        <f t="shared" si="36"/>
        <v>0</v>
      </c>
      <c r="BW23" s="249"/>
      <c r="BX23" s="310">
        <f t="shared" si="37"/>
        <v>0</v>
      </c>
      <c r="BY23" s="311">
        <f t="shared" si="38"/>
        <v>0</v>
      </c>
      <c r="BZ23" s="311">
        <f t="shared" si="39"/>
        <v>0</v>
      </c>
      <c r="CA23" s="312">
        <f t="shared" si="40"/>
        <v>0</v>
      </c>
      <c r="CB23" s="249"/>
      <c r="CC23" s="313">
        <f t="shared" si="41"/>
        <v>0</v>
      </c>
      <c r="CD23" s="314">
        <f t="shared" si="42"/>
        <v>0</v>
      </c>
      <c r="CE23" s="314">
        <f t="shared" si="43"/>
        <v>0</v>
      </c>
      <c r="CF23" s="315">
        <f t="shared" si="44"/>
        <v>0</v>
      </c>
      <c r="CG23" s="249"/>
      <c r="CH23" s="316"/>
    </row>
    <row r="24" spans="1:86" ht="15.75" customHeight="1" thickBot="1" x14ac:dyDescent="0.25">
      <c r="A24" s="242" t="str">
        <f>IF(OR(E24&lt;&gt;FALSE,F24&lt;&gt;FALSE,G24&lt;&gt;FALSE),MAX(A$16:A23)+1,"")</f>
        <v/>
      </c>
      <c r="B24" s="283" t="str">
        <f>IF('[1]Core Assumptions'!B39="","",CONCATENATE('[1]Core Assumptions'!B39," - Federal &amp; State Tax Returns"))</f>
        <v/>
      </c>
      <c r="C24" s="284" t="str">
        <f>IF('[1]Core Assumptions'!B39="","",'[1]Core Assumptions'!B39)</f>
        <v/>
      </c>
      <c r="D24" s="245" t="s">
        <v>11</v>
      </c>
      <c r="E24" s="285" t="b">
        <v>0</v>
      </c>
      <c r="F24" s="286" t="b">
        <v>0</v>
      </c>
      <c r="G24" s="287" t="b">
        <v>0</v>
      </c>
      <c r="H24" s="249"/>
      <c r="I24" s="288">
        <v>1</v>
      </c>
      <c r="J24" s="249"/>
      <c r="K24" s="289"/>
      <c r="L24" s="290"/>
      <c r="M24" s="290"/>
      <c r="N24" s="290"/>
      <c r="O24" s="290"/>
      <c r="P24" s="290"/>
      <c r="Q24" s="290"/>
      <c r="R24" s="290"/>
      <c r="S24" s="290"/>
      <c r="T24" s="290"/>
      <c r="U24" s="289"/>
      <c r="V24" s="290"/>
      <c r="W24" s="290"/>
      <c r="X24" s="290"/>
      <c r="Y24" s="290"/>
      <c r="Z24" s="290"/>
      <c r="AA24" s="291"/>
      <c r="AB24" s="318"/>
      <c r="AC24" s="319"/>
      <c r="AD24" s="319"/>
      <c r="AE24" s="320"/>
      <c r="AF24" s="249"/>
      <c r="AG24" s="295">
        <f>IF(OR(AND($E24=TRUE,'[1]Pricing Summary'!$B$33=$E$2),AND($F24=TRUE,'[1]Pricing Summary'!$B$33=$F$2),AND($G24=TRUE,'[1]Pricing Summary'!$B$33=$G$2)),1,0)</f>
        <v>0</v>
      </c>
      <c r="AH24" s="295">
        <f t="shared" si="45"/>
        <v>0</v>
      </c>
      <c r="AI24" s="296">
        <f t="shared" si="11"/>
        <v>0</v>
      </c>
      <c r="AJ24" s="297">
        <f t="shared" si="12"/>
        <v>0</v>
      </c>
      <c r="AK24" s="249"/>
      <c r="AL24" s="298">
        <f t="shared" si="46"/>
        <v>0</v>
      </c>
      <c r="AM24" s="221">
        <f t="shared" si="47"/>
        <v>0</v>
      </c>
      <c r="AN24" s="221">
        <f>MROUND((1+'[1]Core Assumptions'!$D$22)*AM24,'[1]Core Assumptions'!$E$23)</f>
        <v>0</v>
      </c>
      <c r="AO24" s="299">
        <f t="shared" si="48"/>
        <v>0</v>
      </c>
      <c r="AP24" s="300">
        <f>IF(AN$7=0,0,MROUND(AN24/AN$7*AP$8/'[1]Core Assumptions'!$D$28,'[1]Core Assumptions'!$E$23))</f>
        <v>0</v>
      </c>
      <c r="AQ24" s="301">
        <f t="shared" si="13"/>
        <v>0</v>
      </c>
      <c r="AR24" s="302">
        <f t="shared" si="14"/>
        <v>0</v>
      </c>
      <c r="AS24" s="249"/>
      <c r="AT24" s="303">
        <f t="shared" si="15"/>
        <v>0</v>
      </c>
      <c r="AU24" s="267"/>
      <c r="AV24" s="295">
        <f>IF(OR(AND($E24=TRUE,'[1]Pricing Summary'!$B$33="Ultimate"),AND($F24=TRUE,'[1]Pricing Summary'!$B$33="Enhanced"),AND($G24=TRUE,'[1]Pricing Summary'!$B$33="Essential")),1,0)</f>
        <v>0</v>
      </c>
      <c r="AW24" s="304">
        <f t="shared" si="16"/>
        <v>0</v>
      </c>
      <c r="AX24" s="305">
        <f t="shared" si="17"/>
        <v>0</v>
      </c>
      <c r="AY24" s="267"/>
      <c r="AZ24" s="304">
        <f t="shared" si="18"/>
        <v>0</v>
      </c>
      <c r="BA24" s="222">
        <f t="shared" si="19"/>
        <v>0</v>
      </c>
      <c r="BB24" s="306">
        <f t="shared" si="20"/>
        <v>0</v>
      </c>
      <c r="BC24" s="272"/>
      <c r="BD24" s="307">
        <f t="shared" si="21"/>
        <v>0</v>
      </c>
      <c r="BE24" s="308">
        <f t="shared" si="22"/>
        <v>0</v>
      </c>
      <c r="BF24" s="308">
        <f t="shared" si="23"/>
        <v>0</v>
      </c>
      <c r="BG24" s="321">
        <f t="shared" si="24"/>
        <v>0</v>
      </c>
      <c r="BH24" s="249"/>
      <c r="BI24" s="310">
        <f t="shared" si="25"/>
        <v>0</v>
      </c>
      <c r="BJ24" s="311">
        <f t="shared" si="26"/>
        <v>0</v>
      </c>
      <c r="BK24" s="311">
        <f t="shared" si="27"/>
        <v>0</v>
      </c>
      <c r="BL24" s="312">
        <f t="shared" si="28"/>
        <v>0</v>
      </c>
      <c r="BM24" s="249"/>
      <c r="BN24" s="313">
        <f t="shared" si="29"/>
        <v>0</v>
      </c>
      <c r="BO24" s="314">
        <f t="shared" si="30"/>
        <v>0</v>
      </c>
      <c r="BP24" s="314">
        <f t="shared" si="31"/>
        <v>0</v>
      </c>
      <c r="BQ24" s="315">
        <f t="shared" si="32"/>
        <v>0</v>
      </c>
      <c r="BR24" s="249"/>
      <c r="BS24" s="307">
        <f t="shared" si="33"/>
        <v>0</v>
      </c>
      <c r="BT24" s="308">
        <f t="shared" si="34"/>
        <v>0</v>
      </c>
      <c r="BU24" s="308">
        <f t="shared" si="35"/>
        <v>0</v>
      </c>
      <c r="BV24" s="321">
        <f t="shared" si="36"/>
        <v>0</v>
      </c>
      <c r="BW24" s="249"/>
      <c r="BX24" s="310">
        <f t="shared" si="37"/>
        <v>0</v>
      </c>
      <c r="BY24" s="311">
        <f t="shared" si="38"/>
        <v>0</v>
      </c>
      <c r="BZ24" s="311">
        <f t="shared" si="39"/>
        <v>0</v>
      </c>
      <c r="CA24" s="312">
        <f t="shared" si="40"/>
        <v>0</v>
      </c>
      <c r="CB24" s="249"/>
      <c r="CC24" s="313">
        <f t="shared" si="41"/>
        <v>0</v>
      </c>
      <c r="CD24" s="314">
        <f t="shared" si="42"/>
        <v>0</v>
      </c>
      <c r="CE24" s="314">
        <f t="shared" si="43"/>
        <v>0</v>
      </c>
      <c r="CF24" s="315">
        <f t="shared" si="44"/>
        <v>0</v>
      </c>
      <c r="CG24" s="249"/>
      <c r="CH24" s="316"/>
    </row>
    <row r="25" spans="1:86" ht="15.75" customHeight="1" thickBot="1" x14ac:dyDescent="0.25">
      <c r="A25" s="242" t="str">
        <f>IF(OR(E25&lt;&gt;FALSE,F25&lt;&gt;FALSE,G25&lt;&gt;FALSE),MAX(A$16:A24)+1,"")</f>
        <v/>
      </c>
      <c r="B25" s="283" t="str">
        <f>IF('[1]Core Assumptions'!B40="","",CONCATENATE('[1]Core Assumptions'!B40," - Federal &amp; State Tax Returns"))</f>
        <v/>
      </c>
      <c r="C25" s="284" t="str">
        <f>IF('[1]Core Assumptions'!B40="","",'[1]Core Assumptions'!B40)</f>
        <v/>
      </c>
      <c r="D25" s="245" t="s">
        <v>11</v>
      </c>
      <c r="E25" s="285" t="b">
        <v>0</v>
      </c>
      <c r="F25" s="286" t="b">
        <v>0</v>
      </c>
      <c r="G25" s="317" t="b">
        <v>0</v>
      </c>
      <c r="H25" s="249"/>
      <c r="I25" s="288">
        <v>1</v>
      </c>
      <c r="J25" s="249"/>
      <c r="K25" s="289"/>
      <c r="L25" s="290"/>
      <c r="M25" s="290"/>
      <c r="N25" s="290"/>
      <c r="O25" s="290"/>
      <c r="P25" s="290"/>
      <c r="Q25" s="290"/>
      <c r="R25" s="290"/>
      <c r="S25" s="290"/>
      <c r="T25" s="290"/>
      <c r="U25" s="289"/>
      <c r="V25" s="290"/>
      <c r="W25" s="290"/>
      <c r="X25" s="290"/>
      <c r="Y25" s="290"/>
      <c r="Z25" s="290"/>
      <c r="AA25" s="291"/>
      <c r="AB25" s="318"/>
      <c r="AC25" s="319"/>
      <c r="AD25" s="319"/>
      <c r="AE25" s="320"/>
      <c r="AF25" s="249"/>
      <c r="AG25" s="295">
        <f>IF(OR(AND($E25=TRUE,'[1]Pricing Summary'!$B$33=$E$2),AND($F25=TRUE,'[1]Pricing Summary'!$B$33=$F$2),AND($G25=TRUE,'[1]Pricing Summary'!$B$33=$G$2)),1,0)</f>
        <v>0</v>
      </c>
      <c r="AH25" s="295">
        <f t="shared" si="45"/>
        <v>0</v>
      </c>
      <c r="AI25" s="296">
        <f t="shared" si="11"/>
        <v>0</v>
      </c>
      <c r="AJ25" s="297">
        <f t="shared" si="12"/>
        <v>0</v>
      </c>
      <c r="AK25" s="249"/>
      <c r="AL25" s="298">
        <f t="shared" si="46"/>
        <v>0</v>
      </c>
      <c r="AM25" s="221">
        <f t="shared" si="47"/>
        <v>0</v>
      </c>
      <c r="AN25" s="221">
        <f>MROUND((1+'[1]Core Assumptions'!$D$22)*AM25,'[1]Core Assumptions'!$E$23)</f>
        <v>0</v>
      </c>
      <c r="AO25" s="299">
        <f t="shared" si="48"/>
        <v>0</v>
      </c>
      <c r="AP25" s="300">
        <f>IF(AN$7=0,0,MROUND(AN25/AN$7*AP$8/'[1]Core Assumptions'!$D$28,'[1]Core Assumptions'!$E$23))</f>
        <v>0</v>
      </c>
      <c r="AQ25" s="301">
        <f t="shared" si="13"/>
        <v>0</v>
      </c>
      <c r="AR25" s="302">
        <f t="shared" si="14"/>
        <v>0</v>
      </c>
      <c r="AS25" s="249"/>
      <c r="AT25" s="303">
        <f t="shared" si="15"/>
        <v>0</v>
      </c>
      <c r="AU25" s="267"/>
      <c r="AV25" s="295">
        <f>IF(OR(AND($E25=TRUE,'[1]Pricing Summary'!$B$33="Ultimate"),AND($F25=TRUE,'[1]Pricing Summary'!$B$33="Enhanced"),AND($G25=TRUE,'[1]Pricing Summary'!$B$33="Essential")),1,0)</f>
        <v>0</v>
      </c>
      <c r="AW25" s="304">
        <f t="shared" si="16"/>
        <v>0</v>
      </c>
      <c r="AX25" s="305">
        <f t="shared" si="17"/>
        <v>0</v>
      </c>
      <c r="AY25" s="267"/>
      <c r="AZ25" s="304">
        <f t="shared" si="18"/>
        <v>0</v>
      </c>
      <c r="BA25" s="222">
        <f t="shared" si="19"/>
        <v>0</v>
      </c>
      <c r="BB25" s="306">
        <f t="shared" si="20"/>
        <v>0</v>
      </c>
      <c r="BC25" s="272"/>
      <c r="BD25" s="307">
        <f t="shared" si="21"/>
        <v>0</v>
      </c>
      <c r="BE25" s="308">
        <f t="shared" si="22"/>
        <v>0</v>
      </c>
      <c r="BF25" s="308">
        <f t="shared" si="23"/>
        <v>0</v>
      </c>
      <c r="BG25" s="321">
        <f t="shared" si="24"/>
        <v>0</v>
      </c>
      <c r="BH25" s="249"/>
      <c r="BI25" s="310">
        <f t="shared" si="25"/>
        <v>0</v>
      </c>
      <c r="BJ25" s="311">
        <f t="shared" si="26"/>
        <v>0</v>
      </c>
      <c r="BK25" s="311">
        <f t="shared" si="27"/>
        <v>0</v>
      </c>
      <c r="BL25" s="312">
        <f t="shared" si="28"/>
        <v>0</v>
      </c>
      <c r="BM25" s="249"/>
      <c r="BN25" s="313">
        <f t="shared" si="29"/>
        <v>0</v>
      </c>
      <c r="BO25" s="314">
        <f t="shared" si="30"/>
        <v>0</v>
      </c>
      <c r="BP25" s="314">
        <f t="shared" si="31"/>
        <v>0</v>
      </c>
      <c r="BQ25" s="315">
        <f t="shared" si="32"/>
        <v>0</v>
      </c>
      <c r="BR25" s="249"/>
      <c r="BS25" s="307">
        <f t="shared" si="33"/>
        <v>0</v>
      </c>
      <c r="BT25" s="308">
        <f t="shared" si="34"/>
        <v>0</v>
      </c>
      <c r="BU25" s="308">
        <f t="shared" si="35"/>
        <v>0</v>
      </c>
      <c r="BV25" s="321">
        <f t="shared" si="36"/>
        <v>0</v>
      </c>
      <c r="BW25" s="249"/>
      <c r="BX25" s="310">
        <f t="shared" si="37"/>
        <v>0</v>
      </c>
      <c r="BY25" s="311">
        <f t="shared" si="38"/>
        <v>0</v>
      </c>
      <c r="BZ25" s="311">
        <f t="shared" si="39"/>
        <v>0</v>
      </c>
      <c r="CA25" s="312">
        <f t="shared" si="40"/>
        <v>0</v>
      </c>
      <c r="CB25" s="249"/>
      <c r="CC25" s="313">
        <f t="shared" si="41"/>
        <v>0</v>
      </c>
      <c r="CD25" s="314">
        <f t="shared" si="42"/>
        <v>0</v>
      </c>
      <c r="CE25" s="314">
        <f t="shared" si="43"/>
        <v>0</v>
      </c>
      <c r="CF25" s="315">
        <f t="shared" si="44"/>
        <v>0</v>
      </c>
      <c r="CG25" s="249"/>
      <c r="CH25" s="316"/>
    </row>
    <row r="26" spans="1:86" ht="15.75" customHeight="1" thickBot="1" x14ac:dyDescent="0.25">
      <c r="A26" s="242" t="str">
        <f>IF(OR(E26&lt;&gt;FALSE,F26&lt;&gt;FALSE,G26&lt;&gt;FALSE),MAX(A$16:A25)+1,"")</f>
        <v/>
      </c>
      <c r="B26" s="283" t="str">
        <f>IF('[1]Core Assumptions'!B41="","",CONCATENATE('[1]Core Assumptions'!B41," - Federal &amp; State Tax Returns"))</f>
        <v/>
      </c>
      <c r="C26" s="284" t="str">
        <f>IF('[1]Core Assumptions'!B41="","",'[1]Core Assumptions'!B41)</f>
        <v/>
      </c>
      <c r="D26" s="245" t="s">
        <v>11</v>
      </c>
      <c r="E26" s="285" t="b">
        <v>0</v>
      </c>
      <c r="F26" s="286" t="b">
        <v>0</v>
      </c>
      <c r="G26" s="287" t="b">
        <v>0</v>
      </c>
      <c r="H26" s="249"/>
      <c r="I26" s="288">
        <v>1</v>
      </c>
      <c r="J26" s="249"/>
      <c r="K26" s="289"/>
      <c r="L26" s="290"/>
      <c r="M26" s="290"/>
      <c r="N26" s="290"/>
      <c r="O26" s="290"/>
      <c r="P26" s="290"/>
      <c r="Q26" s="290"/>
      <c r="R26" s="290"/>
      <c r="S26" s="290"/>
      <c r="T26" s="290"/>
      <c r="U26" s="289"/>
      <c r="V26" s="290"/>
      <c r="W26" s="290"/>
      <c r="X26" s="290"/>
      <c r="Y26" s="290"/>
      <c r="Z26" s="290"/>
      <c r="AA26" s="291"/>
      <c r="AB26" s="318"/>
      <c r="AC26" s="319"/>
      <c r="AD26" s="319"/>
      <c r="AE26" s="320"/>
      <c r="AF26" s="249"/>
      <c r="AG26" s="295">
        <f>IF(OR(AND($E26=TRUE,'[1]Pricing Summary'!$B$33=$E$2),AND($F26=TRUE,'[1]Pricing Summary'!$B$33=$F$2),AND($G26=TRUE,'[1]Pricing Summary'!$B$33=$G$2)),1,0)</f>
        <v>0</v>
      </c>
      <c r="AH26" s="295">
        <f t="shared" si="45"/>
        <v>0</v>
      </c>
      <c r="AI26" s="296">
        <f t="shared" si="11"/>
        <v>0</v>
      </c>
      <c r="AJ26" s="297">
        <f t="shared" si="12"/>
        <v>0</v>
      </c>
      <c r="AK26" s="249"/>
      <c r="AL26" s="298">
        <f t="shared" si="46"/>
        <v>0</v>
      </c>
      <c r="AM26" s="221">
        <f t="shared" si="47"/>
        <v>0</v>
      </c>
      <c r="AN26" s="221">
        <f>MROUND((1+'[1]Core Assumptions'!$D$22)*AM26,'[1]Core Assumptions'!$E$23)</f>
        <v>0</v>
      </c>
      <c r="AO26" s="299">
        <f t="shared" si="48"/>
        <v>0</v>
      </c>
      <c r="AP26" s="300">
        <f>IF(AN$7=0,0,MROUND(AN26/AN$7*AP$8/'[1]Core Assumptions'!$D$28,'[1]Core Assumptions'!$E$23))</f>
        <v>0</v>
      </c>
      <c r="AQ26" s="301">
        <f t="shared" si="13"/>
        <v>0</v>
      </c>
      <c r="AR26" s="302">
        <f t="shared" si="14"/>
        <v>0</v>
      </c>
      <c r="AS26" s="249"/>
      <c r="AT26" s="303">
        <f t="shared" si="15"/>
        <v>0</v>
      </c>
      <c r="AU26" s="267"/>
      <c r="AV26" s="295">
        <f>IF(OR(AND($E26=TRUE,'[1]Pricing Summary'!$B$33="Ultimate"),AND($F26=TRUE,'[1]Pricing Summary'!$B$33="Enhanced"),AND($G26=TRUE,'[1]Pricing Summary'!$B$33="Essential")),1,0)</f>
        <v>0</v>
      </c>
      <c r="AW26" s="304">
        <f t="shared" si="16"/>
        <v>0</v>
      </c>
      <c r="AX26" s="305">
        <f t="shared" si="17"/>
        <v>0</v>
      </c>
      <c r="AY26" s="267"/>
      <c r="AZ26" s="304">
        <f t="shared" si="18"/>
        <v>0</v>
      </c>
      <c r="BA26" s="222">
        <f t="shared" si="19"/>
        <v>0</v>
      </c>
      <c r="BB26" s="306">
        <f t="shared" si="20"/>
        <v>0</v>
      </c>
      <c r="BC26" s="272"/>
      <c r="BD26" s="307">
        <f t="shared" si="21"/>
        <v>0</v>
      </c>
      <c r="BE26" s="308">
        <f t="shared" si="22"/>
        <v>0</v>
      </c>
      <c r="BF26" s="308">
        <f t="shared" si="23"/>
        <v>0</v>
      </c>
      <c r="BG26" s="321">
        <f t="shared" si="24"/>
        <v>0</v>
      </c>
      <c r="BH26" s="249"/>
      <c r="BI26" s="310">
        <f t="shared" si="25"/>
        <v>0</v>
      </c>
      <c r="BJ26" s="311">
        <f t="shared" si="26"/>
        <v>0</v>
      </c>
      <c r="BK26" s="311">
        <f t="shared" si="27"/>
        <v>0</v>
      </c>
      <c r="BL26" s="312">
        <f t="shared" si="28"/>
        <v>0</v>
      </c>
      <c r="BM26" s="249"/>
      <c r="BN26" s="313">
        <f t="shared" si="29"/>
        <v>0</v>
      </c>
      <c r="BO26" s="314">
        <f t="shared" si="30"/>
        <v>0</v>
      </c>
      <c r="BP26" s="314">
        <f t="shared" si="31"/>
        <v>0</v>
      </c>
      <c r="BQ26" s="315">
        <f t="shared" si="32"/>
        <v>0</v>
      </c>
      <c r="BR26" s="249"/>
      <c r="BS26" s="307">
        <f t="shared" si="33"/>
        <v>0</v>
      </c>
      <c r="BT26" s="308">
        <f t="shared" si="34"/>
        <v>0</v>
      </c>
      <c r="BU26" s="308">
        <f t="shared" si="35"/>
        <v>0</v>
      </c>
      <c r="BV26" s="321">
        <f t="shared" si="36"/>
        <v>0</v>
      </c>
      <c r="BW26" s="249"/>
      <c r="BX26" s="310">
        <f t="shared" si="37"/>
        <v>0</v>
      </c>
      <c r="BY26" s="311">
        <f t="shared" si="38"/>
        <v>0</v>
      </c>
      <c r="BZ26" s="311">
        <f t="shared" si="39"/>
        <v>0</v>
      </c>
      <c r="CA26" s="312">
        <f t="shared" si="40"/>
        <v>0</v>
      </c>
      <c r="CB26" s="249"/>
      <c r="CC26" s="313">
        <f t="shared" si="41"/>
        <v>0</v>
      </c>
      <c r="CD26" s="314">
        <f t="shared" si="42"/>
        <v>0</v>
      </c>
      <c r="CE26" s="314">
        <f t="shared" si="43"/>
        <v>0</v>
      </c>
      <c r="CF26" s="315">
        <f t="shared" si="44"/>
        <v>0</v>
      </c>
      <c r="CG26" s="249"/>
      <c r="CH26" s="316"/>
    </row>
    <row r="27" spans="1:86" ht="15.75" hidden="1" customHeight="1" outlineLevel="1" x14ac:dyDescent="0.2">
      <c r="A27" s="242" t="str">
        <f>IF(OR(E27&lt;&gt;FALSE,F27&lt;&gt;FALSE,G27&lt;&gt;FALSE),MAX(A$16:A26)+1,"")</f>
        <v/>
      </c>
      <c r="B27" s="283" t="str">
        <f>IF('[1]Core Assumptions'!B42="","",CONCATENATE('[1]Core Assumptions'!B42," - Federal &amp; State Tax Returns"))</f>
        <v/>
      </c>
      <c r="C27" s="284" t="str">
        <f>IF('[1]Core Assumptions'!B42="","",'[1]Core Assumptions'!B42)</f>
        <v/>
      </c>
      <c r="D27" s="245" t="s">
        <v>11</v>
      </c>
      <c r="E27" s="285" t="b">
        <v>0</v>
      </c>
      <c r="F27" s="286" t="b">
        <v>0</v>
      </c>
      <c r="G27" s="317" t="b">
        <v>0</v>
      </c>
      <c r="H27" s="249"/>
      <c r="I27" s="288">
        <v>1</v>
      </c>
      <c r="J27" s="249"/>
      <c r="K27" s="289"/>
      <c r="L27" s="290"/>
      <c r="M27" s="290"/>
      <c r="N27" s="290"/>
      <c r="O27" s="290"/>
      <c r="P27" s="290"/>
      <c r="Q27" s="290"/>
      <c r="R27" s="290"/>
      <c r="S27" s="290"/>
      <c r="T27" s="290"/>
      <c r="U27" s="289"/>
      <c r="V27" s="290"/>
      <c r="W27" s="290"/>
      <c r="X27" s="290"/>
      <c r="Y27" s="290"/>
      <c r="Z27" s="290"/>
      <c r="AA27" s="291"/>
      <c r="AB27" s="318"/>
      <c r="AC27" s="319"/>
      <c r="AD27" s="319"/>
      <c r="AE27" s="320"/>
      <c r="AF27" s="249"/>
      <c r="AG27" s="295">
        <f>IF(OR(AND($E27=TRUE,'[1]Pricing Summary'!$B$33=$E$2),AND($F27=TRUE,'[1]Pricing Summary'!$B$33=$F$2),AND($G27=TRUE,'[1]Pricing Summary'!$B$33=$G$2)),1,0)</f>
        <v>0</v>
      </c>
      <c r="AH27" s="295">
        <f t="shared" si="45"/>
        <v>0</v>
      </c>
      <c r="AI27" s="296">
        <f t="shared" si="11"/>
        <v>0</v>
      </c>
      <c r="AJ27" s="297">
        <f t="shared" si="12"/>
        <v>0</v>
      </c>
      <c r="AK27" s="249"/>
      <c r="AL27" s="298">
        <f t="shared" si="46"/>
        <v>0</v>
      </c>
      <c r="AM27" s="221">
        <f t="shared" si="47"/>
        <v>0</v>
      </c>
      <c r="AN27" s="221">
        <f>MROUND((1+'[1]Core Assumptions'!$D$22)*AM27,'[1]Core Assumptions'!$E$23)</f>
        <v>0</v>
      </c>
      <c r="AO27" s="299">
        <f t="shared" si="48"/>
        <v>0</v>
      </c>
      <c r="AP27" s="300">
        <f>IF(AN$7=0,0,MROUND(AN27/AN$7*AP$8/'[1]Core Assumptions'!$D$28,'[1]Core Assumptions'!$E$23))</f>
        <v>0</v>
      </c>
      <c r="AQ27" s="301">
        <f t="shared" si="13"/>
        <v>0</v>
      </c>
      <c r="AR27" s="302">
        <f t="shared" si="14"/>
        <v>0</v>
      </c>
      <c r="AS27" s="249"/>
      <c r="AT27" s="303">
        <f t="shared" si="15"/>
        <v>0</v>
      </c>
      <c r="AU27" s="267"/>
      <c r="AV27" s="295">
        <f>IF(OR(AND($E27=TRUE,'[1]Pricing Summary'!$B$33="Ultimate"),AND($F27=TRUE,'[1]Pricing Summary'!$B$33="Enhanced"),AND($G27=TRUE,'[1]Pricing Summary'!$B$33="Essential")),1,0)</f>
        <v>0</v>
      </c>
      <c r="AW27" s="304">
        <f t="shared" si="16"/>
        <v>0</v>
      </c>
      <c r="AX27" s="305">
        <f t="shared" si="17"/>
        <v>0</v>
      </c>
      <c r="AY27" s="267"/>
      <c r="AZ27" s="304">
        <f t="shared" si="18"/>
        <v>0</v>
      </c>
      <c r="BA27" s="222">
        <f t="shared" si="19"/>
        <v>0</v>
      </c>
      <c r="BB27" s="306">
        <f t="shared" si="20"/>
        <v>0</v>
      </c>
      <c r="BC27" s="272"/>
      <c r="BD27" s="307">
        <f t="shared" si="21"/>
        <v>0</v>
      </c>
      <c r="BE27" s="308">
        <f t="shared" si="22"/>
        <v>0</v>
      </c>
      <c r="BF27" s="308">
        <f t="shared" si="23"/>
        <v>0</v>
      </c>
      <c r="BG27" s="321">
        <f t="shared" si="24"/>
        <v>0</v>
      </c>
      <c r="BH27" s="249"/>
      <c r="BI27" s="310">
        <f t="shared" si="25"/>
        <v>0</v>
      </c>
      <c r="BJ27" s="311">
        <f t="shared" si="26"/>
        <v>0</v>
      </c>
      <c r="BK27" s="311">
        <f t="shared" si="27"/>
        <v>0</v>
      </c>
      <c r="BL27" s="312">
        <f t="shared" si="28"/>
        <v>0</v>
      </c>
      <c r="BM27" s="249"/>
      <c r="BN27" s="313">
        <f t="shared" si="29"/>
        <v>0</v>
      </c>
      <c r="BO27" s="314">
        <f t="shared" si="30"/>
        <v>0</v>
      </c>
      <c r="BP27" s="314">
        <f t="shared" si="31"/>
        <v>0</v>
      </c>
      <c r="BQ27" s="315">
        <f t="shared" si="32"/>
        <v>0</v>
      </c>
      <c r="BR27" s="249"/>
      <c r="BS27" s="307">
        <f t="shared" si="33"/>
        <v>0</v>
      </c>
      <c r="BT27" s="308">
        <f t="shared" si="34"/>
        <v>0</v>
      </c>
      <c r="BU27" s="308">
        <f t="shared" si="35"/>
        <v>0</v>
      </c>
      <c r="BV27" s="321">
        <f t="shared" si="36"/>
        <v>0</v>
      </c>
      <c r="BW27" s="249"/>
      <c r="BX27" s="310">
        <f t="shared" si="37"/>
        <v>0</v>
      </c>
      <c r="BY27" s="311">
        <f t="shared" si="38"/>
        <v>0</v>
      </c>
      <c r="BZ27" s="311">
        <f t="shared" si="39"/>
        <v>0</v>
      </c>
      <c r="CA27" s="312">
        <f t="shared" si="40"/>
        <v>0</v>
      </c>
      <c r="CB27" s="249"/>
      <c r="CC27" s="313">
        <f t="shared" si="41"/>
        <v>0</v>
      </c>
      <c r="CD27" s="314">
        <f t="shared" si="42"/>
        <v>0</v>
      </c>
      <c r="CE27" s="314">
        <f t="shared" si="43"/>
        <v>0</v>
      </c>
      <c r="CF27" s="315">
        <f t="shared" si="44"/>
        <v>0</v>
      </c>
      <c r="CG27" s="249"/>
      <c r="CH27" s="316"/>
    </row>
    <row r="28" spans="1:86" ht="15.75" hidden="1" customHeight="1" outlineLevel="1" x14ac:dyDescent="0.2">
      <c r="A28" s="242" t="str">
        <f>IF(OR(E28&lt;&gt;FALSE,F28&lt;&gt;FALSE,G28&lt;&gt;FALSE),MAX(A$16:A27)+1,"")</f>
        <v/>
      </c>
      <c r="B28" s="283" t="str">
        <f>IF('[1]Core Assumptions'!B43="","",CONCATENATE('[1]Core Assumptions'!B43," - Federal &amp; State Tax Returns"))</f>
        <v/>
      </c>
      <c r="C28" s="284" t="str">
        <f>IF('[1]Core Assumptions'!B43="","",'[1]Core Assumptions'!B43)</f>
        <v/>
      </c>
      <c r="D28" s="245" t="s">
        <v>11</v>
      </c>
      <c r="E28" s="285" t="b">
        <v>0</v>
      </c>
      <c r="F28" s="286" t="b">
        <v>0</v>
      </c>
      <c r="G28" s="287" t="b">
        <v>0</v>
      </c>
      <c r="H28" s="249"/>
      <c r="I28" s="288">
        <v>1</v>
      </c>
      <c r="J28" s="249"/>
      <c r="K28" s="289"/>
      <c r="L28" s="290"/>
      <c r="M28" s="290"/>
      <c r="N28" s="290"/>
      <c r="O28" s="290"/>
      <c r="P28" s="290"/>
      <c r="Q28" s="290"/>
      <c r="R28" s="290"/>
      <c r="S28" s="290"/>
      <c r="T28" s="290"/>
      <c r="U28" s="289"/>
      <c r="V28" s="290"/>
      <c r="W28" s="290"/>
      <c r="X28" s="290"/>
      <c r="Y28" s="290"/>
      <c r="Z28" s="290"/>
      <c r="AA28" s="291"/>
      <c r="AB28" s="318"/>
      <c r="AC28" s="319"/>
      <c r="AD28" s="319"/>
      <c r="AE28" s="320"/>
      <c r="AF28" s="249"/>
      <c r="AG28" s="295">
        <f>IF(OR(AND($E28=TRUE,'[1]Pricing Summary'!$B$33=$E$2),AND($F28=TRUE,'[1]Pricing Summary'!$B$33=$F$2),AND($G28=TRUE,'[1]Pricing Summary'!$B$33=$G$2)),1,0)</f>
        <v>0</v>
      </c>
      <c r="AH28" s="295">
        <f t="shared" si="45"/>
        <v>0</v>
      </c>
      <c r="AI28" s="296">
        <f t="shared" si="11"/>
        <v>0</v>
      </c>
      <c r="AJ28" s="297">
        <f t="shared" si="12"/>
        <v>0</v>
      </c>
      <c r="AK28" s="249"/>
      <c r="AL28" s="298">
        <f t="shared" si="46"/>
        <v>0</v>
      </c>
      <c r="AM28" s="221">
        <f t="shared" si="47"/>
        <v>0</v>
      </c>
      <c r="AN28" s="221">
        <f>MROUND((1+'[1]Core Assumptions'!$D$22)*AM28,'[1]Core Assumptions'!$E$23)</f>
        <v>0</v>
      </c>
      <c r="AO28" s="299">
        <f t="shared" si="48"/>
        <v>0</v>
      </c>
      <c r="AP28" s="300">
        <f>IF(AN$7=0,0,MROUND(AN28/AN$7*AP$8/'[1]Core Assumptions'!$D$28,'[1]Core Assumptions'!$E$23))</f>
        <v>0</v>
      </c>
      <c r="AQ28" s="301">
        <f t="shared" si="13"/>
        <v>0</v>
      </c>
      <c r="AR28" s="302">
        <f t="shared" si="14"/>
        <v>0</v>
      </c>
      <c r="AS28" s="249"/>
      <c r="AT28" s="303">
        <f t="shared" si="15"/>
        <v>0</v>
      </c>
      <c r="AU28" s="267"/>
      <c r="AV28" s="295">
        <f>IF(OR(AND($E28=TRUE,'[1]Pricing Summary'!$B$33="Ultimate"),AND($F28=TRUE,'[1]Pricing Summary'!$B$33="Enhanced"),AND($G28=TRUE,'[1]Pricing Summary'!$B$33="Essential")),1,0)</f>
        <v>0</v>
      </c>
      <c r="AW28" s="304">
        <f t="shared" si="16"/>
        <v>0</v>
      </c>
      <c r="AX28" s="305">
        <f t="shared" si="17"/>
        <v>0</v>
      </c>
      <c r="AY28" s="267"/>
      <c r="AZ28" s="304">
        <f t="shared" si="18"/>
        <v>0</v>
      </c>
      <c r="BA28" s="222">
        <f t="shared" si="19"/>
        <v>0</v>
      </c>
      <c r="BB28" s="306">
        <f t="shared" si="20"/>
        <v>0</v>
      </c>
      <c r="BC28" s="272"/>
      <c r="BD28" s="307">
        <f t="shared" si="21"/>
        <v>0</v>
      </c>
      <c r="BE28" s="308">
        <f t="shared" si="22"/>
        <v>0</v>
      </c>
      <c r="BF28" s="308">
        <f t="shared" si="23"/>
        <v>0</v>
      </c>
      <c r="BG28" s="321">
        <f t="shared" si="24"/>
        <v>0</v>
      </c>
      <c r="BH28" s="249"/>
      <c r="BI28" s="310">
        <f t="shared" si="25"/>
        <v>0</v>
      </c>
      <c r="BJ28" s="311">
        <f t="shared" si="26"/>
        <v>0</v>
      </c>
      <c r="BK28" s="311">
        <f t="shared" si="27"/>
        <v>0</v>
      </c>
      <c r="BL28" s="312">
        <f t="shared" si="28"/>
        <v>0</v>
      </c>
      <c r="BM28" s="249"/>
      <c r="BN28" s="313">
        <f t="shared" si="29"/>
        <v>0</v>
      </c>
      <c r="BO28" s="314">
        <f t="shared" si="30"/>
        <v>0</v>
      </c>
      <c r="BP28" s="314">
        <f t="shared" si="31"/>
        <v>0</v>
      </c>
      <c r="BQ28" s="315">
        <f t="shared" si="32"/>
        <v>0</v>
      </c>
      <c r="BR28" s="249"/>
      <c r="BS28" s="307">
        <f t="shared" si="33"/>
        <v>0</v>
      </c>
      <c r="BT28" s="308">
        <f t="shared" si="34"/>
        <v>0</v>
      </c>
      <c r="BU28" s="308">
        <f t="shared" si="35"/>
        <v>0</v>
      </c>
      <c r="BV28" s="321">
        <f t="shared" si="36"/>
        <v>0</v>
      </c>
      <c r="BW28" s="249"/>
      <c r="BX28" s="310">
        <f t="shared" si="37"/>
        <v>0</v>
      </c>
      <c r="BY28" s="311">
        <f t="shared" si="38"/>
        <v>0</v>
      </c>
      <c r="BZ28" s="311">
        <f t="shared" si="39"/>
        <v>0</v>
      </c>
      <c r="CA28" s="312">
        <f t="shared" si="40"/>
        <v>0</v>
      </c>
      <c r="CB28" s="249"/>
      <c r="CC28" s="313">
        <f t="shared" si="41"/>
        <v>0</v>
      </c>
      <c r="CD28" s="314">
        <f t="shared" si="42"/>
        <v>0</v>
      </c>
      <c r="CE28" s="314">
        <f t="shared" si="43"/>
        <v>0</v>
      </c>
      <c r="CF28" s="315">
        <f t="shared" si="44"/>
        <v>0</v>
      </c>
      <c r="CG28" s="249"/>
      <c r="CH28" s="316"/>
    </row>
    <row r="29" spans="1:86" ht="15.75" hidden="1" customHeight="1" outlineLevel="1" x14ac:dyDescent="0.2">
      <c r="A29" s="242" t="str">
        <f>IF(OR(E29&lt;&gt;FALSE,F29&lt;&gt;FALSE,G29&lt;&gt;FALSE),MAX(A$16:A28)+1,"")</f>
        <v/>
      </c>
      <c r="B29" s="283" t="str">
        <f>IF('[1]Core Assumptions'!B44="","",CONCATENATE('[1]Core Assumptions'!B44," - Federal &amp; State Tax Returns"))</f>
        <v/>
      </c>
      <c r="C29" s="284" t="str">
        <f>IF('[1]Core Assumptions'!B44="","",'[1]Core Assumptions'!B44)</f>
        <v/>
      </c>
      <c r="D29" s="245" t="s">
        <v>11</v>
      </c>
      <c r="E29" s="285" t="b">
        <v>0</v>
      </c>
      <c r="F29" s="286" t="b">
        <v>0</v>
      </c>
      <c r="G29" s="317" t="b">
        <v>0</v>
      </c>
      <c r="H29" s="249"/>
      <c r="I29" s="288">
        <v>1</v>
      </c>
      <c r="J29" s="249"/>
      <c r="K29" s="289"/>
      <c r="L29" s="290"/>
      <c r="M29" s="290"/>
      <c r="N29" s="290"/>
      <c r="O29" s="290"/>
      <c r="P29" s="290"/>
      <c r="Q29" s="290"/>
      <c r="R29" s="290"/>
      <c r="S29" s="290"/>
      <c r="T29" s="290"/>
      <c r="U29" s="289"/>
      <c r="V29" s="290"/>
      <c r="W29" s="290"/>
      <c r="X29" s="290"/>
      <c r="Y29" s="290"/>
      <c r="Z29" s="290"/>
      <c r="AA29" s="291"/>
      <c r="AB29" s="318"/>
      <c r="AC29" s="319"/>
      <c r="AD29" s="319"/>
      <c r="AE29" s="320"/>
      <c r="AF29" s="249"/>
      <c r="AG29" s="295">
        <f>IF(OR(AND($E29=TRUE,'[1]Pricing Summary'!$B$33=$E$2),AND($F29=TRUE,'[1]Pricing Summary'!$B$33=$F$2),AND($G29=TRUE,'[1]Pricing Summary'!$B$33=$G$2)),1,0)</f>
        <v>0</v>
      </c>
      <c r="AH29" s="295">
        <f t="shared" si="45"/>
        <v>0</v>
      </c>
      <c r="AI29" s="296">
        <f t="shared" si="11"/>
        <v>0</v>
      </c>
      <c r="AJ29" s="297">
        <f t="shared" si="12"/>
        <v>0</v>
      </c>
      <c r="AK29" s="249"/>
      <c r="AL29" s="298">
        <f t="shared" si="46"/>
        <v>0</v>
      </c>
      <c r="AM29" s="221">
        <f t="shared" si="47"/>
        <v>0</v>
      </c>
      <c r="AN29" s="221">
        <f>MROUND((1+'[1]Core Assumptions'!$D$22)*AM29,'[1]Core Assumptions'!$E$23)</f>
        <v>0</v>
      </c>
      <c r="AO29" s="299">
        <f t="shared" si="48"/>
        <v>0</v>
      </c>
      <c r="AP29" s="300">
        <f>IF(AN$7=0,0,MROUND(AN29/AN$7*AP$8/'[1]Core Assumptions'!$D$28,'[1]Core Assumptions'!$E$23))</f>
        <v>0</v>
      </c>
      <c r="AQ29" s="301">
        <f t="shared" si="13"/>
        <v>0</v>
      </c>
      <c r="AR29" s="302">
        <f t="shared" si="14"/>
        <v>0</v>
      </c>
      <c r="AS29" s="249"/>
      <c r="AT29" s="303">
        <f t="shared" si="15"/>
        <v>0</v>
      </c>
      <c r="AU29" s="267"/>
      <c r="AV29" s="295">
        <f>IF(OR(AND($E29=TRUE,'[1]Pricing Summary'!$B$33="Ultimate"),AND($F29=TRUE,'[1]Pricing Summary'!$B$33="Enhanced"),AND($G29=TRUE,'[1]Pricing Summary'!$B$33="Essential")),1,0)</f>
        <v>0</v>
      </c>
      <c r="AW29" s="304">
        <f t="shared" si="16"/>
        <v>0</v>
      </c>
      <c r="AX29" s="305">
        <f t="shared" si="17"/>
        <v>0</v>
      </c>
      <c r="AY29" s="267"/>
      <c r="AZ29" s="304">
        <f t="shared" si="18"/>
        <v>0</v>
      </c>
      <c r="BA29" s="222">
        <f t="shared" si="19"/>
        <v>0</v>
      </c>
      <c r="BB29" s="306">
        <f t="shared" si="20"/>
        <v>0</v>
      </c>
      <c r="BC29" s="272"/>
      <c r="BD29" s="307">
        <f t="shared" si="21"/>
        <v>0</v>
      </c>
      <c r="BE29" s="308">
        <f t="shared" si="22"/>
        <v>0</v>
      </c>
      <c r="BF29" s="308">
        <f t="shared" si="23"/>
        <v>0</v>
      </c>
      <c r="BG29" s="321">
        <f t="shared" si="24"/>
        <v>0</v>
      </c>
      <c r="BH29" s="249"/>
      <c r="BI29" s="310">
        <f t="shared" si="25"/>
        <v>0</v>
      </c>
      <c r="BJ29" s="311">
        <f t="shared" si="26"/>
        <v>0</v>
      </c>
      <c r="BK29" s="311">
        <f t="shared" si="27"/>
        <v>0</v>
      </c>
      <c r="BL29" s="312">
        <f t="shared" si="28"/>
        <v>0</v>
      </c>
      <c r="BM29" s="249"/>
      <c r="BN29" s="313">
        <f t="shared" si="29"/>
        <v>0</v>
      </c>
      <c r="BO29" s="314">
        <f t="shared" si="30"/>
        <v>0</v>
      </c>
      <c r="BP29" s="314">
        <f t="shared" si="31"/>
        <v>0</v>
      </c>
      <c r="BQ29" s="315">
        <f t="shared" si="32"/>
        <v>0</v>
      </c>
      <c r="BR29" s="249"/>
      <c r="BS29" s="307">
        <f t="shared" si="33"/>
        <v>0</v>
      </c>
      <c r="BT29" s="308">
        <f t="shared" si="34"/>
        <v>0</v>
      </c>
      <c r="BU29" s="308">
        <f t="shared" si="35"/>
        <v>0</v>
      </c>
      <c r="BV29" s="321">
        <f t="shared" si="36"/>
        <v>0</v>
      </c>
      <c r="BW29" s="249"/>
      <c r="BX29" s="310">
        <f t="shared" si="37"/>
        <v>0</v>
      </c>
      <c r="BY29" s="311">
        <f t="shared" si="38"/>
        <v>0</v>
      </c>
      <c r="BZ29" s="311">
        <f t="shared" si="39"/>
        <v>0</v>
      </c>
      <c r="CA29" s="312">
        <f t="shared" si="40"/>
        <v>0</v>
      </c>
      <c r="CB29" s="249"/>
      <c r="CC29" s="313">
        <f t="shared" si="41"/>
        <v>0</v>
      </c>
      <c r="CD29" s="314">
        <f t="shared" si="42"/>
        <v>0</v>
      </c>
      <c r="CE29" s="314">
        <f t="shared" si="43"/>
        <v>0</v>
      </c>
      <c r="CF29" s="315">
        <f t="shared" si="44"/>
        <v>0</v>
      </c>
      <c r="CG29" s="249"/>
      <c r="CH29" s="316"/>
    </row>
    <row r="30" spans="1:86" ht="15.75" hidden="1" customHeight="1" outlineLevel="1" x14ac:dyDescent="0.2">
      <c r="A30" s="242" t="str">
        <f>IF(OR(E30&lt;&gt;FALSE,F30&lt;&gt;FALSE,G30&lt;&gt;FALSE),MAX(A$16:A29)+1,"")</f>
        <v/>
      </c>
      <c r="B30" s="283" t="str">
        <f>IF('[1]Core Assumptions'!B45="","",CONCATENATE('[1]Core Assumptions'!B45," - Federal &amp; State Tax Returns"))</f>
        <v/>
      </c>
      <c r="C30" s="284" t="str">
        <f>IF('[1]Core Assumptions'!B45="","",'[1]Core Assumptions'!B45)</f>
        <v/>
      </c>
      <c r="D30" s="245" t="s">
        <v>11</v>
      </c>
      <c r="E30" s="285" t="b">
        <v>0</v>
      </c>
      <c r="F30" s="286" t="b">
        <v>0</v>
      </c>
      <c r="G30" s="287" t="b">
        <v>0</v>
      </c>
      <c r="H30" s="249"/>
      <c r="I30" s="288">
        <v>1</v>
      </c>
      <c r="J30" s="249"/>
      <c r="K30" s="289"/>
      <c r="L30" s="290"/>
      <c r="M30" s="290"/>
      <c r="N30" s="290"/>
      <c r="O30" s="290"/>
      <c r="P30" s="290"/>
      <c r="Q30" s="290"/>
      <c r="R30" s="290"/>
      <c r="S30" s="290"/>
      <c r="T30" s="290"/>
      <c r="U30" s="289"/>
      <c r="V30" s="290"/>
      <c r="W30" s="290"/>
      <c r="X30" s="290"/>
      <c r="Y30" s="290"/>
      <c r="Z30" s="290"/>
      <c r="AA30" s="291"/>
      <c r="AB30" s="318"/>
      <c r="AC30" s="319"/>
      <c r="AD30" s="319"/>
      <c r="AE30" s="320"/>
      <c r="AF30" s="249"/>
      <c r="AG30" s="295">
        <f>IF(OR(AND($E30=TRUE,'[1]Pricing Summary'!$B$33=$E$2),AND($F30=TRUE,'[1]Pricing Summary'!$B$33=$F$2),AND($G30=TRUE,'[1]Pricing Summary'!$B$33=$G$2)),1,0)</f>
        <v>0</v>
      </c>
      <c r="AH30" s="295">
        <f t="shared" si="45"/>
        <v>0</v>
      </c>
      <c r="AI30" s="296">
        <f t="shared" si="11"/>
        <v>0</v>
      </c>
      <c r="AJ30" s="297">
        <f t="shared" si="12"/>
        <v>0</v>
      </c>
      <c r="AK30" s="249"/>
      <c r="AL30" s="298">
        <f t="shared" si="46"/>
        <v>0</v>
      </c>
      <c r="AM30" s="221">
        <f t="shared" si="47"/>
        <v>0</v>
      </c>
      <c r="AN30" s="221">
        <f>MROUND((1+'[1]Core Assumptions'!$D$22)*AM30,'[1]Core Assumptions'!$E$23)</f>
        <v>0</v>
      </c>
      <c r="AO30" s="299">
        <f t="shared" si="48"/>
        <v>0</v>
      </c>
      <c r="AP30" s="300">
        <f>IF(AN$7=0,0,MROUND(AN30/AN$7*AP$8/'[1]Core Assumptions'!$D$28,'[1]Core Assumptions'!$E$23))</f>
        <v>0</v>
      </c>
      <c r="AQ30" s="301">
        <f t="shared" si="13"/>
        <v>0</v>
      </c>
      <c r="AR30" s="302">
        <f t="shared" si="14"/>
        <v>0</v>
      </c>
      <c r="AS30" s="249"/>
      <c r="AT30" s="303">
        <f t="shared" si="15"/>
        <v>0</v>
      </c>
      <c r="AU30" s="267"/>
      <c r="AV30" s="295">
        <f>IF(OR(AND($E30=TRUE,'[1]Pricing Summary'!$B$33="Ultimate"),AND($F30=TRUE,'[1]Pricing Summary'!$B$33="Enhanced"),AND($G30=TRUE,'[1]Pricing Summary'!$B$33="Essential")),1,0)</f>
        <v>0</v>
      </c>
      <c r="AW30" s="304">
        <f t="shared" si="16"/>
        <v>0</v>
      </c>
      <c r="AX30" s="305">
        <f t="shared" si="17"/>
        <v>0</v>
      </c>
      <c r="AY30" s="267"/>
      <c r="AZ30" s="304">
        <f t="shared" si="18"/>
        <v>0</v>
      </c>
      <c r="BA30" s="222">
        <f t="shared" si="19"/>
        <v>0</v>
      </c>
      <c r="BB30" s="306">
        <f t="shared" si="20"/>
        <v>0</v>
      </c>
      <c r="BC30" s="272"/>
      <c r="BD30" s="307">
        <f t="shared" si="21"/>
        <v>0</v>
      </c>
      <c r="BE30" s="308">
        <f t="shared" si="22"/>
        <v>0</v>
      </c>
      <c r="BF30" s="308">
        <f t="shared" si="23"/>
        <v>0</v>
      </c>
      <c r="BG30" s="321">
        <f t="shared" si="24"/>
        <v>0</v>
      </c>
      <c r="BH30" s="249"/>
      <c r="BI30" s="310">
        <f t="shared" si="25"/>
        <v>0</v>
      </c>
      <c r="BJ30" s="311">
        <f t="shared" si="26"/>
        <v>0</v>
      </c>
      <c r="BK30" s="311">
        <f t="shared" si="27"/>
        <v>0</v>
      </c>
      <c r="BL30" s="312">
        <f t="shared" si="28"/>
        <v>0</v>
      </c>
      <c r="BM30" s="249"/>
      <c r="BN30" s="313">
        <f t="shared" si="29"/>
        <v>0</v>
      </c>
      <c r="BO30" s="314">
        <f t="shared" si="30"/>
        <v>0</v>
      </c>
      <c r="BP30" s="314">
        <f t="shared" si="31"/>
        <v>0</v>
      </c>
      <c r="BQ30" s="315">
        <f t="shared" si="32"/>
        <v>0</v>
      </c>
      <c r="BR30" s="249"/>
      <c r="BS30" s="307">
        <f t="shared" si="33"/>
        <v>0</v>
      </c>
      <c r="BT30" s="308">
        <f t="shared" si="34"/>
        <v>0</v>
      </c>
      <c r="BU30" s="308">
        <f t="shared" si="35"/>
        <v>0</v>
      </c>
      <c r="BV30" s="321">
        <f t="shared" si="36"/>
        <v>0</v>
      </c>
      <c r="BW30" s="249"/>
      <c r="BX30" s="310">
        <f t="shared" si="37"/>
        <v>0</v>
      </c>
      <c r="BY30" s="311">
        <f t="shared" si="38"/>
        <v>0</v>
      </c>
      <c r="BZ30" s="311">
        <f t="shared" si="39"/>
        <v>0</v>
      </c>
      <c r="CA30" s="312">
        <f t="shared" si="40"/>
        <v>0</v>
      </c>
      <c r="CB30" s="249"/>
      <c r="CC30" s="313">
        <f t="shared" si="41"/>
        <v>0</v>
      </c>
      <c r="CD30" s="314">
        <f t="shared" si="42"/>
        <v>0</v>
      </c>
      <c r="CE30" s="314">
        <f t="shared" si="43"/>
        <v>0</v>
      </c>
      <c r="CF30" s="315">
        <f t="shared" si="44"/>
        <v>0</v>
      </c>
      <c r="CG30" s="249"/>
      <c r="CH30" s="316"/>
    </row>
    <row r="31" spans="1:86" ht="15.75" hidden="1" customHeight="1" outlineLevel="1" x14ac:dyDescent="0.2">
      <c r="A31" s="242" t="str">
        <f>IF(OR(E31&lt;&gt;FALSE,F31&lt;&gt;FALSE,G31&lt;&gt;FALSE),MAX(A$16:A30)+1,"")</f>
        <v/>
      </c>
      <c r="B31" s="283" t="str">
        <f>IF('[1]Core Assumptions'!B46="","",CONCATENATE('[1]Core Assumptions'!B46," - Federal &amp; State Tax Returns"))</f>
        <v/>
      </c>
      <c r="C31" s="284" t="str">
        <f>IF('[1]Core Assumptions'!B46="","",'[1]Core Assumptions'!B46)</f>
        <v/>
      </c>
      <c r="D31" s="245" t="s">
        <v>11</v>
      </c>
      <c r="E31" s="285" t="b">
        <v>0</v>
      </c>
      <c r="F31" s="286" t="b">
        <v>0</v>
      </c>
      <c r="G31" s="317" t="b">
        <v>0</v>
      </c>
      <c r="H31" s="249"/>
      <c r="I31" s="288">
        <v>1</v>
      </c>
      <c r="J31" s="249"/>
      <c r="K31" s="289"/>
      <c r="L31" s="290"/>
      <c r="M31" s="290"/>
      <c r="N31" s="290"/>
      <c r="O31" s="290"/>
      <c r="P31" s="290"/>
      <c r="Q31" s="290"/>
      <c r="R31" s="290"/>
      <c r="S31" s="290"/>
      <c r="T31" s="290"/>
      <c r="U31" s="289"/>
      <c r="V31" s="290"/>
      <c r="W31" s="290"/>
      <c r="X31" s="290"/>
      <c r="Y31" s="290"/>
      <c r="Z31" s="290"/>
      <c r="AA31" s="291"/>
      <c r="AB31" s="318"/>
      <c r="AC31" s="319"/>
      <c r="AD31" s="319"/>
      <c r="AE31" s="320"/>
      <c r="AF31" s="249"/>
      <c r="AG31" s="295">
        <f>IF(OR(AND($E31=TRUE,'[1]Pricing Summary'!$B$33=$E$2),AND($F31=TRUE,'[1]Pricing Summary'!$B$33=$F$2),AND($G31=TRUE,'[1]Pricing Summary'!$B$33=$G$2)),1,0)</f>
        <v>0</v>
      </c>
      <c r="AH31" s="295">
        <f t="shared" si="45"/>
        <v>0</v>
      </c>
      <c r="AI31" s="296">
        <f t="shared" si="11"/>
        <v>0</v>
      </c>
      <c r="AJ31" s="297">
        <f t="shared" si="12"/>
        <v>0</v>
      </c>
      <c r="AK31" s="249"/>
      <c r="AL31" s="298">
        <f t="shared" si="46"/>
        <v>0</v>
      </c>
      <c r="AM31" s="221">
        <f t="shared" si="47"/>
        <v>0</v>
      </c>
      <c r="AN31" s="221">
        <f>MROUND((1+'[1]Core Assumptions'!$D$22)*AM31,'[1]Core Assumptions'!$E$23)</f>
        <v>0</v>
      </c>
      <c r="AO31" s="299">
        <f t="shared" si="48"/>
        <v>0</v>
      </c>
      <c r="AP31" s="300">
        <f>IF(AN$7=0,0,MROUND(AN31/AN$7*AP$8/'[1]Core Assumptions'!$D$28,'[1]Core Assumptions'!$E$23))</f>
        <v>0</v>
      </c>
      <c r="AQ31" s="301">
        <f t="shared" si="13"/>
        <v>0</v>
      </c>
      <c r="AR31" s="302">
        <f t="shared" si="14"/>
        <v>0</v>
      </c>
      <c r="AS31" s="249"/>
      <c r="AT31" s="303">
        <f t="shared" si="15"/>
        <v>0</v>
      </c>
      <c r="AU31" s="267"/>
      <c r="AV31" s="295">
        <f>IF(OR(AND($E31=TRUE,'[1]Pricing Summary'!$B$33="Ultimate"),AND($F31=TRUE,'[1]Pricing Summary'!$B$33="Enhanced"),AND($G31=TRUE,'[1]Pricing Summary'!$B$33="Essential")),1,0)</f>
        <v>0</v>
      </c>
      <c r="AW31" s="304">
        <f t="shared" si="16"/>
        <v>0</v>
      </c>
      <c r="AX31" s="305">
        <f t="shared" si="17"/>
        <v>0</v>
      </c>
      <c r="AY31" s="267"/>
      <c r="AZ31" s="304">
        <f t="shared" si="18"/>
        <v>0</v>
      </c>
      <c r="BA31" s="222">
        <f t="shared" si="19"/>
        <v>0</v>
      </c>
      <c r="BB31" s="306">
        <f t="shared" si="20"/>
        <v>0</v>
      </c>
      <c r="BC31" s="272"/>
      <c r="BD31" s="307">
        <f t="shared" si="21"/>
        <v>0</v>
      </c>
      <c r="BE31" s="308">
        <f t="shared" si="22"/>
        <v>0</v>
      </c>
      <c r="BF31" s="308">
        <f t="shared" si="23"/>
        <v>0</v>
      </c>
      <c r="BG31" s="321">
        <f t="shared" si="24"/>
        <v>0</v>
      </c>
      <c r="BH31" s="249"/>
      <c r="BI31" s="310">
        <f t="shared" si="25"/>
        <v>0</v>
      </c>
      <c r="BJ31" s="311">
        <f t="shared" si="26"/>
        <v>0</v>
      </c>
      <c r="BK31" s="311">
        <f t="shared" si="27"/>
        <v>0</v>
      </c>
      <c r="BL31" s="312">
        <f t="shared" si="28"/>
        <v>0</v>
      </c>
      <c r="BM31" s="249"/>
      <c r="BN31" s="313">
        <f t="shared" si="29"/>
        <v>0</v>
      </c>
      <c r="BO31" s="314">
        <f t="shared" si="30"/>
        <v>0</v>
      </c>
      <c r="BP31" s="314">
        <f t="shared" si="31"/>
        <v>0</v>
      </c>
      <c r="BQ31" s="315">
        <f t="shared" si="32"/>
        <v>0</v>
      </c>
      <c r="BR31" s="249"/>
      <c r="BS31" s="307">
        <f t="shared" si="33"/>
        <v>0</v>
      </c>
      <c r="BT31" s="308">
        <f t="shared" si="34"/>
        <v>0</v>
      </c>
      <c r="BU31" s="308">
        <f t="shared" si="35"/>
        <v>0</v>
      </c>
      <c r="BV31" s="321">
        <f t="shared" si="36"/>
        <v>0</v>
      </c>
      <c r="BW31" s="249"/>
      <c r="BX31" s="310">
        <f t="shared" si="37"/>
        <v>0</v>
      </c>
      <c r="BY31" s="311">
        <f t="shared" si="38"/>
        <v>0</v>
      </c>
      <c r="BZ31" s="311">
        <f t="shared" si="39"/>
        <v>0</v>
      </c>
      <c r="CA31" s="312">
        <f t="shared" si="40"/>
        <v>0</v>
      </c>
      <c r="CB31" s="249"/>
      <c r="CC31" s="313">
        <f t="shared" si="41"/>
        <v>0</v>
      </c>
      <c r="CD31" s="314">
        <f t="shared" si="42"/>
        <v>0</v>
      </c>
      <c r="CE31" s="314">
        <f t="shared" si="43"/>
        <v>0</v>
      </c>
      <c r="CF31" s="315">
        <f t="shared" si="44"/>
        <v>0</v>
      </c>
      <c r="CG31" s="249"/>
      <c r="CH31" s="316"/>
    </row>
    <row r="32" spans="1:86" ht="15.75" hidden="1" customHeight="1" outlineLevel="1" x14ac:dyDescent="0.2">
      <c r="A32" s="242" t="str">
        <f>IF(OR(E32&lt;&gt;FALSE,F32&lt;&gt;FALSE,G32&lt;&gt;FALSE),MAX(A$16:A31)+1,"")</f>
        <v/>
      </c>
      <c r="B32" s="283" t="str">
        <f>IF('[1]Core Assumptions'!B47="","",CONCATENATE('[1]Core Assumptions'!B47," - Federal &amp; State Tax Returns"))</f>
        <v/>
      </c>
      <c r="C32" s="284" t="str">
        <f>IF('[1]Core Assumptions'!B47="","",'[1]Core Assumptions'!B47)</f>
        <v/>
      </c>
      <c r="D32" s="245" t="s">
        <v>11</v>
      </c>
      <c r="E32" s="285" t="b">
        <v>0</v>
      </c>
      <c r="F32" s="286" t="b">
        <v>0</v>
      </c>
      <c r="G32" s="287" t="b">
        <v>0</v>
      </c>
      <c r="H32" s="249"/>
      <c r="I32" s="288">
        <v>1</v>
      </c>
      <c r="J32" s="249"/>
      <c r="K32" s="289"/>
      <c r="L32" s="290"/>
      <c r="M32" s="290"/>
      <c r="N32" s="290"/>
      <c r="O32" s="290"/>
      <c r="P32" s="290"/>
      <c r="Q32" s="290"/>
      <c r="R32" s="290"/>
      <c r="S32" s="290"/>
      <c r="T32" s="290"/>
      <c r="U32" s="289"/>
      <c r="V32" s="290"/>
      <c r="W32" s="290"/>
      <c r="X32" s="290"/>
      <c r="Y32" s="290"/>
      <c r="Z32" s="290"/>
      <c r="AA32" s="291"/>
      <c r="AB32" s="318"/>
      <c r="AC32" s="319"/>
      <c r="AD32" s="319"/>
      <c r="AE32" s="320"/>
      <c r="AF32" s="249"/>
      <c r="AG32" s="295">
        <f>IF(OR(AND($E32=TRUE,'[1]Pricing Summary'!$B$33=$E$2),AND($F32=TRUE,'[1]Pricing Summary'!$B$33=$F$2),AND($G32=TRUE,'[1]Pricing Summary'!$B$33=$G$2)),1,0)</f>
        <v>0</v>
      </c>
      <c r="AH32" s="295">
        <f t="shared" si="45"/>
        <v>0</v>
      </c>
      <c r="AI32" s="296">
        <f t="shared" si="11"/>
        <v>0</v>
      </c>
      <c r="AJ32" s="297">
        <f t="shared" si="12"/>
        <v>0</v>
      </c>
      <c r="AK32" s="249"/>
      <c r="AL32" s="298">
        <f t="shared" si="46"/>
        <v>0</v>
      </c>
      <c r="AM32" s="221">
        <f t="shared" si="47"/>
        <v>0</v>
      </c>
      <c r="AN32" s="221">
        <f>MROUND((1+'[1]Core Assumptions'!$D$22)*AM32,'[1]Core Assumptions'!$E$23)</f>
        <v>0</v>
      </c>
      <c r="AO32" s="299">
        <f t="shared" si="48"/>
        <v>0</v>
      </c>
      <c r="AP32" s="300">
        <f>IF(AN$7=0,0,MROUND(AN32/AN$7*AP$8/'[1]Core Assumptions'!$D$28,'[1]Core Assumptions'!$E$23))</f>
        <v>0</v>
      </c>
      <c r="AQ32" s="301">
        <f t="shared" si="13"/>
        <v>0</v>
      </c>
      <c r="AR32" s="302">
        <f t="shared" si="14"/>
        <v>0</v>
      </c>
      <c r="AS32" s="249"/>
      <c r="AT32" s="303">
        <f t="shared" si="15"/>
        <v>0</v>
      </c>
      <c r="AU32" s="267"/>
      <c r="AV32" s="295">
        <f>IF(OR(AND($E32=TRUE,'[1]Pricing Summary'!$B$33="Ultimate"),AND($F32=TRUE,'[1]Pricing Summary'!$B$33="Enhanced"),AND($G32=TRUE,'[1]Pricing Summary'!$B$33="Essential")),1,0)</f>
        <v>0</v>
      </c>
      <c r="AW32" s="304">
        <f t="shared" si="16"/>
        <v>0</v>
      </c>
      <c r="AX32" s="305">
        <f t="shared" si="17"/>
        <v>0</v>
      </c>
      <c r="AY32" s="267"/>
      <c r="AZ32" s="304">
        <f t="shared" si="18"/>
        <v>0</v>
      </c>
      <c r="BA32" s="222">
        <f t="shared" si="19"/>
        <v>0</v>
      </c>
      <c r="BB32" s="306">
        <f t="shared" si="20"/>
        <v>0</v>
      </c>
      <c r="BC32" s="272"/>
      <c r="BD32" s="307">
        <f t="shared" si="21"/>
        <v>0</v>
      </c>
      <c r="BE32" s="308">
        <f t="shared" si="22"/>
        <v>0</v>
      </c>
      <c r="BF32" s="308">
        <f t="shared" si="23"/>
        <v>0</v>
      </c>
      <c r="BG32" s="321">
        <f t="shared" si="24"/>
        <v>0</v>
      </c>
      <c r="BH32" s="249"/>
      <c r="BI32" s="310">
        <f t="shared" si="25"/>
        <v>0</v>
      </c>
      <c r="BJ32" s="311">
        <f t="shared" si="26"/>
        <v>0</v>
      </c>
      <c r="BK32" s="311">
        <f t="shared" si="27"/>
        <v>0</v>
      </c>
      <c r="BL32" s="312">
        <f t="shared" si="28"/>
        <v>0</v>
      </c>
      <c r="BM32" s="249"/>
      <c r="BN32" s="313">
        <f t="shared" si="29"/>
        <v>0</v>
      </c>
      <c r="BO32" s="314">
        <f t="shared" si="30"/>
        <v>0</v>
      </c>
      <c r="BP32" s="314">
        <f t="shared" si="31"/>
        <v>0</v>
      </c>
      <c r="BQ32" s="315">
        <f t="shared" si="32"/>
        <v>0</v>
      </c>
      <c r="BR32" s="249"/>
      <c r="BS32" s="307">
        <f t="shared" si="33"/>
        <v>0</v>
      </c>
      <c r="BT32" s="308">
        <f t="shared" si="34"/>
        <v>0</v>
      </c>
      <c r="BU32" s="308">
        <f t="shared" si="35"/>
        <v>0</v>
      </c>
      <c r="BV32" s="321">
        <f t="shared" si="36"/>
        <v>0</v>
      </c>
      <c r="BW32" s="249"/>
      <c r="BX32" s="310">
        <f t="shared" si="37"/>
        <v>0</v>
      </c>
      <c r="BY32" s="311">
        <f t="shared" si="38"/>
        <v>0</v>
      </c>
      <c r="BZ32" s="311">
        <f t="shared" si="39"/>
        <v>0</v>
      </c>
      <c r="CA32" s="312">
        <f t="shared" si="40"/>
        <v>0</v>
      </c>
      <c r="CB32" s="249"/>
      <c r="CC32" s="313">
        <f t="shared" si="41"/>
        <v>0</v>
      </c>
      <c r="CD32" s="314">
        <f t="shared" si="42"/>
        <v>0</v>
      </c>
      <c r="CE32" s="314">
        <f t="shared" si="43"/>
        <v>0</v>
      </c>
      <c r="CF32" s="315">
        <f t="shared" si="44"/>
        <v>0</v>
      </c>
      <c r="CG32" s="249"/>
      <c r="CH32" s="316"/>
    </row>
    <row r="33" spans="1:86" ht="15.75" hidden="1" customHeight="1" outlineLevel="1" x14ac:dyDescent="0.2">
      <c r="A33" s="242" t="str">
        <f>IF(OR(E33&lt;&gt;FALSE,F33&lt;&gt;FALSE,G33&lt;&gt;FALSE),MAX(A$16:A32)+1,"")</f>
        <v/>
      </c>
      <c r="B33" s="283" t="str">
        <f>IF('[1]Core Assumptions'!B48="","",CONCATENATE('[1]Core Assumptions'!B48," - Federal &amp; State Tax Returns"))</f>
        <v/>
      </c>
      <c r="C33" s="284" t="str">
        <f>IF('[1]Core Assumptions'!B48="","",'[1]Core Assumptions'!B48)</f>
        <v/>
      </c>
      <c r="D33" s="245" t="s">
        <v>11</v>
      </c>
      <c r="E33" s="285" t="b">
        <v>0</v>
      </c>
      <c r="F33" s="286" t="b">
        <v>0</v>
      </c>
      <c r="G33" s="317" t="b">
        <v>0</v>
      </c>
      <c r="H33" s="249"/>
      <c r="I33" s="288">
        <v>1</v>
      </c>
      <c r="J33" s="249"/>
      <c r="K33" s="289"/>
      <c r="L33" s="290"/>
      <c r="M33" s="290"/>
      <c r="N33" s="290"/>
      <c r="O33" s="290"/>
      <c r="P33" s="290"/>
      <c r="Q33" s="290"/>
      <c r="R33" s="290"/>
      <c r="S33" s="290"/>
      <c r="T33" s="290"/>
      <c r="U33" s="289"/>
      <c r="V33" s="290"/>
      <c r="W33" s="290"/>
      <c r="X33" s="290"/>
      <c r="Y33" s="290"/>
      <c r="Z33" s="290"/>
      <c r="AA33" s="291"/>
      <c r="AB33" s="318"/>
      <c r="AC33" s="319"/>
      <c r="AD33" s="319"/>
      <c r="AE33" s="320"/>
      <c r="AF33" s="249"/>
      <c r="AG33" s="295">
        <f>IF(OR(AND($E33=TRUE,'[1]Pricing Summary'!$B$33=$E$2),AND($F33=TRUE,'[1]Pricing Summary'!$B$33=$F$2),AND($G33=TRUE,'[1]Pricing Summary'!$B$33=$G$2)),1,0)</f>
        <v>0</v>
      </c>
      <c r="AH33" s="295">
        <f t="shared" si="45"/>
        <v>0</v>
      </c>
      <c r="AI33" s="296">
        <f t="shared" si="11"/>
        <v>0</v>
      </c>
      <c r="AJ33" s="297">
        <f t="shared" si="12"/>
        <v>0</v>
      </c>
      <c r="AK33" s="249"/>
      <c r="AL33" s="298">
        <f t="shared" si="46"/>
        <v>0</v>
      </c>
      <c r="AM33" s="221">
        <f t="shared" si="47"/>
        <v>0</v>
      </c>
      <c r="AN33" s="221">
        <f>MROUND((1+'[1]Core Assumptions'!$D$22)*AM33,'[1]Core Assumptions'!$E$23)</f>
        <v>0</v>
      </c>
      <c r="AO33" s="299">
        <f t="shared" si="48"/>
        <v>0</v>
      </c>
      <c r="AP33" s="300">
        <f>IF(AN$7=0,0,MROUND(AN33/AN$7*AP$8/'[1]Core Assumptions'!$D$28,'[1]Core Assumptions'!$E$23))</f>
        <v>0</v>
      </c>
      <c r="AQ33" s="301">
        <f t="shared" si="13"/>
        <v>0</v>
      </c>
      <c r="AR33" s="302">
        <f t="shared" si="14"/>
        <v>0</v>
      </c>
      <c r="AS33" s="249"/>
      <c r="AT33" s="303">
        <f t="shared" si="15"/>
        <v>0</v>
      </c>
      <c r="AU33" s="267"/>
      <c r="AV33" s="295">
        <f>IF(OR(AND($E33=TRUE,'[1]Pricing Summary'!$B$33="Ultimate"),AND($F33=TRUE,'[1]Pricing Summary'!$B$33="Enhanced"),AND($G33=TRUE,'[1]Pricing Summary'!$B$33="Essential")),1,0)</f>
        <v>0</v>
      </c>
      <c r="AW33" s="304">
        <f t="shared" si="16"/>
        <v>0</v>
      </c>
      <c r="AX33" s="305">
        <f t="shared" si="17"/>
        <v>0</v>
      </c>
      <c r="AY33" s="267"/>
      <c r="AZ33" s="304">
        <f t="shared" si="18"/>
        <v>0</v>
      </c>
      <c r="BA33" s="222">
        <f t="shared" si="19"/>
        <v>0</v>
      </c>
      <c r="BB33" s="306">
        <f t="shared" si="20"/>
        <v>0</v>
      </c>
      <c r="BC33" s="272"/>
      <c r="BD33" s="307">
        <f t="shared" si="21"/>
        <v>0</v>
      </c>
      <c r="BE33" s="308">
        <f t="shared" si="22"/>
        <v>0</v>
      </c>
      <c r="BF33" s="308">
        <f t="shared" si="23"/>
        <v>0</v>
      </c>
      <c r="BG33" s="321">
        <f t="shared" si="24"/>
        <v>0</v>
      </c>
      <c r="BH33" s="249"/>
      <c r="BI33" s="310">
        <f t="shared" si="25"/>
        <v>0</v>
      </c>
      <c r="BJ33" s="311">
        <f t="shared" si="26"/>
        <v>0</v>
      </c>
      <c r="BK33" s="311">
        <f t="shared" si="27"/>
        <v>0</v>
      </c>
      <c r="BL33" s="312">
        <f t="shared" si="28"/>
        <v>0</v>
      </c>
      <c r="BM33" s="249"/>
      <c r="BN33" s="313">
        <f t="shared" si="29"/>
        <v>0</v>
      </c>
      <c r="BO33" s="314">
        <f t="shared" si="30"/>
        <v>0</v>
      </c>
      <c r="BP33" s="314">
        <f t="shared" si="31"/>
        <v>0</v>
      </c>
      <c r="BQ33" s="315">
        <f t="shared" si="32"/>
        <v>0</v>
      </c>
      <c r="BR33" s="249"/>
      <c r="BS33" s="307">
        <f t="shared" si="33"/>
        <v>0</v>
      </c>
      <c r="BT33" s="308">
        <f t="shared" si="34"/>
        <v>0</v>
      </c>
      <c r="BU33" s="308">
        <f t="shared" si="35"/>
        <v>0</v>
      </c>
      <c r="BV33" s="321">
        <f t="shared" si="36"/>
        <v>0</v>
      </c>
      <c r="BW33" s="249"/>
      <c r="BX33" s="310">
        <f t="shared" si="37"/>
        <v>0</v>
      </c>
      <c r="BY33" s="311">
        <f t="shared" si="38"/>
        <v>0</v>
      </c>
      <c r="BZ33" s="311">
        <f t="shared" si="39"/>
        <v>0</v>
      </c>
      <c r="CA33" s="312">
        <f t="shared" si="40"/>
        <v>0</v>
      </c>
      <c r="CB33" s="249"/>
      <c r="CC33" s="313">
        <f t="shared" si="41"/>
        <v>0</v>
      </c>
      <c r="CD33" s="314">
        <f t="shared" si="42"/>
        <v>0</v>
      </c>
      <c r="CE33" s="314">
        <f t="shared" si="43"/>
        <v>0</v>
      </c>
      <c r="CF33" s="315">
        <f t="shared" si="44"/>
        <v>0</v>
      </c>
      <c r="CG33" s="249"/>
      <c r="CH33" s="316"/>
    </row>
    <row r="34" spans="1:86" ht="15.75" hidden="1" customHeight="1" outlineLevel="1" x14ac:dyDescent="0.2">
      <c r="A34" s="242" t="str">
        <f>IF(OR(E34&lt;&gt;FALSE,F34&lt;&gt;FALSE,G34&lt;&gt;FALSE),MAX(A$16:A33)+1,"")</f>
        <v/>
      </c>
      <c r="B34" s="283" t="str">
        <f>IF('[1]Core Assumptions'!B49="","",CONCATENATE('[1]Core Assumptions'!B49," - Federal &amp; State Tax Returns"))</f>
        <v/>
      </c>
      <c r="C34" s="284" t="str">
        <f>IF('[1]Core Assumptions'!B49="","",'[1]Core Assumptions'!B49)</f>
        <v/>
      </c>
      <c r="D34" s="245" t="s">
        <v>11</v>
      </c>
      <c r="E34" s="285" t="b">
        <v>0</v>
      </c>
      <c r="F34" s="286" t="b">
        <v>0</v>
      </c>
      <c r="G34" s="317" t="b">
        <v>0</v>
      </c>
      <c r="H34" s="249"/>
      <c r="I34" s="288">
        <v>1</v>
      </c>
      <c r="J34" s="249"/>
      <c r="K34" s="289"/>
      <c r="L34" s="290"/>
      <c r="M34" s="290"/>
      <c r="N34" s="290"/>
      <c r="O34" s="290"/>
      <c r="P34" s="290"/>
      <c r="Q34" s="290"/>
      <c r="R34" s="290"/>
      <c r="S34" s="290"/>
      <c r="T34" s="290"/>
      <c r="U34" s="289"/>
      <c r="V34" s="290"/>
      <c r="W34" s="290"/>
      <c r="X34" s="290"/>
      <c r="Y34" s="290"/>
      <c r="Z34" s="290"/>
      <c r="AA34" s="291"/>
      <c r="AB34" s="292"/>
      <c r="AC34" s="293"/>
      <c r="AD34" s="293"/>
      <c r="AE34" s="294"/>
      <c r="AF34" s="249"/>
      <c r="AG34" s="295">
        <f>IF(OR(AND($E34=TRUE,'[1]Pricing Summary'!$B$33=$E$2),AND($F34=TRUE,'[1]Pricing Summary'!$B$33=$F$2),AND($G34=TRUE,'[1]Pricing Summary'!$B$33=$G$2)),1,0)</f>
        <v>0</v>
      </c>
      <c r="AH34" s="295">
        <f t="shared" si="45"/>
        <v>0</v>
      </c>
      <c r="AI34" s="296">
        <f t="shared" si="11"/>
        <v>0</v>
      </c>
      <c r="AJ34" s="297">
        <f t="shared" si="12"/>
        <v>0</v>
      </c>
      <c r="AK34" s="249"/>
      <c r="AL34" s="298">
        <f t="shared" si="46"/>
        <v>0</v>
      </c>
      <c r="AM34" s="221">
        <f t="shared" si="47"/>
        <v>0</v>
      </c>
      <c r="AN34" s="221">
        <f>MROUND((1+'[1]Core Assumptions'!$D$22)*AM34,'[1]Core Assumptions'!$E$23)</f>
        <v>0</v>
      </c>
      <c r="AO34" s="299">
        <f t="shared" si="48"/>
        <v>0</v>
      </c>
      <c r="AP34" s="300">
        <f>IF(AN$7=0,0,MROUND(AN34/AN$7*AP$8/'[1]Core Assumptions'!$D$28,'[1]Core Assumptions'!$E$23))</f>
        <v>0</v>
      </c>
      <c r="AQ34" s="301">
        <f t="shared" si="13"/>
        <v>0</v>
      </c>
      <c r="AR34" s="302">
        <f t="shared" si="14"/>
        <v>0</v>
      </c>
      <c r="AS34" s="249"/>
      <c r="AT34" s="303">
        <f t="shared" si="15"/>
        <v>0</v>
      </c>
      <c r="AU34" s="267"/>
      <c r="AV34" s="295">
        <f>IF(OR(AND($E34=TRUE,'[1]Pricing Summary'!$B$33="Ultimate"),AND($F34=TRUE,'[1]Pricing Summary'!$B$33="Enhanced"),AND($G34=TRUE,'[1]Pricing Summary'!$B$33="Essential")),1,0)</f>
        <v>0</v>
      </c>
      <c r="AW34" s="304">
        <f t="shared" si="16"/>
        <v>0</v>
      </c>
      <c r="AX34" s="305">
        <f t="shared" si="17"/>
        <v>0</v>
      </c>
      <c r="AY34" s="267"/>
      <c r="AZ34" s="304">
        <f t="shared" si="18"/>
        <v>0</v>
      </c>
      <c r="BA34" s="222">
        <f t="shared" si="19"/>
        <v>0</v>
      </c>
      <c r="BB34" s="306">
        <f t="shared" si="20"/>
        <v>0</v>
      </c>
      <c r="BC34" s="272"/>
      <c r="BD34" s="307">
        <f t="shared" si="21"/>
        <v>0</v>
      </c>
      <c r="BE34" s="308">
        <f t="shared" si="22"/>
        <v>0</v>
      </c>
      <c r="BF34" s="308">
        <f t="shared" si="23"/>
        <v>0</v>
      </c>
      <c r="BG34" s="321">
        <f t="shared" si="24"/>
        <v>0</v>
      </c>
      <c r="BH34" s="249"/>
      <c r="BI34" s="310">
        <f t="shared" si="25"/>
        <v>0</v>
      </c>
      <c r="BJ34" s="311">
        <f t="shared" si="26"/>
        <v>0</v>
      </c>
      <c r="BK34" s="311">
        <f t="shared" si="27"/>
        <v>0</v>
      </c>
      <c r="BL34" s="312">
        <f t="shared" si="28"/>
        <v>0</v>
      </c>
      <c r="BM34" s="249"/>
      <c r="BN34" s="313">
        <f t="shared" si="29"/>
        <v>0</v>
      </c>
      <c r="BO34" s="314">
        <f t="shared" si="30"/>
        <v>0</v>
      </c>
      <c r="BP34" s="314">
        <f t="shared" si="31"/>
        <v>0</v>
      </c>
      <c r="BQ34" s="315">
        <f t="shared" si="32"/>
        <v>0</v>
      </c>
      <c r="BR34" s="249"/>
      <c r="BS34" s="307">
        <f t="shared" si="33"/>
        <v>0</v>
      </c>
      <c r="BT34" s="308">
        <f t="shared" si="34"/>
        <v>0</v>
      </c>
      <c r="BU34" s="308">
        <f t="shared" si="35"/>
        <v>0</v>
      </c>
      <c r="BV34" s="321">
        <f t="shared" si="36"/>
        <v>0</v>
      </c>
      <c r="BW34" s="249"/>
      <c r="BX34" s="310">
        <f t="shared" si="37"/>
        <v>0</v>
      </c>
      <c r="BY34" s="311">
        <f t="shared" si="38"/>
        <v>0</v>
      </c>
      <c r="BZ34" s="311">
        <f t="shared" si="39"/>
        <v>0</v>
      </c>
      <c r="CA34" s="312">
        <f t="shared" si="40"/>
        <v>0</v>
      </c>
      <c r="CB34" s="249"/>
      <c r="CC34" s="313">
        <f t="shared" si="41"/>
        <v>0</v>
      </c>
      <c r="CD34" s="314">
        <f t="shared" si="42"/>
        <v>0</v>
      </c>
      <c r="CE34" s="314">
        <f t="shared" si="43"/>
        <v>0</v>
      </c>
      <c r="CF34" s="315">
        <f t="shared" si="44"/>
        <v>0</v>
      </c>
      <c r="CG34" s="249"/>
      <c r="CH34" s="316"/>
    </row>
    <row r="35" spans="1:86" ht="15.75" hidden="1" customHeight="1" outlineLevel="1" x14ac:dyDescent="0.2">
      <c r="A35" s="242" t="str">
        <f>IF(OR(E35&lt;&gt;FALSE,F35&lt;&gt;FALSE,G35&lt;&gt;FALSE),MAX(A$16:A34)+1,"")</f>
        <v/>
      </c>
      <c r="B35" s="283" t="str">
        <f>IF('[1]Core Assumptions'!B50="","",CONCATENATE('[1]Core Assumptions'!B50," - Federal &amp; State Tax Returns"))</f>
        <v/>
      </c>
      <c r="C35" s="284" t="str">
        <f>IF('[1]Core Assumptions'!B50="","",'[1]Core Assumptions'!B50)</f>
        <v/>
      </c>
      <c r="D35" s="245" t="s">
        <v>11</v>
      </c>
      <c r="E35" s="285" t="b">
        <v>0</v>
      </c>
      <c r="F35" s="286" t="b">
        <v>0</v>
      </c>
      <c r="G35" s="317" t="b">
        <v>0</v>
      </c>
      <c r="H35" s="249"/>
      <c r="I35" s="288">
        <v>1</v>
      </c>
      <c r="J35" s="249"/>
      <c r="K35" s="289"/>
      <c r="L35" s="290"/>
      <c r="M35" s="290"/>
      <c r="N35" s="290"/>
      <c r="O35" s="290"/>
      <c r="P35" s="290"/>
      <c r="Q35" s="290"/>
      <c r="R35" s="290"/>
      <c r="S35" s="290"/>
      <c r="T35" s="290"/>
      <c r="U35" s="289"/>
      <c r="V35" s="290"/>
      <c r="W35" s="290"/>
      <c r="X35" s="290"/>
      <c r="Y35" s="290"/>
      <c r="Z35" s="290"/>
      <c r="AA35" s="291"/>
      <c r="AB35" s="292"/>
      <c r="AC35" s="293"/>
      <c r="AD35" s="293"/>
      <c r="AE35" s="294"/>
      <c r="AF35" s="249"/>
      <c r="AG35" s="295">
        <f>IF(OR(AND($E35=TRUE,'[1]Pricing Summary'!$B$33=$E$2),AND($F35=TRUE,'[1]Pricing Summary'!$B$33=$F$2),AND($G35=TRUE,'[1]Pricing Summary'!$B$33=$G$2)),1,0)</f>
        <v>0</v>
      </c>
      <c r="AH35" s="295">
        <f t="shared" si="45"/>
        <v>0</v>
      </c>
      <c r="AI35" s="296">
        <f t="shared" si="11"/>
        <v>0</v>
      </c>
      <c r="AJ35" s="297">
        <f t="shared" si="12"/>
        <v>0</v>
      </c>
      <c r="AK35" s="249"/>
      <c r="AL35" s="298">
        <f t="shared" si="46"/>
        <v>0</v>
      </c>
      <c r="AM35" s="221">
        <f t="shared" si="47"/>
        <v>0</v>
      </c>
      <c r="AN35" s="221">
        <f>MROUND((1+'[1]Core Assumptions'!$D$22)*AM35,'[1]Core Assumptions'!$E$23)</f>
        <v>0</v>
      </c>
      <c r="AO35" s="299">
        <f t="shared" si="48"/>
        <v>0</v>
      </c>
      <c r="AP35" s="300">
        <f>IF(AN$7=0,0,MROUND(AN35/AN$7*AP$8/'[1]Core Assumptions'!$D$28,'[1]Core Assumptions'!$E$23))</f>
        <v>0</v>
      </c>
      <c r="AQ35" s="301">
        <f t="shared" si="13"/>
        <v>0</v>
      </c>
      <c r="AR35" s="302">
        <f t="shared" si="14"/>
        <v>0</v>
      </c>
      <c r="AS35" s="249"/>
      <c r="AT35" s="303">
        <f t="shared" si="15"/>
        <v>0</v>
      </c>
      <c r="AU35" s="267"/>
      <c r="AV35" s="295">
        <f>IF(OR(AND($E35=TRUE,'[1]Pricing Summary'!$B$33="Ultimate"),AND($F35=TRUE,'[1]Pricing Summary'!$B$33="Enhanced"),AND($G35=TRUE,'[1]Pricing Summary'!$B$33="Essential")),1,0)</f>
        <v>0</v>
      </c>
      <c r="AW35" s="304">
        <f t="shared" si="16"/>
        <v>0</v>
      </c>
      <c r="AX35" s="305">
        <f t="shared" si="17"/>
        <v>0</v>
      </c>
      <c r="AY35" s="267"/>
      <c r="AZ35" s="304">
        <f t="shared" si="18"/>
        <v>0</v>
      </c>
      <c r="BA35" s="222">
        <f t="shared" si="19"/>
        <v>0</v>
      </c>
      <c r="BB35" s="306">
        <f t="shared" si="20"/>
        <v>0</v>
      </c>
      <c r="BC35" s="272"/>
      <c r="BD35" s="307">
        <f t="shared" si="21"/>
        <v>0</v>
      </c>
      <c r="BE35" s="308">
        <f t="shared" si="22"/>
        <v>0</v>
      </c>
      <c r="BF35" s="308">
        <f t="shared" si="23"/>
        <v>0</v>
      </c>
      <c r="BG35" s="321">
        <f t="shared" si="24"/>
        <v>0</v>
      </c>
      <c r="BH35" s="249"/>
      <c r="BI35" s="310">
        <f t="shared" si="25"/>
        <v>0</v>
      </c>
      <c r="BJ35" s="311">
        <f t="shared" si="26"/>
        <v>0</v>
      </c>
      <c r="BK35" s="311">
        <f t="shared" si="27"/>
        <v>0</v>
      </c>
      <c r="BL35" s="312">
        <f t="shared" si="28"/>
        <v>0</v>
      </c>
      <c r="BM35" s="249"/>
      <c r="BN35" s="313">
        <f t="shared" si="29"/>
        <v>0</v>
      </c>
      <c r="BO35" s="314">
        <f t="shared" si="30"/>
        <v>0</v>
      </c>
      <c r="BP35" s="314">
        <f t="shared" si="31"/>
        <v>0</v>
      </c>
      <c r="BQ35" s="315">
        <f t="shared" si="32"/>
        <v>0</v>
      </c>
      <c r="BR35" s="249"/>
      <c r="BS35" s="307">
        <f t="shared" si="33"/>
        <v>0</v>
      </c>
      <c r="BT35" s="308">
        <f t="shared" si="34"/>
        <v>0</v>
      </c>
      <c r="BU35" s="308">
        <f t="shared" si="35"/>
        <v>0</v>
      </c>
      <c r="BV35" s="321">
        <f t="shared" si="36"/>
        <v>0</v>
      </c>
      <c r="BW35" s="249"/>
      <c r="BX35" s="310">
        <f t="shared" si="37"/>
        <v>0</v>
      </c>
      <c r="BY35" s="311">
        <f t="shared" si="38"/>
        <v>0</v>
      </c>
      <c r="BZ35" s="311">
        <f t="shared" si="39"/>
        <v>0</v>
      </c>
      <c r="CA35" s="312">
        <f t="shared" si="40"/>
        <v>0</v>
      </c>
      <c r="CB35" s="249"/>
      <c r="CC35" s="313">
        <f t="shared" si="41"/>
        <v>0</v>
      </c>
      <c r="CD35" s="314">
        <f t="shared" si="42"/>
        <v>0</v>
      </c>
      <c r="CE35" s="314">
        <f t="shared" si="43"/>
        <v>0</v>
      </c>
      <c r="CF35" s="315">
        <f t="shared" si="44"/>
        <v>0</v>
      </c>
      <c r="CG35" s="249"/>
      <c r="CH35" s="316"/>
    </row>
    <row r="36" spans="1:86" ht="15.75" hidden="1" customHeight="1" outlineLevel="1" x14ac:dyDescent="0.2">
      <c r="A36" s="242" t="str">
        <f>IF(OR(E36&lt;&gt;FALSE,F36&lt;&gt;FALSE,G36&lt;&gt;FALSE),MAX(A$16:A35)+1,"")</f>
        <v/>
      </c>
      <c r="B36" s="283" t="str">
        <f>IF('[1]Core Assumptions'!B51="","",CONCATENATE('[1]Core Assumptions'!B51," - Federal &amp; State Tax Returns"))</f>
        <v/>
      </c>
      <c r="C36" s="284" t="str">
        <f>IF('[1]Core Assumptions'!B51="","",'[1]Core Assumptions'!B51)</f>
        <v/>
      </c>
      <c r="D36" s="245" t="s">
        <v>11</v>
      </c>
      <c r="E36" s="285" t="b">
        <v>0</v>
      </c>
      <c r="F36" s="286" t="b">
        <v>0</v>
      </c>
      <c r="G36" s="317" t="b">
        <v>0</v>
      </c>
      <c r="H36" s="249"/>
      <c r="I36" s="288">
        <v>1</v>
      </c>
      <c r="J36" s="249"/>
      <c r="K36" s="289"/>
      <c r="L36" s="290"/>
      <c r="M36" s="290"/>
      <c r="N36" s="290"/>
      <c r="O36" s="290"/>
      <c r="P36" s="290"/>
      <c r="Q36" s="290"/>
      <c r="R36" s="290"/>
      <c r="S36" s="290"/>
      <c r="T36" s="290"/>
      <c r="U36" s="289"/>
      <c r="V36" s="290"/>
      <c r="W36" s="290"/>
      <c r="X36" s="290"/>
      <c r="Y36" s="290"/>
      <c r="Z36" s="290"/>
      <c r="AA36" s="291"/>
      <c r="AB36" s="292"/>
      <c r="AC36" s="293"/>
      <c r="AD36" s="293"/>
      <c r="AE36" s="294"/>
      <c r="AF36" s="249"/>
      <c r="AG36" s="295">
        <f>IF(OR(AND($E36=TRUE,'[1]Pricing Summary'!$B$33=$E$2),AND($F36=TRUE,'[1]Pricing Summary'!$B$33=$F$2),AND($G36=TRUE,'[1]Pricing Summary'!$B$33=$G$2)),1,0)</f>
        <v>0</v>
      </c>
      <c r="AH36" s="295">
        <f t="shared" si="45"/>
        <v>0</v>
      </c>
      <c r="AI36" s="296">
        <f t="shared" si="11"/>
        <v>0</v>
      </c>
      <c r="AJ36" s="297">
        <f t="shared" si="12"/>
        <v>0</v>
      </c>
      <c r="AK36" s="249"/>
      <c r="AL36" s="298">
        <f t="shared" si="46"/>
        <v>0</v>
      </c>
      <c r="AM36" s="221">
        <f t="shared" si="47"/>
        <v>0</v>
      </c>
      <c r="AN36" s="221">
        <f>MROUND((1+'[1]Core Assumptions'!$D$22)*AM36,'[1]Core Assumptions'!$E$23)</f>
        <v>0</v>
      </c>
      <c r="AO36" s="299">
        <f t="shared" si="48"/>
        <v>0</v>
      </c>
      <c r="AP36" s="300">
        <f>IF(AN$7=0,0,MROUND(AN36/AN$7*AP$8/'[1]Core Assumptions'!$D$28,'[1]Core Assumptions'!$E$23))</f>
        <v>0</v>
      </c>
      <c r="AQ36" s="301">
        <f t="shared" si="13"/>
        <v>0</v>
      </c>
      <c r="AR36" s="302">
        <f t="shared" si="14"/>
        <v>0</v>
      </c>
      <c r="AS36" s="249"/>
      <c r="AT36" s="303">
        <f t="shared" si="15"/>
        <v>0</v>
      </c>
      <c r="AU36" s="267"/>
      <c r="AV36" s="295">
        <f>IF(OR(AND($E36=TRUE,'[1]Pricing Summary'!$B$33="Ultimate"),AND($F36=TRUE,'[1]Pricing Summary'!$B$33="Enhanced"),AND($G36=TRUE,'[1]Pricing Summary'!$B$33="Essential")),1,0)</f>
        <v>0</v>
      </c>
      <c r="AW36" s="304">
        <f t="shared" si="16"/>
        <v>0</v>
      </c>
      <c r="AX36" s="305">
        <f t="shared" si="17"/>
        <v>0</v>
      </c>
      <c r="AY36" s="267"/>
      <c r="AZ36" s="304">
        <f t="shared" si="18"/>
        <v>0</v>
      </c>
      <c r="BA36" s="222">
        <f t="shared" si="19"/>
        <v>0</v>
      </c>
      <c r="BB36" s="306">
        <f t="shared" si="20"/>
        <v>0</v>
      </c>
      <c r="BC36" s="272"/>
      <c r="BD36" s="307">
        <f t="shared" si="21"/>
        <v>0</v>
      </c>
      <c r="BE36" s="308">
        <f t="shared" si="22"/>
        <v>0</v>
      </c>
      <c r="BF36" s="308">
        <f t="shared" si="23"/>
        <v>0</v>
      </c>
      <c r="BG36" s="321">
        <f t="shared" si="24"/>
        <v>0</v>
      </c>
      <c r="BH36" s="249"/>
      <c r="BI36" s="310">
        <f t="shared" si="25"/>
        <v>0</v>
      </c>
      <c r="BJ36" s="311">
        <f t="shared" si="26"/>
        <v>0</v>
      </c>
      <c r="BK36" s="311">
        <f t="shared" si="27"/>
        <v>0</v>
      </c>
      <c r="BL36" s="312">
        <f t="shared" si="28"/>
        <v>0</v>
      </c>
      <c r="BM36" s="249"/>
      <c r="BN36" s="313">
        <f t="shared" si="29"/>
        <v>0</v>
      </c>
      <c r="BO36" s="314">
        <f t="shared" si="30"/>
        <v>0</v>
      </c>
      <c r="BP36" s="314">
        <f t="shared" si="31"/>
        <v>0</v>
      </c>
      <c r="BQ36" s="315">
        <f t="shared" si="32"/>
        <v>0</v>
      </c>
      <c r="BR36" s="249"/>
      <c r="BS36" s="307">
        <f t="shared" si="33"/>
        <v>0</v>
      </c>
      <c r="BT36" s="308">
        <f t="shared" si="34"/>
        <v>0</v>
      </c>
      <c r="BU36" s="308">
        <f t="shared" si="35"/>
        <v>0</v>
      </c>
      <c r="BV36" s="321">
        <f t="shared" si="36"/>
        <v>0</v>
      </c>
      <c r="BW36" s="249"/>
      <c r="BX36" s="310">
        <f t="shared" si="37"/>
        <v>0</v>
      </c>
      <c r="BY36" s="311">
        <f t="shared" si="38"/>
        <v>0</v>
      </c>
      <c r="BZ36" s="311">
        <f t="shared" si="39"/>
        <v>0</v>
      </c>
      <c r="CA36" s="312">
        <f t="shared" si="40"/>
        <v>0</v>
      </c>
      <c r="CB36" s="249"/>
      <c r="CC36" s="313">
        <f t="shared" si="41"/>
        <v>0</v>
      </c>
      <c r="CD36" s="314">
        <f t="shared" si="42"/>
        <v>0</v>
      </c>
      <c r="CE36" s="314">
        <f t="shared" si="43"/>
        <v>0</v>
      </c>
      <c r="CF36" s="315">
        <f t="shared" si="44"/>
        <v>0</v>
      </c>
      <c r="CG36" s="249"/>
      <c r="CH36" s="316"/>
    </row>
    <row r="37" spans="1:86" ht="15.75" hidden="1" customHeight="1" outlineLevel="1" x14ac:dyDescent="0.2">
      <c r="A37" s="242" t="str">
        <f>IF(OR(E37&lt;&gt;FALSE,F37&lt;&gt;FALSE,G37&lt;&gt;FALSE),MAX(A$16:A36)+1,"")</f>
        <v/>
      </c>
      <c r="B37" s="283" t="str">
        <f>IF('[1]Core Assumptions'!B52="","",CONCATENATE('[1]Core Assumptions'!B52," - Federal &amp; State Tax Returns"))</f>
        <v/>
      </c>
      <c r="C37" s="284" t="str">
        <f>IF('[1]Core Assumptions'!B52="","",'[1]Core Assumptions'!B52)</f>
        <v/>
      </c>
      <c r="D37" s="245" t="s">
        <v>11</v>
      </c>
      <c r="E37" s="285" t="b">
        <v>0</v>
      </c>
      <c r="F37" s="286" t="b">
        <v>0</v>
      </c>
      <c r="G37" s="317" t="b">
        <v>0</v>
      </c>
      <c r="H37" s="249"/>
      <c r="I37" s="288">
        <v>1</v>
      </c>
      <c r="J37" s="249"/>
      <c r="K37" s="289"/>
      <c r="L37" s="290"/>
      <c r="M37" s="290"/>
      <c r="N37" s="290"/>
      <c r="O37" s="290"/>
      <c r="P37" s="290"/>
      <c r="Q37" s="290"/>
      <c r="R37" s="290"/>
      <c r="S37" s="290"/>
      <c r="T37" s="290"/>
      <c r="U37" s="289"/>
      <c r="V37" s="290"/>
      <c r="W37" s="290"/>
      <c r="X37" s="290"/>
      <c r="Y37" s="290"/>
      <c r="Z37" s="290"/>
      <c r="AA37" s="291"/>
      <c r="AB37" s="292"/>
      <c r="AC37" s="293"/>
      <c r="AD37" s="293"/>
      <c r="AE37" s="294"/>
      <c r="AF37" s="249"/>
      <c r="AG37" s="295">
        <f>IF(OR(AND($E37=TRUE,'[1]Pricing Summary'!$B$33=$E$2),AND($F37=TRUE,'[1]Pricing Summary'!$B$33=$F$2),AND($G37=TRUE,'[1]Pricing Summary'!$B$33=$G$2)),1,0)</f>
        <v>0</v>
      </c>
      <c r="AH37" s="295">
        <f t="shared" si="45"/>
        <v>0</v>
      </c>
      <c r="AI37" s="296">
        <f t="shared" si="11"/>
        <v>0</v>
      </c>
      <c r="AJ37" s="297">
        <f t="shared" si="12"/>
        <v>0</v>
      </c>
      <c r="AK37" s="249"/>
      <c r="AL37" s="298">
        <f t="shared" si="46"/>
        <v>0</v>
      </c>
      <c r="AM37" s="221">
        <f t="shared" si="47"/>
        <v>0</v>
      </c>
      <c r="AN37" s="221">
        <f>MROUND((1+'[1]Core Assumptions'!$D$22)*AM37,'[1]Core Assumptions'!$E$23)</f>
        <v>0</v>
      </c>
      <c r="AO37" s="299">
        <f t="shared" si="48"/>
        <v>0</v>
      </c>
      <c r="AP37" s="300">
        <f>IF(AN$7=0,0,MROUND(AN37/AN$7*AP$8/'[1]Core Assumptions'!$D$28,'[1]Core Assumptions'!$E$23))</f>
        <v>0</v>
      </c>
      <c r="AQ37" s="301">
        <f t="shared" si="13"/>
        <v>0</v>
      </c>
      <c r="AR37" s="302">
        <f t="shared" si="14"/>
        <v>0</v>
      </c>
      <c r="AS37" s="249"/>
      <c r="AT37" s="303">
        <f t="shared" si="15"/>
        <v>0</v>
      </c>
      <c r="AU37" s="267"/>
      <c r="AV37" s="295">
        <f>IF(OR(AND($E37=TRUE,'[1]Pricing Summary'!$B$33="Ultimate"),AND($F37=TRUE,'[1]Pricing Summary'!$B$33="Enhanced"),AND($G37=TRUE,'[1]Pricing Summary'!$B$33="Essential")),1,0)</f>
        <v>0</v>
      </c>
      <c r="AW37" s="304">
        <f t="shared" si="16"/>
        <v>0</v>
      </c>
      <c r="AX37" s="305">
        <f t="shared" si="17"/>
        <v>0</v>
      </c>
      <c r="AY37" s="267"/>
      <c r="AZ37" s="304">
        <f t="shared" si="18"/>
        <v>0</v>
      </c>
      <c r="BA37" s="222">
        <f t="shared" si="19"/>
        <v>0</v>
      </c>
      <c r="BB37" s="306">
        <f t="shared" si="20"/>
        <v>0</v>
      </c>
      <c r="BC37" s="272"/>
      <c r="BD37" s="307">
        <f t="shared" si="21"/>
        <v>0</v>
      </c>
      <c r="BE37" s="308">
        <f t="shared" si="22"/>
        <v>0</v>
      </c>
      <c r="BF37" s="308">
        <f t="shared" si="23"/>
        <v>0</v>
      </c>
      <c r="BG37" s="321">
        <f t="shared" si="24"/>
        <v>0</v>
      </c>
      <c r="BH37" s="249"/>
      <c r="BI37" s="310">
        <f t="shared" si="25"/>
        <v>0</v>
      </c>
      <c r="BJ37" s="311">
        <f t="shared" si="26"/>
        <v>0</v>
      </c>
      <c r="BK37" s="311">
        <f t="shared" si="27"/>
        <v>0</v>
      </c>
      <c r="BL37" s="312">
        <f t="shared" si="28"/>
        <v>0</v>
      </c>
      <c r="BM37" s="249"/>
      <c r="BN37" s="313">
        <f t="shared" si="29"/>
        <v>0</v>
      </c>
      <c r="BO37" s="314">
        <f t="shared" si="30"/>
        <v>0</v>
      </c>
      <c r="BP37" s="314">
        <f t="shared" si="31"/>
        <v>0</v>
      </c>
      <c r="BQ37" s="315">
        <f t="shared" si="32"/>
        <v>0</v>
      </c>
      <c r="BR37" s="249"/>
      <c r="BS37" s="307">
        <f t="shared" si="33"/>
        <v>0</v>
      </c>
      <c r="BT37" s="308">
        <f t="shared" si="34"/>
        <v>0</v>
      </c>
      <c r="BU37" s="308">
        <f t="shared" si="35"/>
        <v>0</v>
      </c>
      <c r="BV37" s="321">
        <f t="shared" si="36"/>
        <v>0</v>
      </c>
      <c r="BW37" s="249"/>
      <c r="BX37" s="310">
        <f t="shared" si="37"/>
        <v>0</v>
      </c>
      <c r="BY37" s="311">
        <f t="shared" si="38"/>
        <v>0</v>
      </c>
      <c r="BZ37" s="311">
        <f t="shared" si="39"/>
        <v>0</v>
      </c>
      <c r="CA37" s="312">
        <f t="shared" si="40"/>
        <v>0</v>
      </c>
      <c r="CB37" s="249"/>
      <c r="CC37" s="313">
        <f t="shared" si="41"/>
        <v>0</v>
      </c>
      <c r="CD37" s="314">
        <f t="shared" si="42"/>
        <v>0</v>
      </c>
      <c r="CE37" s="314">
        <f t="shared" si="43"/>
        <v>0</v>
      </c>
      <c r="CF37" s="315">
        <f t="shared" si="44"/>
        <v>0</v>
      </c>
      <c r="CG37" s="249"/>
      <c r="CH37" s="316"/>
    </row>
    <row r="38" spans="1:86" ht="15.75" hidden="1" customHeight="1" outlineLevel="1" x14ac:dyDescent="0.2">
      <c r="A38" s="242" t="str">
        <f>IF(OR(E38&lt;&gt;FALSE,F38&lt;&gt;FALSE,G38&lt;&gt;FALSE),MAX(A$16:A37)+1,"")</f>
        <v/>
      </c>
      <c r="B38" s="283" t="str">
        <f>IF('[1]Core Assumptions'!B53="","",CONCATENATE('[1]Core Assumptions'!B53," - Federal &amp; State Tax Returns"))</f>
        <v/>
      </c>
      <c r="C38" s="284" t="str">
        <f>IF('[1]Core Assumptions'!B53="","",'[1]Core Assumptions'!B53)</f>
        <v/>
      </c>
      <c r="D38" s="245" t="s">
        <v>11</v>
      </c>
      <c r="E38" s="285" t="b">
        <v>0</v>
      </c>
      <c r="F38" s="286" t="b">
        <v>0</v>
      </c>
      <c r="G38" s="317" t="b">
        <v>0</v>
      </c>
      <c r="H38" s="249"/>
      <c r="I38" s="288">
        <v>1</v>
      </c>
      <c r="J38" s="249"/>
      <c r="K38" s="289"/>
      <c r="L38" s="290"/>
      <c r="M38" s="290"/>
      <c r="N38" s="290"/>
      <c r="O38" s="290"/>
      <c r="P38" s="290"/>
      <c r="Q38" s="290"/>
      <c r="R38" s="290"/>
      <c r="S38" s="290"/>
      <c r="T38" s="290"/>
      <c r="U38" s="289"/>
      <c r="V38" s="290"/>
      <c r="W38" s="290"/>
      <c r="X38" s="290"/>
      <c r="Y38" s="290"/>
      <c r="Z38" s="290"/>
      <c r="AA38" s="291"/>
      <c r="AB38" s="292"/>
      <c r="AC38" s="293"/>
      <c r="AD38" s="293"/>
      <c r="AE38" s="294"/>
      <c r="AF38" s="249"/>
      <c r="AG38" s="295">
        <f>IF(OR(AND($E38=TRUE,'[1]Pricing Summary'!$B$33=$E$2),AND($F38=TRUE,'[1]Pricing Summary'!$B$33=$F$2),AND($G38=TRUE,'[1]Pricing Summary'!$B$33=$G$2)),1,0)</f>
        <v>0</v>
      </c>
      <c r="AH38" s="295">
        <f t="shared" si="45"/>
        <v>0</v>
      </c>
      <c r="AI38" s="296">
        <f t="shared" si="11"/>
        <v>0</v>
      </c>
      <c r="AJ38" s="297">
        <f t="shared" si="12"/>
        <v>0</v>
      </c>
      <c r="AK38" s="249"/>
      <c r="AL38" s="298">
        <f t="shared" si="46"/>
        <v>0</v>
      </c>
      <c r="AM38" s="221">
        <f t="shared" si="47"/>
        <v>0</v>
      </c>
      <c r="AN38" s="221">
        <f>MROUND((1+'[1]Core Assumptions'!$D$22)*AM38,'[1]Core Assumptions'!$E$23)</f>
        <v>0</v>
      </c>
      <c r="AO38" s="299">
        <f t="shared" si="48"/>
        <v>0</v>
      </c>
      <c r="AP38" s="300">
        <f>IF(AN$7=0,0,MROUND(AN38/AN$7*AP$8/'[1]Core Assumptions'!$D$28,'[1]Core Assumptions'!$E$23))</f>
        <v>0</v>
      </c>
      <c r="AQ38" s="301">
        <f t="shared" si="13"/>
        <v>0</v>
      </c>
      <c r="AR38" s="302">
        <f t="shared" si="14"/>
        <v>0</v>
      </c>
      <c r="AS38" s="249"/>
      <c r="AT38" s="303">
        <f t="shared" si="15"/>
        <v>0</v>
      </c>
      <c r="AU38" s="267"/>
      <c r="AV38" s="295">
        <f>IF(OR(AND($E38=TRUE,'[1]Pricing Summary'!$B$33="Ultimate"),AND($F38=TRUE,'[1]Pricing Summary'!$B$33="Enhanced"),AND($G38=TRUE,'[1]Pricing Summary'!$B$33="Essential")),1,0)</f>
        <v>0</v>
      </c>
      <c r="AW38" s="304">
        <f t="shared" si="16"/>
        <v>0</v>
      </c>
      <c r="AX38" s="305">
        <f t="shared" si="17"/>
        <v>0</v>
      </c>
      <c r="AY38" s="267"/>
      <c r="AZ38" s="304">
        <f t="shared" si="18"/>
        <v>0</v>
      </c>
      <c r="BA38" s="222">
        <f t="shared" si="19"/>
        <v>0</v>
      </c>
      <c r="BB38" s="306">
        <f t="shared" si="20"/>
        <v>0</v>
      </c>
      <c r="BC38" s="272"/>
      <c r="BD38" s="307">
        <f t="shared" si="21"/>
        <v>0</v>
      </c>
      <c r="BE38" s="308">
        <f t="shared" si="22"/>
        <v>0</v>
      </c>
      <c r="BF38" s="308">
        <f t="shared" si="23"/>
        <v>0</v>
      </c>
      <c r="BG38" s="321">
        <f t="shared" si="24"/>
        <v>0</v>
      </c>
      <c r="BH38" s="249"/>
      <c r="BI38" s="310">
        <f t="shared" si="25"/>
        <v>0</v>
      </c>
      <c r="BJ38" s="311">
        <f t="shared" si="26"/>
        <v>0</v>
      </c>
      <c r="BK38" s="311">
        <f t="shared" si="27"/>
        <v>0</v>
      </c>
      <c r="BL38" s="312">
        <f t="shared" si="28"/>
        <v>0</v>
      </c>
      <c r="BM38" s="249"/>
      <c r="BN38" s="313">
        <f t="shared" si="29"/>
        <v>0</v>
      </c>
      <c r="BO38" s="314">
        <f t="shared" si="30"/>
        <v>0</v>
      </c>
      <c r="BP38" s="314">
        <f t="shared" si="31"/>
        <v>0</v>
      </c>
      <c r="BQ38" s="315">
        <f t="shared" si="32"/>
        <v>0</v>
      </c>
      <c r="BR38" s="249"/>
      <c r="BS38" s="307">
        <f t="shared" si="33"/>
        <v>0</v>
      </c>
      <c r="BT38" s="308">
        <f t="shared" si="34"/>
        <v>0</v>
      </c>
      <c r="BU38" s="308">
        <f t="shared" si="35"/>
        <v>0</v>
      </c>
      <c r="BV38" s="321">
        <f t="shared" si="36"/>
        <v>0</v>
      </c>
      <c r="BW38" s="249"/>
      <c r="BX38" s="310">
        <f t="shared" si="37"/>
        <v>0</v>
      </c>
      <c r="BY38" s="311">
        <f t="shared" si="38"/>
        <v>0</v>
      </c>
      <c r="BZ38" s="311">
        <f t="shared" si="39"/>
        <v>0</v>
      </c>
      <c r="CA38" s="312">
        <f t="shared" si="40"/>
        <v>0</v>
      </c>
      <c r="CB38" s="249"/>
      <c r="CC38" s="313">
        <f t="shared" si="41"/>
        <v>0</v>
      </c>
      <c r="CD38" s="314">
        <f t="shared" si="42"/>
        <v>0</v>
      </c>
      <c r="CE38" s="314">
        <f t="shared" si="43"/>
        <v>0</v>
      </c>
      <c r="CF38" s="315">
        <f t="shared" si="44"/>
        <v>0</v>
      </c>
      <c r="CG38" s="249"/>
      <c r="CH38" s="316"/>
    </row>
    <row r="39" spans="1:86" ht="15.75" hidden="1" customHeight="1" outlineLevel="1" x14ac:dyDescent="0.2">
      <c r="A39" s="242" t="str">
        <f>IF(OR(E39&lt;&gt;FALSE,F39&lt;&gt;FALSE,G39&lt;&gt;FALSE),MAX(A$16:A38)+1,"")</f>
        <v/>
      </c>
      <c r="B39" s="283" t="str">
        <f>IF('[1]Core Assumptions'!B54="","",CONCATENATE('[1]Core Assumptions'!B54," - Federal &amp; State Tax Returns"))</f>
        <v/>
      </c>
      <c r="C39" s="284" t="str">
        <f>IF('[1]Core Assumptions'!B54="","",'[1]Core Assumptions'!B54)</f>
        <v/>
      </c>
      <c r="D39" s="245" t="s">
        <v>11</v>
      </c>
      <c r="E39" s="285" t="b">
        <v>0</v>
      </c>
      <c r="F39" s="286" t="b">
        <v>0</v>
      </c>
      <c r="G39" s="317" t="b">
        <v>0</v>
      </c>
      <c r="H39" s="249"/>
      <c r="I39" s="288">
        <v>1</v>
      </c>
      <c r="J39" s="249"/>
      <c r="K39" s="289"/>
      <c r="L39" s="290"/>
      <c r="M39" s="290"/>
      <c r="N39" s="290"/>
      <c r="O39" s="290"/>
      <c r="P39" s="290"/>
      <c r="Q39" s="290"/>
      <c r="R39" s="290"/>
      <c r="S39" s="290"/>
      <c r="T39" s="290"/>
      <c r="U39" s="289"/>
      <c r="V39" s="290"/>
      <c r="W39" s="290"/>
      <c r="X39" s="290"/>
      <c r="Y39" s="290"/>
      <c r="Z39" s="290"/>
      <c r="AA39" s="291"/>
      <c r="AB39" s="292"/>
      <c r="AC39" s="293"/>
      <c r="AD39" s="293"/>
      <c r="AE39" s="294"/>
      <c r="AF39" s="249"/>
      <c r="AG39" s="295">
        <f>IF(OR(AND($E39=TRUE,'[1]Pricing Summary'!$B$33=$E$2),AND($F39=TRUE,'[1]Pricing Summary'!$B$33=$F$2),AND($G39=TRUE,'[1]Pricing Summary'!$B$33=$G$2)),1,0)</f>
        <v>0</v>
      </c>
      <c r="AH39" s="295">
        <f t="shared" si="45"/>
        <v>0</v>
      </c>
      <c r="AI39" s="296">
        <f t="shared" si="11"/>
        <v>0</v>
      </c>
      <c r="AJ39" s="297">
        <f t="shared" si="12"/>
        <v>0</v>
      </c>
      <c r="AK39" s="249"/>
      <c r="AL39" s="298">
        <f t="shared" si="46"/>
        <v>0</v>
      </c>
      <c r="AM39" s="221">
        <f t="shared" si="47"/>
        <v>0</v>
      </c>
      <c r="AN39" s="221">
        <f>MROUND((1+'[1]Core Assumptions'!$D$22)*AM39,'[1]Core Assumptions'!$E$23)</f>
        <v>0</v>
      </c>
      <c r="AO39" s="299">
        <f t="shared" si="48"/>
        <v>0</v>
      </c>
      <c r="AP39" s="300">
        <f>IF(AN$7=0,0,MROUND(AN39/AN$7*AP$8/'[1]Core Assumptions'!$D$28,'[1]Core Assumptions'!$E$23))</f>
        <v>0</v>
      </c>
      <c r="AQ39" s="301">
        <f t="shared" si="13"/>
        <v>0</v>
      </c>
      <c r="AR39" s="302">
        <f t="shared" si="14"/>
        <v>0</v>
      </c>
      <c r="AS39" s="249"/>
      <c r="AT39" s="303">
        <f t="shared" si="15"/>
        <v>0</v>
      </c>
      <c r="AU39" s="267"/>
      <c r="AV39" s="295">
        <f>IF(OR(AND($E39=TRUE,'[1]Pricing Summary'!$B$33="Ultimate"),AND($F39=TRUE,'[1]Pricing Summary'!$B$33="Enhanced"),AND($G39=TRUE,'[1]Pricing Summary'!$B$33="Essential")),1,0)</f>
        <v>0</v>
      </c>
      <c r="AW39" s="304">
        <f t="shared" si="16"/>
        <v>0</v>
      </c>
      <c r="AX39" s="305">
        <f t="shared" si="17"/>
        <v>0</v>
      </c>
      <c r="AY39" s="267"/>
      <c r="AZ39" s="304">
        <f t="shared" si="18"/>
        <v>0</v>
      </c>
      <c r="BA39" s="222">
        <f t="shared" si="19"/>
        <v>0</v>
      </c>
      <c r="BB39" s="306">
        <f t="shared" si="20"/>
        <v>0</v>
      </c>
      <c r="BC39" s="272"/>
      <c r="BD39" s="307">
        <f t="shared" si="21"/>
        <v>0</v>
      </c>
      <c r="BE39" s="308">
        <f t="shared" si="22"/>
        <v>0</v>
      </c>
      <c r="BF39" s="308">
        <f t="shared" si="23"/>
        <v>0</v>
      </c>
      <c r="BG39" s="321">
        <f t="shared" si="24"/>
        <v>0</v>
      </c>
      <c r="BH39" s="249"/>
      <c r="BI39" s="310">
        <f t="shared" si="25"/>
        <v>0</v>
      </c>
      <c r="BJ39" s="311">
        <f t="shared" si="26"/>
        <v>0</v>
      </c>
      <c r="BK39" s="311">
        <f t="shared" si="27"/>
        <v>0</v>
      </c>
      <c r="BL39" s="312">
        <f t="shared" si="28"/>
        <v>0</v>
      </c>
      <c r="BM39" s="249"/>
      <c r="BN39" s="313">
        <f t="shared" si="29"/>
        <v>0</v>
      </c>
      <c r="BO39" s="314">
        <f t="shared" si="30"/>
        <v>0</v>
      </c>
      <c r="BP39" s="314">
        <f t="shared" si="31"/>
        <v>0</v>
      </c>
      <c r="BQ39" s="315">
        <f t="shared" si="32"/>
        <v>0</v>
      </c>
      <c r="BR39" s="249"/>
      <c r="BS39" s="307">
        <f t="shared" si="33"/>
        <v>0</v>
      </c>
      <c r="BT39" s="308">
        <f t="shared" si="34"/>
        <v>0</v>
      </c>
      <c r="BU39" s="308">
        <f t="shared" si="35"/>
        <v>0</v>
      </c>
      <c r="BV39" s="321">
        <f t="shared" si="36"/>
        <v>0</v>
      </c>
      <c r="BW39" s="249"/>
      <c r="BX39" s="310">
        <f t="shared" si="37"/>
        <v>0</v>
      </c>
      <c r="BY39" s="311">
        <f t="shared" si="38"/>
        <v>0</v>
      </c>
      <c r="BZ39" s="311">
        <f t="shared" si="39"/>
        <v>0</v>
      </c>
      <c r="CA39" s="312">
        <f t="shared" si="40"/>
        <v>0</v>
      </c>
      <c r="CB39" s="249"/>
      <c r="CC39" s="313">
        <f t="shared" si="41"/>
        <v>0</v>
      </c>
      <c r="CD39" s="314">
        <f t="shared" si="42"/>
        <v>0</v>
      </c>
      <c r="CE39" s="314">
        <f t="shared" si="43"/>
        <v>0</v>
      </c>
      <c r="CF39" s="315">
        <f t="shared" si="44"/>
        <v>0</v>
      </c>
      <c r="CG39" s="249"/>
      <c r="CH39" s="316"/>
    </row>
    <row r="40" spans="1:86" ht="15.75" hidden="1" customHeight="1" outlineLevel="1" x14ac:dyDescent="0.2">
      <c r="A40" s="242" t="str">
        <f>IF(OR(E40&lt;&gt;FALSE,F40&lt;&gt;FALSE,G40&lt;&gt;FALSE),MAX(A$16:A39)+1,"")</f>
        <v/>
      </c>
      <c r="B40" s="283" t="str">
        <f>IF('[1]Core Assumptions'!B55="","",CONCATENATE('[1]Core Assumptions'!B55," - Federal &amp; State Tax Returns"))</f>
        <v/>
      </c>
      <c r="C40" s="284" t="str">
        <f>IF('[1]Core Assumptions'!B55="","",'[1]Core Assumptions'!B55)</f>
        <v/>
      </c>
      <c r="D40" s="245" t="s">
        <v>11</v>
      </c>
      <c r="E40" s="285" t="b">
        <v>0</v>
      </c>
      <c r="F40" s="286" t="b">
        <v>0</v>
      </c>
      <c r="G40" s="317" t="b">
        <v>0</v>
      </c>
      <c r="H40" s="249"/>
      <c r="I40" s="288">
        <v>1</v>
      </c>
      <c r="J40" s="249"/>
      <c r="K40" s="289"/>
      <c r="L40" s="290"/>
      <c r="M40" s="290"/>
      <c r="N40" s="290"/>
      <c r="O40" s="290"/>
      <c r="P40" s="290"/>
      <c r="Q40" s="290"/>
      <c r="R40" s="290"/>
      <c r="S40" s="290"/>
      <c r="T40" s="290"/>
      <c r="U40" s="289"/>
      <c r="V40" s="290"/>
      <c r="W40" s="290"/>
      <c r="X40" s="290"/>
      <c r="Y40" s="290"/>
      <c r="Z40" s="290"/>
      <c r="AA40" s="291"/>
      <c r="AB40" s="292"/>
      <c r="AC40" s="293"/>
      <c r="AD40" s="293"/>
      <c r="AE40" s="294"/>
      <c r="AF40" s="249"/>
      <c r="AG40" s="295">
        <f>IF(OR(AND($E40=TRUE,'[1]Pricing Summary'!$B$33=$E$2),AND($F40=TRUE,'[1]Pricing Summary'!$B$33=$F$2),AND($G40=TRUE,'[1]Pricing Summary'!$B$33=$G$2)),1,0)</f>
        <v>0</v>
      </c>
      <c r="AH40" s="295">
        <f t="shared" si="45"/>
        <v>0</v>
      </c>
      <c r="AI40" s="296">
        <f t="shared" si="11"/>
        <v>0</v>
      </c>
      <c r="AJ40" s="297">
        <f t="shared" si="12"/>
        <v>0</v>
      </c>
      <c r="AK40" s="249"/>
      <c r="AL40" s="298">
        <f t="shared" si="46"/>
        <v>0</v>
      </c>
      <c r="AM40" s="221">
        <f t="shared" si="47"/>
        <v>0</v>
      </c>
      <c r="AN40" s="221">
        <f>MROUND((1+'[1]Core Assumptions'!$D$22)*AM40,'[1]Core Assumptions'!$E$23)</f>
        <v>0</v>
      </c>
      <c r="AO40" s="299">
        <f t="shared" si="48"/>
        <v>0</v>
      </c>
      <c r="AP40" s="300">
        <f>IF(AN$7=0,0,MROUND(AN40/AN$7*AP$8/'[1]Core Assumptions'!$D$28,'[1]Core Assumptions'!$E$23))</f>
        <v>0</v>
      </c>
      <c r="AQ40" s="301">
        <f t="shared" si="13"/>
        <v>0</v>
      </c>
      <c r="AR40" s="302">
        <f t="shared" si="14"/>
        <v>0</v>
      </c>
      <c r="AS40" s="249"/>
      <c r="AT40" s="303">
        <f t="shared" si="15"/>
        <v>0</v>
      </c>
      <c r="AU40" s="267"/>
      <c r="AV40" s="295">
        <f>IF(OR(AND($E40=TRUE,'[1]Pricing Summary'!$B$33="Ultimate"),AND($F40=TRUE,'[1]Pricing Summary'!$B$33="Enhanced"),AND($G40=TRUE,'[1]Pricing Summary'!$B$33="Essential")),1,0)</f>
        <v>0</v>
      </c>
      <c r="AW40" s="304">
        <f t="shared" si="16"/>
        <v>0</v>
      </c>
      <c r="AX40" s="305">
        <f t="shared" si="17"/>
        <v>0</v>
      </c>
      <c r="AY40" s="267"/>
      <c r="AZ40" s="304">
        <f t="shared" si="18"/>
        <v>0</v>
      </c>
      <c r="BA40" s="222">
        <f t="shared" si="19"/>
        <v>0</v>
      </c>
      <c r="BB40" s="306">
        <f t="shared" si="20"/>
        <v>0</v>
      </c>
      <c r="BC40" s="272"/>
      <c r="BD40" s="307">
        <f t="shared" si="21"/>
        <v>0</v>
      </c>
      <c r="BE40" s="308">
        <f t="shared" si="22"/>
        <v>0</v>
      </c>
      <c r="BF40" s="308">
        <f t="shared" si="23"/>
        <v>0</v>
      </c>
      <c r="BG40" s="321">
        <f t="shared" si="24"/>
        <v>0</v>
      </c>
      <c r="BH40" s="249"/>
      <c r="BI40" s="310">
        <f t="shared" si="25"/>
        <v>0</v>
      </c>
      <c r="BJ40" s="311">
        <f t="shared" si="26"/>
        <v>0</v>
      </c>
      <c r="BK40" s="311">
        <f t="shared" si="27"/>
        <v>0</v>
      </c>
      <c r="BL40" s="312">
        <f t="shared" si="28"/>
        <v>0</v>
      </c>
      <c r="BM40" s="249"/>
      <c r="BN40" s="313">
        <f t="shared" si="29"/>
        <v>0</v>
      </c>
      <c r="BO40" s="314">
        <f t="shared" si="30"/>
        <v>0</v>
      </c>
      <c r="BP40" s="314">
        <f t="shared" si="31"/>
        <v>0</v>
      </c>
      <c r="BQ40" s="315">
        <f t="shared" si="32"/>
        <v>0</v>
      </c>
      <c r="BR40" s="249"/>
      <c r="BS40" s="307">
        <f t="shared" si="33"/>
        <v>0</v>
      </c>
      <c r="BT40" s="308">
        <f t="shared" si="34"/>
        <v>0</v>
      </c>
      <c r="BU40" s="308">
        <f t="shared" si="35"/>
        <v>0</v>
      </c>
      <c r="BV40" s="321">
        <f t="shared" si="36"/>
        <v>0</v>
      </c>
      <c r="BW40" s="249"/>
      <c r="BX40" s="310">
        <f t="shared" si="37"/>
        <v>0</v>
      </c>
      <c r="BY40" s="311">
        <f t="shared" si="38"/>
        <v>0</v>
      </c>
      <c r="BZ40" s="311">
        <f t="shared" si="39"/>
        <v>0</v>
      </c>
      <c r="CA40" s="312">
        <f t="shared" si="40"/>
        <v>0</v>
      </c>
      <c r="CB40" s="249"/>
      <c r="CC40" s="313">
        <f t="shared" si="41"/>
        <v>0</v>
      </c>
      <c r="CD40" s="314">
        <f t="shared" si="42"/>
        <v>0</v>
      </c>
      <c r="CE40" s="314">
        <f t="shared" si="43"/>
        <v>0</v>
      </c>
      <c r="CF40" s="315">
        <f t="shared" si="44"/>
        <v>0</v>
      </c>
      <c r="CG40" s="249"/>
      <c r="CH40" s="316"/>
    </row>
    <row r="41" spans="1:86" ht="15.75" hidden="1" customHeight="1" outlineLevel="1" x14ac:dyDescent="0.2">
      <c r="A41" s="242" t="str">
        <f>IF(OR(E41&lt;&gt;FALSE,F41&lt;&gt;FALSE,G41&lt;&gt;FALSE),MAX(A$16:A40)+1,"")</f>
        <v/>
      </c>
      <c r="B41" s="283" t="str">
        <f>IF('[1]Core Assumptions'!B56="","",CONCATENATE('[1]Core Assumptions'!B56," - Federal &amp; State Tax Returns"))</f>
        <v/>
      </c>
      <c r="C41" s="284" t="str">
        <f>IF('[1]Core Assumptions'!B56="","",'[1]Core Assumptions'!B56)</f>
        <v/>
      </c>
      <c r="D41" s="245" t="s">
        <v>11</v>
      </c>
      <c r="E41" s="285" t="b">
        <v>0</v>
      </c>
      <c r="F41" s="286" t="b">
        <v>0</v>
      </c>
      <c r="G41" s="317" t="b">
        <v>0</v>
      </c>
      <c r="H41" s="249"/>
      <c r="I41" s="288">
        <v>1</v>
      </c>
      <c r="J41" s="249"/>
      <c r="K41" s="289"/>
      <c r="L41" s="290"/>
      <c r="M41" s="290"/>
      <c r="N41" s="290"/>
      <c r="O41" s="290"/>
      <c r="P41" s="290"/>
      <c r="Q41" s="290"/>
      <c r="R41" s="290"/>
      <c r="S41" s="290"/>
      <c r="T41" s="290"/>
      <c r="U41" s="289"/>
      <c r="V41" s="290"/>
      <c r="W41" s="290"/>
      <c r="X41" s="290"/>
      <c r="Y41" s="290"/>
      <c r="Z41" s="290"/>
      <c r="AA41" s="291"/>
      <c r="AB41" s="292"/>
      <c r="AC41" s="293"/>
      <c r="AD41" s="293"/>
      <c r="AE41" s="294"/>
      <c r="AF41" s="249"/>
      <c r="AG41" s="295">
        <f>IF(OR(AND($E41=TRUE,'[1]Pricing Summary'!$B$33=$E$2),AND($F41=TRUE,'[1]Pricing Summary'!$B$33=$F$2),AND($G41=TRUE,'[1]Pricing Summary'!$B$33=$G$2)),1,0)</f>
        <v>0</v>
      </c>
      <c r="AH41" s="295">
        <f t="shared" si="45"/>
        <v>0</v>
      </c>
      <c r="AI41" s="296">
        <f t="shared" si="11"/>
        <v>0</v>
      </c>
      <c r="AJ41" s="297">
        <f t="shared" si="12"/>
        <v>0</v>
      </c>
      <c r="AK41" s="249"/>
      <c r="AL41" s="298">
        <f t="shared" si="46"/>
        <v>0</v>
      </c>
      <c r="AM41" s="221">
        <f t="shared" si="47"/>
        <v>0</v>
      </c>
      <c r="AN41" s="221">
        <f>MROUND((1+'[1]Core Assumptions'!$D$22)*AM41,'[1]Core Assumptions'!$E$23)</f>
        <v>0</v>
      </c>
      <c r="AO41" s="299">
        <f t="shared" si="48"/>
        <v>0</v>
      </c>
      <c r="AP41" s="300">
        <f>IF(AN$7=0,0,MROUND(AN41/AN$7*AP$8/'[1]Core Assumptions'!$D$28,'[1]Core Assumptions'!$E$23))</f>
        <v>0</v>
      </c>
      <c r="AQ41" s="301">
        <f t="shared" si="13"/>
        <v>0</v>
      </c>
      <c r="AR41" s="302">
        <f t="shared" si="14"/>
        <v>0</v>
      </c>
      <c r="AS41" s="249"/>
      <c r="AT41" s="303">
        <f t="shared" si="15"/>
        <v>0</v>
      </c>
      <c r="AU41" s="267"/>
      <c r="AV41" s="295">
        <f>IF(OR(AND($E41=TRUE,'[1]Pricing Summary'!$B$33="Ultimate"),AND($F41=TRUE,'[1]Pricing Summary'!$B$33="Enhanced"),AND($G41=TRUE,'[1]Pricing Summary'!$B$33="Essential")),1,0)</f>
        <v>0</v>
      </c>
      <c r="AW41" s="304">
        <f t="shared" si="16"/>
        <v>0</v>
      </c>
      <c r="AX41" s="305">
        <f t="shared" si="17"/>
        <v>0</v>
      </c>
      <c r="AY41" s="267"/>
      <c r="AZ41" s="304">
        <f t="shared" si="18"/>
        <v>0</v>
      </c>
      <c r="BA41" s="222">
        <f t="shared" si="19"/>
        <v>0</v>
      </c>
      <c r="BB41" s="306">
        <f t="shared" si="20"/>
        <v>0</v>
      </c>
      <c r="BC41" s="272"/>
      <c r="BD41" s="307">
        <f t="shared" si="21"/>
        <v>0</v>
      </c>
      <c r="BE41" s="308">
        <f t="shared" si="22"/>
        <v>0</v>
      </c>
      <c r="BF41" s="308">
        <f t="shared" si="23"/>
        <v>0</v>
      </c>
      <c r="BG41" s="321">
        <f t="shared" si="24"/>
        <v>0</v>
      </c>
      <c r="BH41" s="249"/>
      <c r="BI41" s="310">
        <f t="shared" si="25"/>
        <v>0</v>
      </c>
      <c r="BJ41" s="311">
        <f t="shared" si="26"/>
        <v>0</v>
      </c>
      <c r="BK41" s="311">
        <f t="shared" si="27"/>
        <v>0</v>
      </c>
      <c r="BL41" s="312">
        <f t="shared" si="28"/>
        <v>0</v>
      </c>
      <c r="BM41" s="249"/>
      <c r="BN41" s="313">
        <f t="shared" si="29"/>
        <v>0</v>
      </c>
      <c r="BO41" s="314">
        <f t="shared" si="30"/>
        <v>0</v>
      </c>
      <c r="BP41" s="314">
        <f t="shared" si="31"/>
        <v>0</v>
      </c>
      <c r="BQ41" s="315">
        <f t="shared" si="32"/>
        <v>0</v>
      </c>
      <c r="BR41" s="249"/>
      <c r="BS41" s="307">
        <f t="shared" si="33"/>
        <v>0</v>
      </c>
      <c r="BT41" s="308">
        <f t="shared" si="34"/>
        <v>0</v>
      </c>
      <c r="BU41" s="308">
        <f t="shared" si="35"/>
        <v>0</v>
      </c>
      <c r="BV41" s="321">
        <f t="shared" si="36"/>
        <v>0</v>
      </c>
      <c r="BW41" s="249"/>
      <c r="BX41" s="310">
        <f t="shared" si="37"/>
        <v>0</v>
      </c>
      <c r="BY41" s="311">
        <f t="shared" si="38"/>
        <v>0</v>
      </c>
      <c r="BZ41" s="311">
        <f t="shared" si="39"/>
        <v>0</v>
      </c>
      <c r="CA41" s="312">
        <f t="shared" si="40"/>
        <v>0</v>
      </c>
      <c r="CB41" s="249"/>
      <c r="CC41" s="313">
        <f t="shared" si="41"/>
        <v>0</v>
      </c>
      <c r="CD41" s="314">
        <f t="shared" si="42"/>
        <v>0</v>
      </c>
      <c r="CE41" s="314">
        <f t="shared" si="43"/>
        <v>0</v>
      </c>
      <c r="CF41" s="315">
        <f t="shared" si="44"/>
        <v>0</v>
      </c>
      <c r="CG41" s="249"/>
      <c r="CH41" s="316"/>
    </row>
    <row r="42" spans="1:86" ht="15.75" hidden="1" customHeight="1" outlineLevel="1" x14ac:dyDescent="0.2">
      <c r="A42" s="242" t="str">
        <f>IF(OR(E42&lt;&gt;FALSE,F42&lt;&gt;FALSE,G42&lt;&gt;FALSE),MAX(A$16:A41)+1,"")</f>
        <v/>
      </c>
      <c r="B42" s="283" t="str">
        <f>IF('[1]Core Assumptions'!B57="","",CONCATENATE('[1]Core Assumptions'!B57," - Federal &amp; State Tax Returns"))</f>
        <v/>
      </c>
      <c r="C42" s="284" t="str">
        <f>IF('[1]Core Assumptions'!B57="","",'[1]Core Assumptions'!B57)</f>
        <v/>
      </c>
      <c r="D42" s="245" t="s">
        <v>11</v>
      </c>
      <c r="E42" s="285" t="b">
        <v>0</v>
      </c>
      <c r="F42" s="286" t="b">
        <v>0</v>
      </c>
      <c r="G42" s="317" t="b">
        <v>0</v>
      </c>
      <c r="H42" s="249"/>
      <c r="I42" s="288">
        <v>1</v>
      </c>
      <c r="J42" s="249"/>
      <c r="K42" s="289"/>
      <c r="L42" s="290"/>
      <c r="M42" s="290"/>
      <c r="N42" s="290"/>
      <c r="O42" s="290"/>
      <c r="P42" s="290"/>
      <c r="Q42" s="290"/>
      <c r="R42" s="290"/>
      <c r="S42" s="290"/>
      <c r="T42" s="290"/>
      <c r="U42" s="289"/>
      <c r="V42" s="290"/>
      <c r="W42" s="290"/>
      <c r="X42" s="290"/>
      <c r="Y42" s="290"/>
      <c r="Z42" s="290"/>
      <c r="AA42" s="291"/>
      <c r="AB42" s="292"/>
      <c r="AC42" s="293"/>
      <c r="AD42" s="293"/>
      <c r="AE42" s="294"/>
      <c r="AF42" s="249"/>
      <c r="AG42" s="295">
        <f>IF(OR(AND($E42=TRUE,'[1]Pricing Summary'!$B$33=$E$2),AND($F42=TRUE,'[1]Pricing Summary'!$B$33=$F$2),AND($G42=TRUE,'[1]Pricing Summary'!$B$33=$G$2)),1,0)</f>
        <v>0</v>
      </c>
      <c r="AH42" s="295">
        <f t="shared" si="45"/>
        <v>0</v>
      </c>
      <c r="AI42" s="296">
        <f t="shared" si="11"/>
        <v>0</v>
      </c>
      <c r="AJ42" s="297">
        <f t="shared" si="12"/>
        <v>0</v>
      </c>
      <c r="AK42" s="249"/>
      <c r="AL42" s="298">
        <f t="shared" si="46"/>
        <v>0</v>
      </c>
      <c r="AM42" s="221">
        <f t="shared" si="47"/>
        <v>0</v>
      </c>
      <c r="AN42" s="221">
        <f>MROUND((1+'[1]Core Assumptions'!$D$22)*AM42,'[1]Core Assumptions'!$E$23)</f>
        <v>0</v>
      </c>
      <c r="AO42" s="299">
        <f t="shared" si="48"/>
        <v>0</v>
      </c>
      <c r="AP42" s="300">
        <f>IF(AN$7=0,0,MROUND(AN42/AN$7*AP$8/'[1]Core Assumptions'!$D$28,'[1]Core Assumptions'!$E$23))</f>
        <v>0</v>
      </c>
      <c r="AQ42" s="301">
        <f t="shared" si="13"/>
        <v>0</v>
      </c>
      <c r="AR42" s="302">
        <f t="shared" si="14"/>
        <v>0</v>
      </c>
      <c r="AS42" s="249"/>
      <c r="AT42" s="303">
        <f t="shared" si="15"/>
        <v>0</v>
      </c>
      <c r="AU42" s="267"/>
      <c r="AV42" s="295">
        <f>IF(OR(AND($E42=TRUE,'[1]Pricing Summary'!$B$33="Ultimate"),AND($F42=TRUE,'[1]Pricing Summary'!$B$33="Enhanced"),AND($G42=TRUE,'[1]Pricing Summary'!$B$33="Essential")),1,0)</f>
        <v>0</v>
      </c>
      <c r="AW42" s="304">
        <f t="shared" si="16"/>
        <v>0</v>
      </c>
      <c r="AX42" s="305">
        <f t="shared" si="17"/>
        <v>0</v>
      </c>
      <c r="AY42" s="267"/>
      <c r="AZ42" s="304">
        <f t="shared" si="18"/>
        <v>0</v>
      </c>
      <c r="BA42" s="222">
        <f t="shared" si="19"/>
        <v>0</v>
      </c>
      <c r="BB42" s="306">
        <f t="shared" si="20"/>
        <v>0</v>
      </c>
      <c r="BC42" s="272"/>
      <c r="BD42" s="307">
        <f t="shared" si="21"/>
        <v>0</v>
      </c>
      <c r="BE42" s="308">
        <f t="shared" si="22"/>
        <v>0</v>
      </c>
      <c r="BF42" s="308">
        <f t="shared" si="23"/>
        <v>0</v>
      </c>
      <c r="BG42" s="321">
        <f t="shared" si="24"/>
        <v>0</v>
      </c>
      <c r="BH42" s="249"/>
      <c r="BI42" s="310">
        <f t="shared" si="25"/>
        <v>0</v>
      </c>
      <c r="BJ42" s="311">
        <f t="shared" si="26"/>
        <v>0</v>
      </c>
      <c r="BK42" s="311">
        <f t="shared" si="27"/>
        <v>0</v>
      </c>
      <c r="BL42" s="312">
        <f t="shared" si="28"/>
        <v>0</v>
      </c>
      <c r="BM42" s="249"/>
      <c r="BN42" s="313">
        <f t="shared" si="29"/>
        <v>0</v>
      </c>
      <c r="BO42" s="314">
        <f t="shared" si="30"/>
        <v>0</v>
      </c>
      <c r="BP42" s="314">
        <f t="shared" si="31"/>
        <v>0</v>
      </c>
      <c r="BQ42" s="315">
        <f t="shared" si="32"/>
        <v>0</v>
      </c>
      <c r="BR42" s="249"/>
      <c r="BS42" s="307">
        <f t="shared" si="33"/>
        <v>0</v>
      </c>
      <c r="BT42" s="308">
        <f t="shared" si="34"/>
        <v>0</v>
      </c>
      <c r="BU42" s="308">
        <f t="shared" si="35"/>
        <v>0</v>
      </c>
      <c r="BV42" s="321">
        <f t="shared" si="36"/>
        <v>0</v>
      </c>
      <c r="BW42" s="249"/>
      <c r="BX42" s="310">
        <f t="shared" si="37"/>
        <v>0</v>
      </c>
      <c r="BY42" s="311">
        <f t="shared" si="38"/>
        <v>0</v>
      </c>
      <c r="BZ42" s="311">
        <f t="shared" si="39"/>
        <v>0</v>
      </c>
      <c r="CA42" s="312">
        <f t="shared" si="40"/>
        <v>0</v>
      </c>
      <c r="CB42" s="249"/>
      <c r="CC42" s="313">
        <f t="shared" si="41"/>
        <v>0</v>
      </c>
      <c r="CD42" s="314">
        <f t="shared" si="42"/>
        <v>0</v>
      </c>
      <c r="CE42" s="314">
        <f t="shared" si="43"/>
        <v>0</v>
      </c>
      <c r="CF42" s="315">
        <f t="shared" si="44"/>
        <v>0</v>
      </c>
      <c r="CG42" s="249"/>
      <c r="CH42" s="316"/>
    </row>
    <row r="43" spans="1:86" ht="15.75" hidden="1" customHeight="1" outlineLevel="1" x14ac:dyDescent="0.2">
      <c r="A43" s="242" t="str">
        <f>IF(OR(E43&lt;&gt;FALSE,F43&lt;&gt;FALSE,G43&lt;&gt;FALSE),MAX(A$16:A42)+1,"")</f>
        <v/>
      </c>
      <c r="B43" s="283" t="str">
        <f>IF('[1]Core Assumptions'!B58="","",CONCATENATE('[1]Core Assumptions'!B58," - Federal &amp; State Tax Returns"))</f>
        <v/>
      </c>
      <c r="C43" s="284" t="str">
        <f>IF('[1]Core Assumptions'!B58="","",'[1]Core Assumptions'!B58)</f>
        <v/>
      </c>
      <c r="D43" s="245" t="s">
        <v>11</v>
      </c>
      <c r="E43" s="285" t="b">
        <v>0</v>
      </c>
      <c r="F43" s="286" t="b">
        <v>0</v>
      </c>
      <c r="G43" s="317" t="b">
        <v>0</v>
      </c>
      <c r="H43" s="249"/>
      <c r="I43" s="288">
        <v>1</v>
      </c>
      <c r="J43" s="249"/>
      <c r="K43" s="289"/>
      <c r="L43" s="290"/>
      <c r="M43" s="290"/>
      <c r="N43" s="290"/>
      <c r="O43" s="290"/>
      <c r="P43" s="290"/>
      <c r="Q43" s="290"/>
      <c r="R43" s="290"/>
      <c r="S43" s="290"/>
      <c r="T43" s="290"/>
      <c r="U43" s="289"/>
      <c r="V43" s="290"/>
      <c r="W43" s="290"/>
      <c r="X43" s="290"/>
      <c r="Y43" s="290"/>
      <c r="Z43" s="290"/>
      <c r="AA43" s="291"/>
      <c r="AB43" s="292"/>
      <c r="AC43" s="293"/>
      <c r="AD43" s="293"/>
      <c r="AE43" s="294"/>
      <c r="AF43" s="249"/>
      <c r="AG43" s="295">
        <f>IF(OR(AND($E43=TRUE,'[1]Pricing Summary'!$B$33=$E$2),AND($F43=TRUE,'[1]Pricing Summary'!$B$33=$F$2),AND($G43=TRUE,'[1]Pricing Summary'!$B$33=$G$2)),1,0)</f>
        <v>0</v>
      </c>
      <c r="AH43" s="295">
        <f t="shared" si="45"/>
        <v>0</v>
      </c>
      <c r="AI43" s="296">
        <f t="shared" si="11"/>
        <v>0</v>
      </c>
      <c r="AJ43" s="297">
        <f t="shared" si="12"/>
        <v>0</v>
      </c>
      <c r="AK43" s="249"/>
      <c r="AL43" s="298">
        <f t="shared" si="46"/>
        <v>0</v>
      </c>
      <c r="AM43" s="221">
        <f t="shared" si="47"/>
        <v>0</v>
      </c>
      <c r="AN43" s="221">
        <f>MROUND((1+'[1]Core Assumptions'!$D$22)*AM43,'[1]Core Assumptions'!$E$23)</f>
        <v>0</v>
      </c>
      <c r="AO43" s="299">
        <f t="shared" si="48"/>
        <v>0</v>
      </c>
      <c r="AP43" s="300">
        <f>IF(AN$7=0,0,MROUND(AN43/AN$7*AP$8/'[1]Core Assumptions'!$D$28,'[1]Core Assumptions'!$E$23))</f>
        <v>0</v>
      </c>
      <c r="AQ43" s="301">
        <f t="shared" si="13"/>
        <v>0</v>
      </c>
      <c r="AR43" s="302">
        <f t="shared" si="14"/>
        <v>0</v>
      </c>
      <c r="AS43" s="249"/>
      <c r="AT43" s="303">
        <f t="shared" si="15"/>
        <v>0</v>
      </c>
      <c r="AU43" s="267"/>
      <c r="AV43" s="295">
        <f>IF(OR(AND($E43=TRUE,'[1]Pricing Summary'!$B$33="Ultimate"),AND($F43=TRUE,'[1]Pricing Summary'!$B$33="Enhanced"),AND($G43=TRUE,'[1]Pricing Summary'!$B$33="Essential")),1,0)</f>
        <v>0</v>
      </c>
      <c r="AW43" s="304">
        <f t="shared" si="16"/>
        <v>0</v>
      </c>
      <c r="AX43" s="305">
        <f t="shared" si="17"/>
        <v>0</v>
      </c>
      <c r="AY43" s="267"/>
      <c r="AZ43" s="304">
        <f t="shared" si="18"/>
        <v>0</v>
      </c>
      <c r="BA43" s="222">
        <f t="shared" si="19"/>
        <v>0</v>
      </c>
      <c r="BB43" s="306">
        <f t="shared" si="20"/>
        <v>0</v>
      </c>
      <c r="BC43" s="272"/>
      <c r="BD43" s="307">
        <f t="shared" si="21"/>
        <v>0</v>
      </c>
      <c r="BE43" s="308">
        <f t="shared" si="22"/>
        <v>0</v>
      </c>
      <c r="BF43" s="308">
        <f t="shared" si="23"/>
        <v>0</v>
      </c>
      <c r="BG43" s="321">
        <f t="shared" si="24"/>
        <v>0</v>
      </c>
      <c r="BH43" s="249"/>
      <c r="BI43" s="310">
        <f t="shared" si="25"/>
        <v>0</v>
      </c>
      <c r="BJ43" s="311">
        <f t="shared" si="26"/>
        <v>0</v>
      </c>
      <c r="BK43" s="311">
        <f t="shared" si="27"/>
        <v>0</v>
      </c>
      <c r="BL43" s="312">
        <f t="shared" si="28"/>
        <v>0</v>
      </c>
      <c r="BM43" s="249"/>
      <c r="BN43" s="313">
        <f t="shared" si="29"/>
        <v>0</v>
      </c>
      <c r="BO43" s="314">
        <f t="shared" si="30"/>
        <v>0</v>
      </c>
      <c r="BP43" s="314">
        <f t="shared" si="31"/>
        <v>0</v>
      </c>
      <c r="BQ43" s="315">
        <f t="shared" si="32"/>
        <v>0</v>
      </c>
      <c r="BR43" s="249"/>
      <c r="BS43" s="307">
        <f t="shared" si="33"/>
        <v>0</v>
      </c>
      <c r="BT43" s="308">
        <f t="shared" si="34"/>
        <v>0</v>
      </c>
      <c r="BU43" s="308">
        <f t="shared" si="35"/>
        <v>0</v>
      </c>
      <c r="BV43" s="321">
        <f t="shared" si="36"/>
        <v>0</v>
      </c>
      <c r="BW43" s="249"/>
      <c r="BX43" s="310">
        <f t="shared" si="37"/>
        <v>0</v>
      </c>
      <c r="BY43" s="311">
        <f t="shared" si="38"/>
        <v>0</v>
      </c>
      <c r="BZ43" s="311">
        <f t="shared" si="39"/>
        <v>0</v>
      </c>
      <c r="CA43" s="312">
        <f t="shared" si="40"/>
        <v>0</v>
      </c>
      <c r="CB43" s="249"/>
      <c r="CC43" s="313">
        <f t="shared" si="41"/>
        <v>0</v>
      </c>
      <c r="CD43" s="314">
        <f t="shared" si="42"/>
        <v>0</v>
      </c>
      <c r="CE43" s="314">
        <f t="shared" si="43"/>
        <v>0</v>
      </c>
      <c r="CF43" s="315">
        <f t="shared" si="44"/>
        <v>0</v>
      </c>
      <c r="CG43" s="249"/>
      <c r="CH43" s="316"/>
    </row>
    <row r="44" spans="1:86" ht="15.75" hidden="1" customHeight="1" outlineLevel="1" x14ac:dyDescent="0.2">
      <c r="A44" s="242" t="str">
        <f>IF(OR(E44&lt;&gt;FALSE,F44&lt;&gt;FALSE,G44&lt;&gt;FALSE),MAX(A$16:A43)+1,"")</f>
        <v/>
      </c>
      <c r="B44" s="283" t="str">
        <f>IF('[1]Core Assumptions'!B59="","",CONCATENATE('[1]Core Assumptions'!B59," - Federal &amp; State Tax Returns"))</f>
        <v/>
      </c>
      <c r="C44" s="284" t="str">
        <f>IF('[1]Core Assumptions'!B59="","",'[1]Core Assumptions'!B59)</f>
        <v/>
      </c>
      <c r="D44" s="245" t="s">
        <v>11</v>
      </c>
      <c r="E44" s="285" t="b">
        <v>0</v>
      </c>
      <c r="F44" s="286" t="b">
        <v>0</v>
      </c>
      <c r="G44" s="317" t="b">
        <v>0</v>
      </c>
      <c r="H44" s="249"/>
      <c r="I44" s="288">
        <v>1</v>
      </c>
      <c r="J44" s="249"/>
      <c r="K44" s="289"/>
      <c r="L44" s="290"/>
      <c r="M44" s="290"/>
      <c r="N44" s="290"/>
      <c r="O44" s="290"/>
      <c r="P44" s="290"/>
      <c r="Q44" s="290"/>
      <c r="R44" s="290"/>
      <c r="S44" s="290"/>
      <c r="T44" s="290"/>
      <c r="U44" s="289"/>
      <c r="V44" s="290"/>
      <c r="W44" s="290"/>
      <c r="X44" s="290"/>
      <c r="Y44" s="290"/>
      <c r="Z44" s="290"/>
      <c r="AA44" s="291"/>
      <c r="AB44" s="292"/>
      <c r="AC44" s="293"/>
      <c r="AD44" s="293"/>
      <c r="AE44" s="294"/>
      <c r="AF44" s="249"/>
      <c r="AG44" s="295">
        <f>IF(OR(AND($E44=TRUE,'[1]Pricing Summary'!$B$33=$E$2),AND($F44=TRUE,'[1]Pricing Summary'!$B$33=$F$2),AND($G44=TRUE,'[1]Pricing Summary'!$B$33=$G$2)),1,0)</f>
        <v>0</v>
      </c>
      <c r="AH44" s="295">
        <f t="shared" si="45"/>
        <v>0</v>
      </c>
      <c r="AI44" s="296">
        <f t="shared" si="11"/>
        <v>0</v>
      </c>
      <c r="AJ44" s="297">
        <f t="shared" si="12"/>
        <v>0</v>
      </c>
      <c r="AK44" s="249"/>
      <c r="AL44" s="298">
        <f t="shared" si="46"/>
        <v>0</v>
      </c>
      <c r="AM44" s="221">
        <f t="shared" si="47"/>
        <v>0</v>
      </c>
      <c r="AN44" s="221">
        <f>MROUND((1+'[1]Core Assumptions'!$D$22)*AM44,'[1]Core Assumptions'!$E$23)</f>
        <v>0</v>
      </c>
      <c r="AO44" s="299">
        <f t="shared" si="48"/>
        <v>0</v>
      </c>
      <c r="AP44" s="300">
        <f>IF(AN$7=0,0,MROUND(AN44/AN$7*AP$8/'[1]Core Assumptions'!$D$28,'[1]Core Assumptions'!$E$23))</f>
        <v>0</v>
      </c>
      <c r="AQ44" s="301">
        <f t="shared" si="13"/>
        <v>0</v>
      </c>
      <c r="AR44" s="302">
        <f t="shared" si="14"/>
        <v>0</v>
      </c>
      <c r="AS44" s="249"/>
      <c r="AT44" s="303">
        <f t="shared" si="15"/>
        <v>0</v>
      </c>
      <c r="AU44" s="267"/>
      <c r="AV44" s="295">
        <f>IF(OR(AND($E44=TRUE,'[1]Pricing Summary'!$B$33="Ultimate"),AND($F44=TRUE,'[1]Pricing Summary'!$B$33="Enhanced"),AND($G44=TRUE,'[1]Pricing Summary'!$B$33="Essential")),1,0)</f>
        <v>0</v>
      </c>
      <c r="AW44" s="304">
        <f t="shared" si="16"/>
        <v>0</v>
      </c>
      <c r="AX44" s="305">
        <f t="shared" si="17"/>
        <v>0</v>
      </c>
      <c r="AY44" s="267"/>
      <c r="AZ44" s="304">
        <f t="shared" si="18"/>
        <v>0</v>
      </c>
      <c r="BA44" s="222">
        <f t="shared" si="19"/>
        <v>0</v>
      </c>
      <c r="BB44" s="306">
        <f t="shared" si="20"/>
        <v>0</v>
      </c>
      <c r="BC44" s="272"/>
      <c r="BD44" s="307">
        <f t="shared" si="21"/>
        <v>0</v>
      </c>
      <c r="BE44" s="308">
        <f t="shared" si="22"/>
        <v>0</v>
      </c>
      <c r="BF44" s="308">
        <f t="shared" si="23"/>
        <v>0</v>
      </c>
      <c r="BG44" s="321">
        <f t="shared" si="24"/>
        <v>0</v>
      </c>
      <c r="BH44" s="249"/>
      <c r="BI44" s="310">
        <f t="shared" si="25"/>
        <v>0</v>
      </c>
      <c r="BJ44" s="311">
        <f t="shared" si="26"/>
        <v>0</v>
      </c>
      <c r="BK44" s="311">
        <f t="shared" si="27"/>
        <v>0</v>
      </c>
      <c r="BL44" s="312">
        <f t="shared" si="28"/>
        <v>0</v>
      </c>
      <c r="BM44" s="249"/>
      <c r="BN44" s="313">
        <f t="shared" si="29"/>
        <v>0</v>
      </c>
      <c r="BO44" s="314">
        <f t="shared" si="30"/>
        <v>0</v>
      </c>
      <c r="BP44" s="314">
        <f t="shared" si="31"/>
        <v>0</v>
      </c>
      <c r="BQ44" s="315">
        <f t="shared" si="32"/>
        <v>0</v>
      </c>
      <c r="BR44" s="249"/>
      <c r="BS44" s="307">
        <f t="shared" si="33"/>
        <v>0</v>
      </c>
      <c r="BT44" s="308">
        <f t="shared" si="34"/>
        <v>0</v>
      </c>
      <c r="BU44" s="308">
        <f t="shared" si="35"/>
        <v>0</v>
      </c>
      <c r="BV44" s="321">
        <f t="shared" si="36"/>
        <v>0</v>
      </c>
      <c r="BW44" s="249"/>
      <c r="BX44" s="310">
        <f t="shared" si="37"/>
        <v>0</v>
      </c>
      <c r="BY44" s="311">
        <f t="shared" si="38"/>
        <v>0</v>
      </c>
      <c r="BZ44" s="311">
        <f t="shared" si="39"/>
        <v>0</v>
      </c>
      <c r="CA44" s="312">
        <f t="shared" si="40"/>
        <v>0</v>
      </c>
      <c r="CB44" s="249"/>
      <c r="CC44" s="313">
        <f t="shared" si="41"/>
        <v>0</v>
      </c>
      <c r="CD44" s="314">
        <f t="shared" si="42"/>
        <v>0</v>
      </c>
      <c r="CE44" s="314">
        <f t="shared" si="43"/>
        <v>0</v>
      </c>
      <c r="CF44" s="315">
        <f t="shared" si="44"/>
        <v>0</v>
      </c>
      <c r="CG44" s="249"/>
      <c r="CH44" s="316"/>
    </row>
    <row r="45" spans="1:86" ht="15.75" hidden="1" customHeight="1" outlineLevel="1" x14ac:dyDescent="0.2">
      <c r="A45" s="242" t="str">
        <f>IF(OR(E45&lt;&gt;FALSE,F45&lt;&gt;FALSE,G45&lt;&gt;FALSE),MAX(A$16:A44)+1,"")</f>
        <v/>
      </c>
      <c r="B45" s="283" t="str">
        <f>IF('[1]Core Assumptions'!B60="","",CONCATENATE('[1]Core Assumptions'!B60," - Federal &amp; State Tax Returns"))</f>
        <v/>
      </c>
      <c r="C45" s="284" t="str">
        <f>IF('[1]Core Assumptions'!B60="","",'[1]Core Assumptions'!B60)</f>
        <v/>
      </c>
      <c r="D45" s="245" t="s">
        <v>11</v>
      </c>
      <c r="E45" s="285" t="b">
        <v>0</v>
      </c>
      <c r="F45" s="286" t="b">
        <v>0</v>
      </c>
      <c r="G45" s="317" t="b">
        <v>0</v>
      </c>
      <c r="H45" s="249"/>
      <c r="I45" s="288">
        <v>1</v>
      </c>
      <c r="J45" s="249"/>
      <c r="K45" s="289"/>
      <c r="L45" s="290"/>
      <c r="M45" s="290"/>
      <c r="N45" s="290"/>
      <c r="O45" s="290"/>
      <c r="P45" s="290"/>
      <c r="Q45" s="290"/>
      <c r="R45" s="290"/>
      <c r="S45" s="290"/>
      <c r="T45" s="290"/>
      <c r="U45" s="289"/>
      <c r="V45" s="290"/>
      <c r="W45" s="290"/>
      <c r="X45" s="290"/>
      <c r="Y45" s="290"/>
      <c r="Z45" s="290"/>
      <c r="AA45" s="291"/>
      <c r="AB45" s="292"/>
      <c r="AC45" s="293"/>
      <c r="AD45" s="293"/>
      <c r="AE45" s="294"/>
      <c r="AF45" s="249"/>
      <c r="AG45" s="295">
        <f>IF(OR(AND($E45=TRUE,'[1]Pricing Summary'!$B$33=$E$2),AND($F45=TRUE,'[1]Pricing Summary'!$B$33=$F$2),AND($G45=TRUE,'[1]Pricing Summary'!$B$33=$G$2)),1,0)</f>
        <v>0</v>
      </c>
      <c r="AH45" s="295">
        <f t="shared" si="45"/>
        <v>0</v>
      </c>
      <c r="AI45" s="296">
        <f t="shared" si="11"/>
        <v>0</v>
      </c>
      <c r="AJ45" s="297">
        <f t="shared" si="12"/>
        <v>0</v>
      </c>
      <c r="AK45" s="249"/>
      <c r="AL45" s="298">
        <f t="shared" si="46"/>
        <v>0</v>
      </c>
      <c r="AM45" s="221">
        <f t="shared" si="47"/>
        <v>0</v>
      </c>
      <c r="AN45" s="221">
        <f>MROUND((1+'[1]Core Assumptions'!$D$22)*AM45,'[1]Core Assumptions'!$E$23)</f>
        <v>0</v>
      </c>
      <c r="AO45" s="299">
        <f t="shared" si="48"/>
        <v>0</v>
      </c>
      <c r="AP45" s="300">
        <f>IF(AN$7=0,0,MROUND(AN45/AN$7*AP$8/'[1]Core Assumptions'!$D$28,'[1]Core Assumptions'!$E$23))</f>
        <v>0</v>
      </c>
      <c r="AQ45" s="301">
        <f t="shared" si="13"/>
        <v>0</v>
      </c>
      <c r="AR45" s="302">
        <f t="shared" si="14"/>
        <v>0</v>
      </c>
      <c r="AS45" s="249"/>
      <c r="AT45" s="303">
        <f t="shared" si="15"/>
        <v>0</v>
      </c>
      <c r="AU45" s="267"/>
      <c r="AV45" s="295">
        <f>IF(OR(AND($E45=TRUE,'[1]Pricing Summary'!$B$33="Ultimate"),AND($F45=TRUE,'[1]Pricing Summary'!$B$33="Enhanced"),AND($G45=TRUE,'[1]Pricing Summary'!$B$33="Essential")),1,0)</f>
        <v>0</v>
      </c>
      <c r="AW45" s="304">
        <f t="shared" si="16"/>
        <v>0</v>
      </c>
      <c r="AX45" s="305">
        <f t="shared" si="17"/>
        <v>0</v>
      </c>
      <c r="AY45" s="267"/>
      <c r="AZ45" s="304">
        <f t="shared" si="18"/>
        <v>0</v>
      </c>
      <c r="BA45" s="222">
        <f t="shared" si="19"/>
        <v>0</v>
      </c>
      <c r="BB45" s="306">
        <f t="shared" si="20"/>
        <v>0</v>
      </c>
      <c r="BC45" s="272"/>
      <c r="BD45" s="307">
        <f t="shared" si="21"/>
        <v>0</v>
      </c>
      <c r="BE45" s="308">
        <f t="shared" si="22"/>
        <v>0</v>
      </c>
      <c r="BF45" s="308">
        <f t="shared" si="23"/>
        <v>0</v>
      </c>
      <c r="BG45" s="321">
        <f t="shared" si="24"/>
        <v>0</v>
      </c>
      <c r="BH45" s="249"/>
      <c r="BI45" s="310">
        <f t="shared" si="25"/>
        <v>0</v>
      </c>
      <c r="BJ45" s="311">
        <f t="shared" si="26"/>
        <v>0</v>
      </c>
      <c r="BK45" s="311">
        <f t="shared" si="27"/>
        <v>0</v>
      </c>
      <c r="BL45" s="312">
        <f t="shared" si="28"/>
        <v>0</v>
      </c>
      <c r="BM45" s="249"/>
      <c r="BN45" s="313">
        <f t="shared" si="29"/>
        <v>0</v>
      </c>
      <c r="BO45" s="314">
        <f t="shared" si="30"/>
        <v>0</v>
      </c>
      <c r="BP45" s="314">
        <f t="shared" si="31"/>
        <v>0</v>
      </c>
      <c r="BQ45" s="315">
        <f t="shared" si="32"/>
        <v>0</v>
      </c>
      <c r="BR45" s="249"/>
      <c r="BS45" s="307">
        <f t="shared" si="33"/>
        <v>0</v>
      </c>
      <c r="BT45" s="308">
        <f t="shared" si="34"/>
        <v>0</v>
      </c>
      <c r="BU45" s="308">
        <f t="shared" si="35"/>
        <v>0</v>
      </c>
      <c r="BV45" s="321">
        <f t="shared" si="36"/>
        <v>0</v>
      </c>
      <c r="BW45" s="249"/>
      <c r="BX45" s="310">
        <f t="shared" si="37"/>
        <v>0</v>
      </c>
      <c r="BY45" s="311">
        <f t="shared" si="38"/>
        <v>0</v>
      </c>
      <c r="BZ45" s="311">
        <f t="shared" si="39"/>
        <v>0</v>
      </c>
      <c r="CA45" s="312">
        <f t="shared" si="40"/>
        <v>0</v>
      </c>
      <c r="CB45" s="249"/>
      <c r="CC45" s="313">
        <f t="shared" si="41"/>
        <v>0</v>
      </c>
      <c r="CD45" s="314">
        <f t="shared" si="42"/>
        <v>0</v>
      </c>
      <c r="CE45" s="314">
        <f t="shared" si="43"/>
        <v>0</v>
      </c>
      <c r="CF45" s="315">
        <f t="shared" si="44"/>
        <v>0</v>
      </c>
      <c r="CG45" s="249"/>
      <c r="CH45" s="316"/>
    </row>
    <row r="46" spans="1:86" ht="15.75" hidden="1" customHeight="1" outlineLevel="1" x14ac:dyDescent="0.2">
      <c r="A46" s="242" t="str">
        <f>IF(OR(E46&lt;&gt;FALSE,F46&lt;&gt;FALSE,G46&lt;&gt;FALSE),MAX(A$16:A45)+1,"")</f>
        <v/>
      </c>
      <c r="B46" s="283" t="str">
        <f>IF('[1]Core Assumptions'!B61="","",CONCATENATE('[1]Core Assumptions'!B61," - Federal &amp; State Tax Returns"))</f>
        <v/>
      </c>
      <c r="C46" s="284" t="str">
        <f>IF('[1]Core Assumptions'!B61="","",'[1]Core Assumptions'!B61)</f>
        <v/>
      </c>
      <c r="D46" s="245" t="s">
        <v>11</v>
      </c>
      <c r="E46" s="285" t="b">
        <v>0</v>
      </c>
      <c r="F46" s="286" t="b">
        <v>0</v>
      </c>
      <c r="G46" s="317" t="b">
        <v>0</v>
      </c>
      <c r="H46" s="249"/>
      <c r="I46" s="288">
        <v>1</v>
      </c>
      <c r="J46" s="249"/>
      <c r="K46" s="289"/>
      <c r="L46" s="290"/>
      <c r="M46" s="290"/>
      <c r="N46" s="290"/>
      <c r="O46" s="290"/>
      <c r="P46" s="290"/>
      <c r="Q46" s="290"/>
      <c r="R46" s="290"/>
      <c r="S46" s="290"/>
      <c r="T46" s="290"/>
      <c r="U46" s="289"/>
      <c r="V46" s="290"/>
      <c r="W46" s="290"/>
      <c r="X46" s="290"/>
      <c r="Y46" s="290"/>
      <c r="Z46" s="290"/>
      <c r="AA46" s="291"/>
      <c r="AB46" s="292"/>
      <c r="AC46" s="293"/>
      <c r="AD46" s="293"/>
      <c r="AE46" s="294"/>
      <c r="AF46" s="249"/>
      <c r="AG46" s="295">
        <f>IF(OR(AND($E46=TRUE,'[1]Pricing Summary'!$B$33=$E$2),AND($F46=TRUE,'[1]Pricing Summary'!$B$33=$F$2),AND($G46=TRUE,'[1]Pricing Summary'!$B$33=$G$2)),1,0)</f>
        <v>0</v>
      </c>
      <c r="AH46" s="295">
        <f t="shared" si="45"/>
        <v>0</v>
      </c>
      <c r="AI46" s="296">
        <f t="shared" si="11"/>
        <v>0</v>
      </c>
      <c r="AJ46" s="297">
        <f t="shared" si="12"/>
        <v>0</v>
      </c>
      <c r="AK46" s="249"/>
      <c r="AL46" s="298">
        <f t="shared" si="46"/>
        <v>0</v>
      </c>
      <c r="AM46" s="221">
        <f t="shared" si="47"/>
        <v>0</v>
      </c>
      <c r="AN46" s="221">
        <f>MROUND((1+'[1]Core Assumptions'!$D$22)*AM46,'[1]Core Assumptions'!$E$23)</f>
        <v>0</v>
      </c>
      <c r="AO46" s="299">
        <f t="shared" si="48"/>
        <v>0</v>
      </c>
      <c r="AP46" s="300">
        <f>IF(AN$7=0,0,MROUND(AN46/AN$7*AP$8/'[1]Core Assumptions'!$D$28,'[1]Core Assumptions'!$E$23))</f>
        <v>0</v>
      </c>
      <c r="AQ46" s="301">
        <f t="shared" si="13"/>
        <v>0</v>
      </c>
      <c r="AR46" s="302">
        <f t="shared" si="14"/>
        <v>0</v>
      </c>
      <c r="AS46" s="249"/>
      <c r="AT46" s="303">
        <f t="shared" si="15"/>
        <v>0</v>
      </c>
      <c r="AU46" s="267"/>
      <c r="AV46" s="295">
        <f>IF(OR(AND($E46=TRUE,'[1]Pricing Summary'!$B$33="Ultimate"),AND($F46=TRUE,'[1]Pricing Summary'!$B$33="Enhanced"),AND($G46=TRUE,'[1]Pricing Summary'!$B$33="Essential")),1,0)</f>
        <v>0</v>
      </c>
      <c r="AW46" s="304">
        <f t="shared" si="16"/>
        <v>0</v>
      </c>
      <c r="AX46" s="305">
        <f t="shared" si="17"/>
        <v>0</v>
      </c>
      <c r="AY46" s="267"/>
      <c r="AZ46" s="304">
        <f t="shared" si="18"/>
        <v>0</v>
      </c>
      <c r="BA46" s="222">
        <f t="shared" si="19"/>
        <v>0</v>
      </c>
      <c r="BB46" s="306">
        <f t="shared" si="20"/>
        <v>0</v>
      </c>
      <c r="BC46" s="272"/>
      <c r="BD46" s="307">
        <f t="shared" si="21"/>
        <v>0</v>
      </c>
      <c r="BE46" s="308">
        <f t="shared" si="22"/>
        <v>0</v>
      </c>
      <c r="BF46" s="308">
        <f t="shared" si="23"/>
        <v>0</v>
      </c>
      <c r="BG46" s="321">
        <f t="shared" si="24"/>
        <v>0</v>
      </c>
      <c r="BH46" s="249"/>
      <c r="BI46" s="310">
        <f t="shared" si="25"/>
        <v>0</v>
      </c>
      <c r="BJ46" s="311">
        <f t="shared" si="26"/>
        <v>0</v>
      </c>
      <c r="BK46" s="311">
        <f t="shared" si="27"/>
        <v>0</v>
      </c>
      <c r="BL46" s="312">
        <f t="shared" si="28"/>
        <v>0</v>
      </c>
      <c r="BM46" s="249"/>
      <c r="BN46" s="313">
        <f t="shared" si="29"/>
        <v>0</v>
      </c>
      <c r="BO46" s="314">
        <f t="shared" si="30"/>
        <v>0</v>
      </c>
      <c r="BP46" s="314">
        <f t="shared" si="31"/>
        <v>0</v>
      </c>
      <c r="BQ46" s="315">
        <f t="shared" si="32"/>
        <v>0</v>
      </c>
      <c r="BR46" s="249"/>
      <c r="BS46" s="307">
        <f t="shared" si="33"/>
        <v>0</v>
      </c>
      <c r="BT46" s="308">
        <f t="shared" si="34"/>
        <v>0</v>
      </c>
      <c r="BU46" s="308">
        <f t="shared" si="35"/>
        <v>0</v>
      </c>
      <c r="BV46" s="321">
        <f t="shared" si="36"/>
        <v>0</v>
      </c>
      <c r="BW46" s="249"/>
      <c r="BX46" s="310">
        <f t="shared" si="37"/>
        <v>0</v>
      </c>
      <c r="BY46" s="311">
        <f t="shared" si="38"/>
        <v>0</v>
      </c>
      <c r="BZ46" s="311">
        <f t="shared" si="39"/>
        <v>0</v>
      </c>
      <c r="CA46" s="312">
        <f t="shared" si="40"/>
        <v>0</v>
      </c>
      <c r="CB46" s="249"/>
      <c r="CC46" s="313">
        <f t="shared" si="41"/>
        <v>0</v>
      </c>
      <c r="CD46" s="314">
        <f t="shared" si="42"/>
        <v>0</v>
      </c>
      <c r="CE46" s="314">
        <f t="shared" si="43"/>
        <v>0</v>
      </c>
      <c r="CF46" s="315">
        <f t="shared" si="44"/>
        <v>0</v>
      </c>
      <c r="CG46" s="249"/>
      <c r="CH46" s="316"/>
    </row>
    <row r="47" spans="1:86" ht="15.75" hidden="1" customHeight="1" outlineLevel="1" x14ac:dyDescent="0.2">
      <c r="A47" s="242" t="str">
        <f>IF(OR(E47&lt;&gt;FALSE,F47&lt;&gt;FALSE,G47&lt;&gt;FALSE),MAX(A$16:A46)+1,"")</f>
        <v/>
      </c>
      <c r="B47" s="283" t="str">
        <f>IF('[1]Core Assumptions'!B62="","",CONCATENATE('[1]Core Assumptions'!B62," - Federal &amp; State Tax Returns"))</f>
        <v/>
      </c>
      <c r="C47" s="284" t="str">
        <f>IF('[1]Core Assumptions'!B62="","",'[1]Core Assumptions'!B62)</f>
        <v/>
      </c>
      <c r="D47" s="245" t="s">
        <v>11</v>
      </c>
      <c r="E47" s="285" t="b">
        <v>0</v>
      </c>
      <c r="F47" s="286" t="b">
        <v>0</v>
      </c>
      <c r="G47" s="317" t="b">
        <v>0</v>
      </c>
      <c r="H47" s="249"/>
      <c r="I47" s="288">
        <v>1</v>
      </c>
      <c r="J47" s="249"/>
      <c r="K47" s="289"/>
      <c r="L47" s="290"/>
      <c r="M47" s="290"/>
      <c r="N47" s="290"/>
      <c r="O47" s="290"/>
      <c r="P47" s="290"/>
      <c r="Q47" s="290"/>
      <c r="R47" s="290"/>
      <c r="S47" s="290"/>
      <c r="T47" s="290"/>
      <c r="U47" s="289"/>
      <c r="V47" s="290"/>
      <c r="W47" s="290"/>
      <c r="X47" s="290"/>
      <c r="Y47" s="290"/>
      <c r="Z47" s="290"/>
      <c r="AA47" s="291"/>
      <c r="AB47" s="292"/>
      <c r="AC47" s="293"/>
      <c r="AD47" s="293"/>
      <c r="AE47" s="294"/>
      <c r="AF47" s="249"/>
      <c r="AG47" s="295">
        <f>IF(OR(AND($E47=TRUE,'[1]Pricing Summary'!$B$33=$E$2),AND($F47=TRUE,'[1]Pricing Summary'!$B$33=$F$2),AND($G47=TRUE,'[1]Pricing Summary'!$B$33=$G$2)),1,0)</f>
        <v>0</v>
      </c>
      <c r="AH47" s="295">
        <f t="shared" si="45"/>
        <v>0</v>
      </c>
      <c r="AI47" s="296">
        <f t="shared" si="11"/>
        <v>0</v>
      </c>
      <c r="AJ47" s="297">
        <f t="shared" si="12"/>
        <v>0</v>
      </c>
      <c r="AK47" s="249"/>
      <c r="AL47" s="298">
        <f t="shared" si="46"/>
        <v>0</v>
      </c>
      <c r="AM47" s="221">
        <f t="shared" si="47"/>
        <v>0</v>
      </c>
      <c r="AN47" s="221">
        <f>MROUND((1+'[1]Core Assumptions'!$D$22)*AM47,'[1]Core Assumptions'!$E$23)</f>
        <v>0</v>
      </c>
      <c r="AO47" s="299">
        <f t="shared" si="48"/>
        <v>0</v>
      </c>
      <c r="AP47" s="300">
        <f>IF(AN$7=0,0,MROUND(AN47/AN$7*AP$8/'[1]Core Assumptions'!$D$28,'[1]Core Assumptions'!$E$23))</f>
        <v>0</v>
      </c>
      <c r="AQ47" s="301">
        <f t="shared" si="13"/>
        <v>0</v>
      </c>
      <c r="AR47" s="302">
        <f t="shared" si="14"/>
        <v>0</v>
      </c>
      <c r="AS47" s="249"/>
      <c r="AT47" s="303">
        <f t="shared" si="15"/>
        <v>0</v>
      </c>
      <c r="AU47" s="267"/>
      <c r="AV47" s="295">
        <f>IF(OR(AND($E47=TRUE,'[1]Pricing Summary'!$B$33="Ultimate"),AND($F47=TRUE,'[1]Pricing Summary'!$B$33="Enhanced"),AND($G47=TRUE,'[1]Pricing Summary'!$B$33="Essential")),1,0)</f>
        <v>0</v>
      </c>
      <c r="AW47" s="304">
        <f t="shared" si="16"/>
        <v>0</v>
      </c>
      <c r="AX47" s="305">
        <f t="shared" si="17"/>
        <v>0</v>
      </c>
      <c r="AY47" s="267"/>
      <c r="AZ47" s="304">
        <f t="shared" si="18"/>
        <v>0</v>
      </c>
      <c r="BA47" s="222">
        <f t="shared" si="19"/>
        <v>0</v>
      </c>
      <c r="BB47" s="306">
        <f t="shared" si="20"/>
        <v>0</v>
      </c>
      <c r="BC47" s="272"/>
      <c r="BD47" s="307">
        <f t="shared" si="21"/>
        <v>0</v>
      </c>
      <c r="BE47" s="308">
        <f t="shared" si="22"/>
        <v>0</v>
      </c>
      <c r="BF47" s="308">
        <f t="shared" si="23"/>
        <v>0</v>
      </c>
      <c r="BG47" s="321">
        <f t="shared" si="24"/>
        <v>0</v>
      </c>
      <c r="BH47" s="249"/>
      <c r="BI47" s="310">
        <f t="shared" si="25"/>
        <v>0</v>
      </c>
      <c r="BJ47" s="311">
        <f t="shared" si="26"/>
        <v>0</v>
      </c>
      <c r="BK47" s="311">
        <f t="shared" si="27"/>
        <v>0</v>
      </c>
      <c r="BL47" s="312">
        <f t="shared" si="28"/>
        <v>0</v>
      </c>
      <c r="BM47" s="249"/>
      <c r="BN47" s="313">
        <f t="shared" si="29"/>
        <v>0</v>
      </c>
      <c r="BO47" s="314">
        <f t="shared" si="30"/>
        <v>0</v>
      </c>
      <c r="BP47" s="314">
        <f t="shared" si="31"/>
        <v>0</v>
      </c>
      <c r="BQ47" s="315">
        <f t="shared" si="32"/>
        <v>0</v>
      </c>
      <c r="BR47" s="249"/>
      <c r="BS47" s="307">
        <f t="shared" si="33"/>
        <v>0</v>
      </c>
      <c r="BT47" s="308">
        <f t="shared" si="34"/>
        <v>0</v>
      </c>
      <c r="BU47" s="308">
        <f t="shared" si="35"/>
        <v>0</v>
      </c>
      <c r="BV47" s="321">
        <f t="shared" si="36"/>
        <v>0</v>
      </c>
      <c r="BW47" s="249"/>
      <c r="BX47" s="310">
        <f t="shared" si="37"/>
        <v>0</v>
      </c>
      <c r="BY47" s="311">
        <f t="shared" si="38"/>
        <v>0</v>
      </c>
      <c r="BZ47" s="311">
        <f t="shared" si="39"/>
        <v>0</v>
      </c>
      <c r="CA47" s="312">
        <f t="shared" si="40"/>
        <v>0</v>
      </c>
      <c r="CB47" s="249"/>
      <c r="CC47" s="313">
        <f t="shared" si="41"/>
        <v>0</v>
      </c>
      <c r="CD47" s="314">
        <f t="shared" si="42"/>
        <v>0</v>
      </c>
      <c r="CE47" s="314">
        <f t="shared" si="43"/>
        <v>0</v>
      </c>
      <c r="CF47" s="315">
        <f t="shared" si="44"/>
        <v>0</v>
      </c>
      <c r="CG47" s="249"/>
      <c r="CH47" s="316"/>
    </row>
    <row r="48" spans="1:86" ht="15.75" hidden="1" customHeight="1" outlineLevel="1" x14ac:dyDescent="0.2">
      <c r="A48" s="242" t="str">
        <f>IF(OR(E48&lt;&gt;FALSE,F48&lt;&gt;FALSE,G48&lt;&gt;FALSE),MAX(A$16:A47)+1,"")</f>
        <v/>
      </c>
      <c r="B48" s="283" t="str">
        <f>IF('[1]Core Assumptions'!B63="","",CONCATENATE('[1]Core Assumptions'!B63," - Federal &amp; State Tax Returns"))</f>
        <v/>
      </c>
      <c r="C48" s="284" t="str">
        <f>IF('[1]Core Assumptions'!B63="","",'[1]Core Assumptions'!B63)</f>
        <v/>
      </c>
      <c r="D48" s="245" t="s">
        <v>11</v>
      </c>
      <c r="E48" s="285" t="b">
        <v>0</v>
      </c>
      <c r="F48" s="286" t="b">
        <v>0</v>
      </c>
      <c r="G48" s="317" t="b">
        <v>0</v>
      </c>
      <c r="H48" s="249"/>
      <c r="I48" s="288">
        <v>1</v>
      </c>
      <c r="J48" s="249"/>
      <c r="K48" s="289"/>
      <c r="L48" s="290"/>
      <c r="M48" s="290"/>
      <c r="N48" s="290"/>
      <c r="O48" s="290"/>
      <c r="P48" s="290"/>
      <c r="Q48" s="290"/>
      <c r="R48" s="290"/>
      <c r="S48" s="290"/>
      <c r="T48" s="290"/>
      <c r="U48" s="289"/>
      <c r="V48" s="290"/>
      <c r="W48" s="290"/>
      <c r="X48" s="290"/>
      <c r="Y48" s="290"/>
      <c r="Z48" s="290"/>
      <c r="AA48" s="291"/>
      <c r="AB48" s="292"/>
      <c r="AC48" s="293"/>
      <c r="AD48" s="293"/>
      <c r="AE48" s="294"/>
      <c r="AF48" s="249"/>
      <c r="AG48" s="295">
        <f>IF(OR(AND($E48=TRUE,'[1]Pricing Summary'!$B$33=$E$2),AND($F48=TRUE,'[1]Pricing Summary'!$B$33=$F$2),AND($G48=TRUE,'[1]Pricing Summary'!$B$33=$G$2)),1,0)</f>
        <v>0</v>
      </c>
      <c r="AH48" s="295">
        <f t="shared" si="45"/>
        <v>0</v>
      </c>
      <c r="AI48" s="296">
        <f t="shared" si="11"/>
        <v>0</v>
      </c>
      <c r="AJ48" s="297">
        <f t="shared" si="12"/>
        <v>0</v>
      </c>
      <c r="AK48" s="249"/>
      <c r="AL48" s="298">
        <f t="shared" si="46"/>
        <v>0</v>
      </c>
      <c r="AM48" s="221">
        <f t="shared" si="47"/>
        <v>0</v>
      </c>
      <c r="AN48" s="221">
        <f>MROUND((1+'[1]Core Assumptions'!$D$22)*AM48,'[1]Core Assumptions'!$E$23)</f>
        <v>0</v>
      </c>
      <c r="AO48" s="299">
        <f t="shared" si="48"/>
        <v>0</v>
      </c>
      <c r="AP48" s="300">
        <f>IF(AN$7=0,0,MROUND(AN48/AN$7*AP$8/'[1]Core Assumptions'!$D$28,'[1]Core Assumptions'!$E$23))</f>
        <v>0</v>
      </c>
      <c r="AQ48" s="301">
        <f t="shared" si="13"/>
        <v>0</v>
      </c>
      <c r="AR48" s="302">
        <f t="shared" si="14"/>
        <v>0</v>
      </c>
      <c r="AS48" s="249"/>
      <c r="AT48" s="303">
        <f t="shared" si="15"/>
        <v>0</v>
      </c>
      <c r="AU48" s="267"/>
      <c r="AV48" s="295">
        <f>IF(OR(AND($E48=TRUE,'[1]Pricing Summary'!$B$33="Ultimate"),AND($F48=TRUE,'[1]Pricing Summary'!$B$33="Enhanced"),AND($G48=TRUE,'[1]Pricing Summary'!$B$33="Essential")),1,0)</f>
        <v>0</v>
      </c>
      <c r="AW48" s="304">
        <f t="shared" si="16"/>
        <v>0</v>
      </c>
      <c r="AX48" s="305">
        <f t="shared" si="17"/>
        <v>0</v>
      </c>
      <c r="AY48" s="267"/>
      <c r="AZ48" s="304">
        <f t="shared" si="18"/>
        <v>0</v>
      </c>
      <c r="BA48" s="222">
        <f t="shared" si="19"/>
        <v>0</v>
      </c>
      <c r="BB48" s="306">
        <f t="shared" si="20"/>
        <v>0</v>
      </c>
      <c r="BC48" s="272"/>
      <c r="BD48" s="307">
        <f t="shared" si="21"/>
        <v>0</v>
      </c>
      <c r="BE48" s="308">
        <f t="shared" si="22"/>
        <v>0</v>
      </c>
      <c r="BF48" s="308">
        <f t="shared" si="23"/>
        <v>0</v>
      </c>
      <c r="BG48" s="321">
        <f t="shared" si="24"/>
        <v>0</v>
      </c>
      <c r="BH48" s="249"/>
      <c r="BI48" s="310">
        <f t="shared" si="25"/>
        <v>0</v>
      </c>
      <c r="BJ48" s="311">
        <f t="shared" si="26"/>
        <v>0</v>
      </c>
      <c r="BK48" s="311">
        <f t="shared" si="27"/>
        <v>0</v>
      </c>
      <c r="BL48" s="312">
        <f t="shared" si="28"/>
        <v>0</v>
      </c>
      <c r="BM48" s="249"/>
      <c r="BN48" s="313">
        <f t="shared" si="29"/>
        <v>0</v>
      </c>
      <c r="BO48" s="314">
        <f t="shared" si="30"/>
        <v>0</v>
      </c>
      <c r="BP48" s="314">
        <f t="shared" si="31"/>
        <v>0</v>
      </c>
      <c r="BQ48" s="315">
        <f t="shared" si="32"/>
        <v>0</v>
      </c>
      <c r="BR48" s="249"/>
      <c r="BS48" s="307">
        <f t="shared" si="33"/>
        <v>0</v>
      </c>
      <c r="BT48" s="308">
        <f t="shared" si="34"/>
        <v>0</v>
      </c>
      <c r="BU48" s="308">
        <f t="shared" si="35"/>
        <v>0</v>
      </c>
      <c r="BV48" s="321">
        <f t="shared" si="36"/>
        <v>0</v>
      </c>
      <c r="BW48" s="249"/>
      <c r="BX48" s="310">
        <f t="shared" si="37"/>
        <v>0</v>
      </c>
      <c r="BY48" s="311">
        <f t="shared" si="38"/>
        <v>0</v>
      </c>
      <c r="BZ48" s="311">
        <f t="shared" si="39"/>
        <v>0</v>
      </c>
      <c r="CA48" s="312">
        <f t="shared" si="40"/>
        <v>0</v>
      </c>
      <c r="CB48" s="249"/>
      <c r="CC48" s="313">
        <f t="shared" si="41"/>
        <v>0</v>
      </c>
      <c r="CD48" s="314">
        <f t="shared" si="42"/>
        <v>0</v>
      </c>
      <c r="CE48" s="314">
        <f t="shared" si="43"/>
        <v>0</v>
      </c>
      <c r="CF48" s="315">
        <f t="shared" si="44"/>
        <v>0</v>
      </c>
      <c r="CG48" s="249"/>
      <c r="CH48" s="316"/>
    </row>
    <row r="49" spans="1:86" ht="15.75" hidden="1" customHeight="1" outlineLevel="1" x14ac:dyDescent="0.2">
      <c r="A49" s="242" t="str">
        <f>IF(OR(E49&lt;&gt;FALSE,F49&lt;&gt;FALSE,G49&lt;&gt;FALSE),MAX(A$16:A48)+1,"")</f>
        <v/>
      </c>
      <c r="B49" s="283" t="str">
        <f>IF('[1]Core Assumptions'!B64="","",CONCATENATE('[1]Core Assumptions'!B64," - Federal &amp; State Tax Returns"))</f>
        <v/>
      </c>
      <c r="C49" s="284" t="str">
        <f>IF('[1]Core Assumptions'!B64="","",'[1]Core Assumptions'!B64)</f>
        <v/>
      </c>
      <c r="D49" s="245" t="s">
        <v>11</v>
      </c>
      <c r="E49" s="285" t="b">
        <v>0</v>
      </c>
      <c r="F49" s="286" t="b">
        <v>0</v>
      </c>
      <c r="G49" s="317" t="b">
        <v>0</v>
      </c>
      <c r="H49" s="249"/>
      <c r="I49" s="288">
        <v>1</v>
      </c>
      <c r="J49" s="249"/>
      <c r="K49" s="289"/>
      <c r="L49" s="290"/>
      <c r="M49" s="290"/>
      <c r="N49" s="290"/>
      <c r="O49" s="290"/>
      <c r="P49" s="290"/>
      <c r="Q49" s="290"/>
      <c r="R49" s="290"/>
      <c r="S49" s="290"/>
      <c r="T49" s="290"/>
      <c r="U49" s="289"/>
      <c r="V49" s="290"/>
      <c r="W49" s="290"/>
      <c r="X49" s="290"/>
      <c r="Y49" s="290"/>
      <c r="Z49" s="290"/>
      <c r="AA49" s="291"/>
      <c r="AB49" s="292"/>
      <c r="AC49" s="293"/>
      <c r="AD49" s="293"/>
      <c r="AE49" s="294"/>
      <c r="AF49" s="249"/>
      <c r="AG49" s="295">
        <f>IF(OR(AND($E49=TRUE,'[1]Pricing Summary'!$B$33=$E$2),AND($F49=TRUE,'[1]Pricing Summary'!$B$33=$F$2),AND($G49=TRUE,'[1]Pricing Summary'!$B$33=$G$2)),1,0)</f>
        <v>0</v>
      </c>
      <c r="AH49" s="295">
        <f t="shared" si="45"/>
        <v>0</v>
      </c>
      <c r="AI49" s="296">
        <f t="shared" si="11"/>
        <v>0</v>
      </c>
      <c r="AJ49" s="297">
        <f t="shared" si="12"/>
        <v>0</v>
      </c>
      <c r="AK49" s="249"/>
      <c r="AL49" s="298">
        <f t="shared" si="46"/>
        <v>0</v>
      </c>
      <c r="AM49" s="221">
        <f t="shared" si="47"/>
        <v>0</v>
      </c>
      <c r="AN49" s="221">
        <f>MROUND((1+'[1]Core Assumptions'!$D$22)*AM49,'[1]Core Assumptions'!$E$23)</f>
        <v>0</v>
      </c>
      <c r="AO49" s="299">
        <f t="shared" si="48"/>
        <v>0</v>
      </c>
      <c r="AP49" s="300">
        <f>IF(AN$7=0,0,MROUND(AN49/AN$7*AP$8/'[1]Core Assumptions'!$D$28,'[1]Core Assumptions'!$E$23))</f>
        <v>0</v>
      </c>
      <c r="AQ49" s="301">
        <f t="shared" si="13"/>
        <v>0</v>
      </c>
      <c r="AR49" s="302">
        <f t="shared" si="14"/>
        <v>0</v>
      </c>
      <c r="AS49" s="249"/>
      <c r="AT49" s="303">
        <f t="shared" si="15"/>
        <v>0</v>
      </c>
      <c r="AU49" s="267"/>
      <c r="AV49" s="295">
        <f>IF(OR(AND($E49=TRUE,'[1]Pricing Summary'!$B$33="Ultimate"),AND($F49=TRUE,'[1]Pricing Summary'!$B$33="Enhanced"),AND($G49=TRUE,'[1]Pricing Summary'!$B$33="Essential")),1,0)</f>
        <v>0</v>
      </c>
      <c r="AW49" s="304">
        <f t="shared" si="16"/>
        <v>0</v>
      </c>
      <c r="AX49" s="305">
        <f t="shared" si="17"/>
        <v>0</v>
      </c>
      <c r="AY49" s="267"/>
      <c r="AZ49" s="304">
        <f t="shared" si="18"/>
        <v>0</v>
      </c>
      <c r="BA49" s="222">
        <f t="shared" si="19"/>
        <v>0</v>
      </c>
      <c r="BB49" s="306">
        <f t="shared" si="20"/>
        <v>0</v>
      </c>
      <c r="BC49" s="272"/>
      <c r="BD49" s="307">
        <f t="shared" si="21"/>
        <v>0</v>
      </c>
      <c r="BE49" s="308">
        <f t="shared" si="22"/>
        <v>0</v>
      </c>
      <c r="BF49" s="308">
        <f t="shared" si="23"/>
        <v>0</v>
      </c>
      <c r="BG49" s="321">
        <f t="shared" si="24"/>
        <v>0</v>
      </c>
      <c r="BH49" s="249"/>
      <c r="BI49" s="310">
        <f t="shared" si="25"/>
        <v>0</v>
      </c>
      <c r="BJ49" s="311">
        <f t="shared" si="26"/>
        <v>0</v>
      </c>
      <c r="BK49" s="311">
        <f t="shared" si="27"/>
        <v>0</v>
      </c>
      <c r="BL49" s="312">
        <f t="shared" si="28"/>
        <v>0</v>
      </c>
      <c r="BM49" s="249"/>
      <c r="BN49" s="313">
        <f t="shared" si="29"/>
        <v>0</v>
      </c>
      <c r="BO49" s="314">
        <f t="shared" si="30"/>
        <v>0</v>
      </c>
      <c r="BP49" s="314">
        <f t="shared" si="31"/>
        <v>0</v>
      </c>
      <c r="BQ49" s="315">
        <f t="shared" si="32"/>
        <v>0</v>
      </c>
      <c r="BR49" s="249"/>
      <c r="BS49" s="307">
        <f t="shared" si="33"/>
        <v>0</v>
      </c>
      <c r="BT49" s="308">
        <f t="shared" si="34"/>
        <v>0</v>
      </c>
      <c r="BU49" s="308">
        <f t="shared" si="35"/>
        <v>0</v>
      </c>
      <c r="BV49" s="321">
        <f t="shared" si="36"/>
        <v>0</v>
      </c>
      <c r="BW49" s="249"/>
      <c r="BX49" s="310">
        <f t="shared" si="37"/>
        <v>0</v>
      </c>
      <c r="BY49" s="311">
        <f t="shared" si="38"/>
        <v>0</v>
      </c>
      <c r="BZ49" s="311">
        <f t="shared" si="39"/>
        <v>0</v>
      </c>
      <c r="CA49" s="312">
        <f t="shared" si="40"/>
        <v>0</v>
      </c>
      <c r="CB49" s="249"/>
      <c r="CC49" s="313">
        <f t="shared" si="41"/>
        <v>0</v>
      </c>
      <c r="CD49" s="314">
        <f t="shared" si="42"/>
        <v>0</v>
      </c>
      <c r="CE49" s="314">
        <f t="shared" si="43"/>
        <v>0</v>
      </c>
      <c r="CF49" s="315">
        <f t="shared" si="44"/>
        <v>0</v>
      </c>
      <c r="CG49" s="249"/>
      <c r="CH49" s="316"/>
    </row>
    <row r="50" spans="1:86" ht="15.75" hidden="1" customHeight="1" outlineLevel="1" x14ac:dyDescent="0.2">
      <c r="A50" s="242" t="str">
        <f>IF(OR(E50&lt;&gt;FALSE,F50&lt;&gt;FALSE,G50&lt;&gt;FALSE),MAX(A$16:A49)+1,"")</f>
        <v/>
      </c>
      <c r="B50" s="283" t="str">
        <f>IF('[1]Core Assumptions'!B65="","",CONCATENATE('[1]Core Assumptions'!B65," - Federal &amp; State Tax Returns"))</f>
        <v/>
      </c>
      <c r="C50" s="284" t="str">
        <f>IF('[1]Core Assumptions'!B65="","",'[1]Core Assumptions'!B65)</f>
        <v/>
      </c>
      <c r="D50" s="245" t="s">
        <v>11</v>
      </c>
      <c r="E50" s="285" t="b">
        <v>0</v>
      </c>
      <c r="F50" s="286" t="b">
        <v>0</v>
      </c>
      <c r="G50" s="317" t="b">
        <v>0</v>
      </c>
      <c r="H50" s="249"/>
      <c r="I50" s="288">
        <v>1</v>
      </c>
      <c r="J50" s="249"/>
      <c r="K50" s="289"/>
      <c r="L50" s="290"/>
      <c r="M50" s="290"/>
      <c r="N50" s="290"/>
      <c r="O50" s="290"/>
      <c r="P50" s="290"/>
      <c r="Q50" s="290"/>
      <c r="R50" s="290"/>
      <c r="S50" s="290"/>
      <c r="T50" s="290"/>
      <c r="U50" s="289"/>
      <c r="V50" s="290"/>
      <c r="W50" s="290"/>
      <c r="X50" s="290"/>
      <c r="Y50" s="290"/>
      <c r="Z50" s="290"/>
      <c r="AA50" s="291"/>
      <c r="AB50" s="292"/>
      <c r="AC50" s="293"/>
      <c r="AD50" s="293"/>
      <c r="AE50" s="294"/>
      <c r="AF50" s="249"/>
      <c r="AG50" s="295">
        <f>IF(OR(AND($E50=TRUE,'[1]Pricing Summary'!$B$33=$E$2),AND($F50=TRUE,'[1]Pricing Summary'!$B$33=$F$2),AND($G50=TRUE,'[1]Pricing Summary'!$B$33=$G$2)),1,0)</f>
        <v>0</v>
      </c>
      <c r="AH50" s="295">
        <f t="shared" si="45"/>
        <v>0</v>
      </c>
      <c r="AI50" s="296">
        <f t="shared" si="11"/>
        <v>0</v>
      </c>
      <c r="AJ50" s="297">
        <f t="shared" si="12"/>
        <v>0</v>
      </c>
      <c r="AK50" s="249"/>
      <c r="AL50" s="298">
        <f t="shared" si="46"/>
        <v>0</v>
      </c>
      <c r="AM50" s="221">
        <f t="shared" si="47"/>
        <v>0</v>
      </c>
      <c r="AN50" s="221">
        <f>MROUND((1+'[1]Core Assumptions'!$D$22)*AM50,'[1]Core Assumptions'!$E$23)</f>
        <v>0</v>
      </c>
      <c r="AO50" s="299">
        <f t="shared" si="48"/>
        <v>0</v>
      </c>
      <c r="AP50" s="300">
        <f>IF(AN$7=0,0,MROUND(AN50/AN$7*AP$8/'[1]Core Assumptions'!$D$28,'[1]Core Assumptions'!$E$23))</f>
        <v>0</v>
      </c>
      <c r="AQ50" s="301">
        <f t="shared" si="13"/>
        <v>0</v>
      </c>
      <c r="AR50" s="302">
        <f t="shared" si="14"/>
        <v>0</v>
      </c>
      <c r="AS50" s="249"/>
      <c r="AT50" s="303">
        <f t="shared" si="15"/>
        <v>0</v>
      </c>
      <c r="AU50" s="267"/>
      <c r="AV50" s="295">
        <f>IF(OR(AND($E50=TRUE,'[1]Pricing Summary'!$B$33="Ultimate"),AND($F50=TRUE,'[1]Pricing Summary'!$B$33="Enhanced"),AND($G50=TRUE,'[1]Pricing Summary'!$B$33="Essential")),1,0)</f>
        <v>0</v>
      </c>
      <c r="AW50" s="304">
        <f t="shared" si="16"/>
        <v>0</v>
      </c>
      <c r="AX50" s="305">
        <f t="shared" si="17"/>
        <v>0</v>
      </c>
      <c r="AY50" s="267"/>
      <c r="AZ50" s="304">
        <f t="shared" si="18"/>
        <v>0</v>
      </c>
      <c r="BA50" s="222">
        <f t="shared" si="19"/>
        <v>0</v>
      </c>
      <c r="BB50" s="306">
        <f t="shared" si="20"/>
        <v>0</v>
      </c>
      <c r="BC50" s="272"/>
      <c r="BD50" s="307">
        <f t="shared" si="21"/>
        <v>0</v>
      </c>
      <c r="BE50" s="308">
        <f t="shared" si="22"/>
        <v>0</v>
      </c>
      <c r="BF50" s="308">
        <f t="shared" si="23"/>
        <v>0</v>
      </c>
      <c r="BG50" s="321">
        <f t="shared" si="24"/>
        <v>0</v>
      </c>
      <c r="BH50" s="249"/>
      <c r="BI50" s="310">
        <f t="shared" si="25"/>
        <v>0</v>
      </c>
      <c r="BJ50" s="311">
        <f t="shared" si="26"/>
        <v>0</v>
      </c>
      <c r="BK50" s="311">
        <f t="shared" si="27"/>
        <v>0</v>
      </c>
      <c r="BL50" s="312">
        <f t="shared" si="28"/>
        <v>0</v>
      </c>
      <c r="BM50" s="249"/>
      <c r="BN50" s="313">
        <f t="shared" si="29"/>
        <v>0</v>
      </c>
      <c r="BO50" s="314">
        <f t="shared" si="30"/>
        <v>0</v>
      </c>
      <c r="BP50" s="314">
        <f t="shared" si="31"/>
        <v>0</v>
      </c>
      <c r="BQ50" s="315">
        <f t="shared" si="32"/>
        <v>0</v>
      </c>
      <c r="BR50" s="249"/>
      <c r="BS50" s="307">
        <f t="shared" si="33"/>
        <v>0</v>
      </c>
      <c r="BT50" s="308">
        <f t="shared" si="34"/>
        <v>0</v>
      </c>
      <c r="BU50" s="308">
        <f t="shared" si="35"/>
        <v>0</v>
      </c>
      <c r="BV50" s="321">
        <f t="shared" si="36"/>
        <v>0</v>
      </c>
      <c r="BW50" s="249"/>
      <c r="BX50" s="310">
        <f t="shared" si="37"/>
        <v>0</v>
      </c>
      <c r="BY50" s="311">
        <f t="shared" si="38"/>
        <v>0</v>
      </c>
      <c r="BZ50" s="311">
        <f t="shared" si="39"/>
        <v>0</v>
      </c>
      <c r="CA50" s="312">
        <f t="shared" si="40"/>
        <v>0</v>
      </c>
      <c r="CB50" s="249"/>
      <c r="CC50" s="313">
        <f t="shared" si="41"/>
        <v>0</v>
      </c>
      <c r="CD50" s="314">
        <f t="shared" si="42"/>
        <v>0</v>
      </c>
      <c r="CE50" s="314">
        <f t="shared" si="43"/>
        <v>0</v>
      </c>
      <c r="CF50" s="315">
        <f t="shared" si="44"/>
        <v>0</v>
      </c>
      <c r="CG50" s="249"/>
      <c r="CH50" s="316"/>
    </row>
    <row r="51" spans="1:86" ht="15.75" hidden="1" customHeight="1" outlineLevel="1" x14ac:dyDescent="0.2">
      <c r="A51" s="242" t="str">
        <f>IF(OR(E51&lt;&gt;FALSE,F51&lt;&gt;FALSE,G51&lt;&gt;FALSE),MAX(A$16:A50)+1,"")</f>
        <v/>
      </c>
      <c r="B51" s="283" t="str">
        <f>IF('[1]Core Assumptions'!B66="","",CONCATENATE('[1]Core Assumptions'!B66," - Federal &amp; State Tax Returns"))</f>
        <v/>
      </c>
      <c r="C51" s="284" t="str">
        <f>IF('[1]Core Assumptions'!B66="","",'[1]Core Assumptions'!B66)</f>
        <v/>
      </c>
      <c r="D51" s="245" t="s">
        <v>11</v>
      </c>
      <c r="E51" s="285" t="b">
        <v>0</v>
      </c>
      <c r="F51" s="286" t="b">
        <v>0</v>
      </c>
      <c r="G51" s="317" t="b">
        <v>0</v>
      </c>
      <c r="H51" s="249"/>
      <c r="I51" s="288">
        <v>1</v>
      </c>
      <c r="J51" s="249"/>
      <c r="K51" s="289"/>
      <c r="L51" s="290"/>
      <c r="M51" s="290"/>
      <c r="N51" s="290"/>
      <c r="O51" s="290"/>
      <c r="P51" s="290"/>
      <c r="Q51" s="290"/>
      <c r="R51" s="290"/>
      <c r="S51" s="290"/>
      <c r="T51" s="290"/>
      <c r="U51" s="289"/>
      <c r="V51" s="290"/>
      <c r="W51" s="290"/>
      <c r="X51" s="290"/>
      <c r="Y51" s="290"/>
      <c r="Z51" s="290"/>
      <c r="AA51" s="291"/>
      <c r="AB51" s="292"/>
      <c r="AC51" s="293"/>
      <c r="AD51" s="293"/>
      <c r="AE51" s="294"/>
      <c r="AF51" s="249"/>
      <c r="AG51" s="295">
        <f>IF(OR(AND($E51=TRUE,'[1]Pricing Summary'!$B$33=$E$2),AND($F51=TRUE,'[1]Pricing Summary'!$B$33=$F$2),AND($G51=TRUE,'[1]Pricing Summary'!$B$33=$G$2)),1,0)</f>
        <v>0</v>
      </c>
      <c r="AH51" s="295">
        <f t="shared" si="45"/>
        <v>0</v>
      </c>
      <c r="AI51" s="296">
        <f t="shared" si="11"/>
        <v>0</v>
      </c>
      <c r="AJ51" s="297">
        <f t="shared" si="12"/>
        <v>0</v>
      </c>
      <c r="AK51" s="249"/>
      <c r="AL51" s="298">
        <f t="shared" si="46"/>
        <v>0</v>
      </c>
      <c r="AM51" s="221">
        <f t="shared" si="47"/>
        <v>0</v>
      </c>
      <c r="AN51" s="221">
        <f>MROUND((1+'[1]Core Assumptions'!$D$22)*AM51,'[1]Core Assumptions'!$E$23)</f>
        <v>0</v>
      </c>
      <c r="AO51" s="299">
        <f t="shared" si="48"/>
        <v>0</v>
      </c>
      <c r="AP51" s="300">
        <f>IF(AN$7=0,0,MROUND(AN51/AN$7*AP$8/'[1]Core Assumptions'!$D$28,'[1]Core Assumptions'!$E$23))</f>
        <v>0</v>
      </c>
      <c r="AQ51" s="301">
        <f t="shared" si="13"/>
        <v>0</v>
      </c>
      <c r="AR51" s="302">
        <f t="shared" si="14"/>
        <v>0</v>
      </c>
      <c r="AS51" s="249"/>
      <c r="AT51" s="303">
        <f t="shared" si="15"/>
        <v>0</v>
      </c>
      <c r="AU51" s="267"/>
      <c r="AV51" s="295">
        <f>IF(OR(AND($E51=TRUE,'[1]Pricing Summary'!$B$33="Ultimate"),AND($F51=TRUE,'[1]Pricing Summary'!$B$33="Enhanced"),AND($G51=TRUE,'[1]Pricing Summary'!$B$33="Essential")),1,0)</f>
        <v>0</v>
      </c>
      <c r="AW51" s="304">
        <f t="shared" si="16"/>
        <v>0</v>
      </c>
      <c r="AX51" s="305">
        <f t="shared" si="17"/>
        <v>0</v>
      </c>
      <c r="AY51" s="267"/>
      <c r="AZ51" s="304">
        <f t="shared" si="18"/>
        <v>0</v>
      </c>
      <c r="BA51" s="222">
        <f t="shared" si="19"/>
        <v>0</v>
      </c>
      <c r="BB51" s="306">
        <f t="shared" si="20"/>
        <v>0</v>
      </c>
      <c r="BC51" s="272"/>
      <c r="BD51" s="307">
        <f t="shared" si="21"/>
        <v>0</v>
      </c>
      <c r="BE51" s="308">
        <f t="shared" si="22"/>
        <v>0</v>
      </c>
      <c r="BF51" s="308">
        <f t="shared" si="23"/>
        <v>0</v>
      </c>
      <c r="BG51" s="321">
        <f t="shared" si="24"/>
        <v>0</v>
      </c>
      <c r="BH51" s="249"/>
      <c r="BI51" s="310">
        <f t="shared" si="25"/>
        <v>0</v>
      </c>
      <c r="BJ51" s="311">
        <f t="shared" si="26"/>
        <v>0</v>
      </c>
      <c r="BK51" s="311">
        <f t="shared" si="27"/>
        <v>0</v>
      </c>
      <c r="BL51" s="312">
        <f t="shared" si="28"/>
        <v>0</v>
      </c>
      <c r="BM51" s="249"/>
      <c r="BN51" s="313">
        <f t="shared" si="29"/>
        <v>0</v>
      </c>
      <c r="BO51" s="314">
        <f t="shared" si="30"/>
        <v>0</v>
      </c>
      <c r="BP51" s="314">
        <f t="shared" si="31"/>
        <v>0</v>
      </c>
      <c r="BQ51" s="315">
        <f t="shared" si="32"/>
        <v>0</v>
      </c>
      <c r="BR51" s="249"/>
      <c r="BS51" s="307">
        <f t="shared" si="33"/>
        <v>0</v>
      </c>
      <c r="BT51" s="308">
        <f t="shared" si="34"/>
        <v>0</v>
      </c>
      <c r="BU51" s="308">
        <f t="shared" si="35"/>
        <v>0</v>
      </c>
      <c r="BV51" s="321">
        <f t="shared" si="36"/>
        <v>0</v>
      </c>
      <c r="BW51" s="249"/>
      <c r="BX51" s="310">
        <f t="shared" si="37"/>
        <v>0</v>
      </c>
      <c r="BY51" s="311">
        <f t="shared" si="38"/>
        <v>0</v>
      </c>
      <c r="BZ51" s="311">
        <f t="shared" si="39"/>
        <v>0</v>
      </c>
      <c r="CA51" s="312">
        <f t="shared" si="40"/>
        <v>0</v>
      </c>
      <c r="CB51" s="249"/>
      <c r="CC51" s="313">
        <f t="shared" si="41"/>
        <v>0</v>
      </c>
      <c r="CD51" s="314">
        <f t="shared" si="42"/>
        <v>0</v>
      </c>
      <c r="CE51" s="314">
        <f t="shared" si="43"/>
        <v>0</v>
      </c>
      <c r="CF51" s="315">
        <f t="shared" si="44"/>
        <v>0</v>
      </c>
      <c r="CG51" s="249"/>
      <c r="CH51" s="316"/>
    </row>
    <row r="52" spans="1:86" ht="15.75" hidden="1" customHeight="1" outlineLevel="1" x14ac:dyDescent="0.2">
      <c r="A52" s="242" t="str">
        <f>IF(OR(E52&lt;&gt;FALSE,F52&lt;&gt;FALSE,G52&lt;&gt;FALSE),MAX(A$16:A51)+1,"")</f>
        <v/>
      </c>
      <c r="B52" s="283" t="str">
        <f>IF('[1]Core Assumptions'!B67="","",CONCATENATE('[1]Core Assumptions'!B67," - Federal &amp; State Tax Returns"))</f>
        <v/>
      </c>
      <c r="C52" s="284" t="str">
        <f>IF('[1]Core Assumptions'!B67="","",'[1]Core Assumptions'!B67)</f>
        <v/>
      </c>
      <c r="D52" s="245" t="s">
        <v>11</v>
      </c>
      <c r="E52" s="285" t="b">
        <v>0</v>
      </c>
      <c r="F52" s="286" t="b">
        <v>0</v>
      </c>
      <c r="G52" s="317" t="b">
        <v>0</v>
      </c>
      <c r="H52" s="249"/>
      <c r="I52" s="288">
        <v>1</v>
      </c>
      <c r="J52" s="249"/>
      <c r="K52" s="289"/>
      <c r="L52" s="290"/>
      <c r="M52" s="290"/>
      <c r="N52" s="290"/>
      <c r="O52" s="290"/>
      <c r="P52" s="290"/>
      <c r="Q52" s="290"/>
      <c r="R52" s="290"/>
      <c r="S52" s="290"/>
      <c r="T52" s="290"/>
      <c r="U52" s="289"/>
      <c r="V52" s="290"/>
      <c r="W52" s="290"/>
      <c r="X52" s="290"/>
      <c r="Y52" s="290"/>
      <c r="Z52" s="290"/>
      <c r="AA52" s="291"/>
      <c r="AB52" s="292"/>
      <c r="AC52" s="293"/>
      <c r="AD52" s="293"/>
      <c r="AE52" s="294"/>
      <c r="AF52" s="249"/>
      <c r="AG52" s="295">
        <f>IF(OR(AND($E52=TRUE,'[1]Pricing Summary'!$B$33=$E$2),AND($F52=TRUE,'[1]Pricing Summary'!$B$33=$F$2),AND($G52=TRUE,'[1]Pricing Summary'!$B$33=$G$2)),1,0)</f>
        <v>0</v>
      </c>
      <c r="AH52" s="295">
        <f t="shared" si="45"/>
        <v>0</v>
      </c>
      <c r="AI52" s="296">
        <f t="shared" si="11"/>
        <v>0</v>
      </c>
      <c r="AJ52" s="297">
        <f t="shared" si="12"/>
        <v>0</v>
      </c>
      <c r="AK52" s="249"/>
      <c r="AL52" s="298">
        <f t="shared" si="46"/>
        <v>0</v>
      </c>
      <c r="AM52" s="221">
        <f t="shared" si="47"/>
        <v>0</v>
      </c>
      <c r="AN52" s="221">
        <f>MROUND((1+'[1]Core Assumptions'!$D$22)*AM52,'[1]Core Assumptions'!$E$23)</f>
        <v>0</v>
      </c>
      <c r="AO52" s="299">
        <f t="shared" si="48"/>
        <v>0</v>
      </c>
      <c r="AP52" s="300">
        <f>IF(AN$7=0,0,MROUND(AN52/AN$7*AP$8/'[1]Core Assumptions'!$D$28,'[1]Core Assumptions'!$E$23))</f>
        <v>0</v>
      </c>
      <c r="AQ52" s="301">
        <f t="shared" si="13"/>
        <v>0</v>
      </c>
      <c r="AR52" s="302">
        <f t="shared" si="14"/>
        <v>0</v>
      </c>
      <c r="AS52" s="249"/>
      <c r="AT52" s="303">
        <f t="shared" si="15"/>
        <v>0</v>
      </c>
      <c r="AU52" s="267"/>
      <c r="AV52" s="295">
        <f>IF(OR(AND($E52=TRUE,'[1]Pricing Summary'!$B$33="Ultimate"),AND($F52=TRUE,'[1]Pricing Summary'!$B$33="Enhanced"),AND($G52=TRUE,'[1]Pricing Summary'!$B$33="Essential")),1,0)</f>
        <v>0</v>
      </c>
      <c r="AW52" s="304">
        <f t="shared" si="16"/>
        <v>0</v>
      </c>
      <c r="AX52" s="305">
        <f t="shared" si="17"/>
        <v>0</v>
      </c>
      <c r="AY52" s="267"/>
      <c r="AZ52" s="304">
        <f t="shared" si="18"/>
        <v>0</v>
      </c>
      <c r="BA52" s="222">
        <f t="shared" si="19"/>
        <v>0</v>
      </c>
      <c r="BB52" s="306">
        <f t="shared" si="20"/>
        <v>0</v>
      </c>
      <c r="BC52" s="272"/>
      <c r="BD52" s="307">
        <f t="shared" si="21"/>
        <v>0</v>
      </c>
      <c r="BE52" s="308">
        <f t="shared" si="22"/>
        <v>0</v>
      </c>
      <c r="BF52" s="308">
        <f t="shared" si="23"/>
        <v>0</v>
      </c>
      <c r="BG52" s="321">
        <f t="shared" si="24"/>
        <v>0</v>
      </c>
      <c r="BH52" s="249"/>
      <c r="BI52" s="310">
        <f t="shared" si="25"/>
        <v>0</v>
      </c>
      <c r="BJ52" s="311">
        <f t="shared" si="26"/>
        <v>0</v>
      </c>
      <c r="BK52" s="311">
        <f t="shared" si="27"/>
        <v>0</v>
      </c>
      <c r="BL52" s="312">
        <f t="shared" si="28"/>
        <v>0</v>
      </c>
      <c r="BM52" s="249"/>
      <c r="BN52" s="313">
        <f t="shared" si="29"/>
        <v>0</v>
      </c>
      <c r="BO52" s="314">
        <f t="shared" si="30"/>
        <v>0</v>
      </c>
      <c r="BP52" s="314">
        <f t="shared" si="31"/>
        <v>0</v>
      </c>
      <c r="BQ52" s="315">
        <f t="shared" si="32"/>
        <v>0</v>
      </c>
      <c r="BR52" s="249"/>
      <c r="BS52" s="307">
        <f t="shared" si="33"/>
        <v>0</v>
      </c>
      <c r="BT52" s="308">
        <f t="shared" si="34"/>
        <v>0</v>
      </c>
      <c r="BU52" s="308">
        <f t="shared" si="35"/>
        <v>0</v>
      </c>
      <c r="BV52" s="321">
        <f t="shared" si="36"/>
        <v>0</v>
      </c>
      <c r="BW52" s="249"/>
      <c r="BX52" s="310">
        <f t="shared" si="37"/>
        <v>0</v>
      </c>
      <c r="BY52" s="311">
        <f t="shared" si="38"/>
        <v>0</v>
      </c>
      <c r="BZ52" s="311">
        <f t="shared" si="39"/>
        <v>0</v>
      </c>
      <c r="CA52" s="312">
        <f t="shared" si="40"/>
        <v>0</v>
      </c>
      <c r="CB52" s="249"/>
      <c r="CC52" s="313">
        <f t="shared" si="41"/>
        <v>0</v>
      </c>
      <c r="CD52" s="314">
        <f t="shared" si="42"/>
        <v>0</v>
      </c>
      <c r="CE52" s="314">
        <f t="shared" si="43"/>
        <v>0</v>
      </c>
      <c r="CF52" s="315">
        <f t="shared" si="44"/>
        <v>0</v>
      </c>
      <c r="CG52" s="249"/>
      <c r="CH52" s="316"/>
    </row>
    <row r="53" spans="1:86" ht="15.75" hidden="1" customHeight="1" outlineLevel="1" x14ac:dyDescent="0.2">
      <c r="A53" s="242" t="str">
        <f>IF(OR(E53&lt;&gt;FALSE,F53&lt;&gt;FALSE,G53&lt;&gt;FALSE),MAX(A$16:A52)+1,"")</f>
        <v/>
      </c>
      <c r="B53" s="283" t="str">
        <f>IF('[1]Core Assumptions'!B68="","",CONCATENATE('[1]Core Assumptions'!B68," - Federal &amp; State Tax Returns"))</f>
        <v/>
      </c>
      <c r="C53" s="284" t="str">
        <f>IF('[1]Core Assumptions'!B68="","",'[1]Core Assumptions'!B68)</f>
        <v/>
      </c>
      <c r="D53" s="245" t="s">
        <v>11</v>
      </c>
      <c r="E53" s="285" t="b">
        <v>0</v>
      </c>
      <c r="F53" s="286" t="b">
        <v>0</v>
      </c>
      <c r="G53" s="317" t="b">
        <v>0</v>
      </c>
      <c r="H53" s="249"/>
      <c r="I53" s="288">
        <v>1</v>
      </c>
      <c r="J53" s="249"/>
      <c r="K53" s="289"/>
      <c r="L53" s="290"/>
      <c r="M53" s="290"/>
      <c r="N53" s="290"/>
      <c r="O53" s="290"/>
      <c r="P53" s="290"/>
      <c r="Q53" s="290"/>
      <c r="R53" s="290"/>
      <c r="S53" s="290"/>
      <c r="T53" s="290"/>
      <c r="U53" s="289"/>
      <c r="V53" s="290"/>
      <c r="W53" s="290"/>
      <c r="X53" s="290"/>
      <c r="Y53" s="290"/>
      <c r="Z53" s="290"/>
      <c r="AA53" s="291"/>
      <c r="AB53" s="292"/>
      <c r="AC53" s="293"/>
      <c r="AD53" s="293"/>
      <c r="AE53" s="294"/>
      <c r="AF53" s="249"/>
      <c r="AG53" s="295">
        <f>IF(OR(AND($E53=TRUE,'[1]Pricing Summary'!$B$33=$E$2),AND($F53=TRUE,'[1]Pricing Summary'!$B$33=$F$2),AND($G53=TRUE,'[1]Pricing Summary'!$B$33=$G$2)),1,0)</f>
        <v>0</v>
      </c>
      <c r="AH53" s="295">
        <f t="shared" si="45"/>
        <v>0</v>
      </c>
      <c r="AI53" s="296">
        <f t="shared" si="11"/>
        <v>0</v>
      </c>
      <c r="AJ53" s="297">
        <f t="shared" si="12"/>
        <v>0</v>
      </c>
      <c r="AK53" s="249"/>
      <c r="AL53" s="298">
        <f t="shared" si="46"/>
        <v>0</v>
      </c>
      <c r="AM53" s="221">
        <f t="shared" si="47"/>
        <v>0</v>
      </c>
      <c r="AN53" s="221">
        <f>MROUND((1+'[1]Core Assumptions'!$D$22)*AM53,'[1]Core Assumptions'!$E$23)</f>
        <v>0</v>
      </c>
      <c r="AO53" s="299">
        <f t="shared" si="48"/>
        <v>0</v>
      </c>
      <c r="AP53" s="300">
        <f>IF(AN$7=0,0,MROUND(AN53/AN$7*AP$8/'[1]Core Assumptions'!$D$28,'[1]Core Assumptions'!$E$23))</f>
        <v>0</v>
      </c>
      <c r="AQ53" s="301">
        <f t="shared" si="13"/>
        <v>0</v>
      </c>
      <c r="AR53" s="302">
        <f t="shared" si="14"/>
        <v>0</v>
      </c>
      <c r="AS53" s="249"/>
      <c r="AT53" s="303">
        <f t="shared" si="15"/>
        <v>0</v>
      </c>
      <c r="AU53" s="267"/>
      <c r="AV53" s="295">
        <f>IF(OR(AND($E53=TRUE,'[1]Pricing Summary'!$B$33="Ultimate"),AND($F53=TRUE,'[1]Pricing Summary'!$B$33="Enhanced"),AND($G53=TRUE,'[1]Pricing Summary'!$B$33="Essential")),1,0)</f>
        <v>0</v>
      </c>
      <c r="AW53" s="304">
        <f t="shared" si="16"/>
        <v>0</v>
      </c>
      <c r="AX53" s="305">
        <f t="shared" si="17"/>
        <v>0</v>
      </c>
      <c r="AY53" s="267"/>
      <c r="AZ53" s="304">
        <f t="shared" si="18"/>
        <v>0</v>
      </c>
      <c r="BA53" s="222">
        <f t="shared" si="19"/>
        <v>0</v>
      </c>
      <c r="BB53" s="306">
        <f t="shared" si="20"/>
        <v>0</v>
      </c>
      <c r="BC53" s="272"/>
      <c r="BD53" s="307">
        <f t="shared" si="21"/>
        <v>0</v>
      </c>
      <c r="BE53" s="308">
        <f t="shared" si="22"/>
        <v>0</v>
      </c>
      <c r="BF53" s="308">
        <f t="shared" si="23"/>
        <v>0</v>
      </c>
      <c r="BG53" s="321">
        <f t="shared" si="24"/>
        <v>0</v>
      </c>
      <c r="BH53" s="249"/>
      <c r="BI53" s="310">
        <f t="shared" si="25"/>
        <v>0</v>
      </c>
      <c r="BJ53" s="311">
        <f t="shared" si="26"/>
        <v>0</v>
      </c>
      <c r="BK53" s="311">
        <f t="shared" si="27"/>
        <v>0</v>
      </c>
      <c r="BL53" s="312">
        <f t="shared" si="28"/>
        <v>0</v>
      </c>
      <c r="BM53" s="249"/>
      <c r="BN53" s="313">
        <f t="shared" si="29"/>
        <v>0</v>
      </c>
      <c r="BO53" s="314">
        <f t="shared" si="30"/>
        <v>0</v>
      </c>
      <c r="BP53" s="314">
        <f t="shared" si="31"/>
        <v>0</v>
      </c>
      <c r="BQ53" s="315">
        <f t="shared" si="32"/>
        <v>0</v>
      </c>
      <c r="BR53" s="249"/>
      <c r="BS53" s="307">
        <f t="shared" si="33"/>
        <v>0</v>
      </c>
      <c r="BT53" s="308">
        <f t="shared" si="34"/>
        <v>0</v>
      </c>
      <c r="BU53" s="308">
        <f t="shared" si="35"/>
        <v>0</v>
      </c>
      <c r="BV53" s="321">
        <f t="shared" si="36"/>
        <v>0</v>
      </c>
      <c r="BW53" s="249"/>
      <c r="BX53" s="310">
        <f t="shared" si="37"/>
        <v>0</v>
      </c>
      <c r="BY53" s="311">
        <f t="shared" si="38"/>
        <v>0</v>
      </c>
      <c r="BZ53" s="311">
        <f t="shared" si="39"/>
        <v>0</v>
      </c>
      <c r="CA53" s="312">
        <f t="shared" si="40"/>
        <v>0</v>
      </c>
      <c r="CB53" s="249"/>
      <c r="CC53" s="313">
        <f t="shared" si="41"/>
        <v>0</v>
      </c>
      <c r="CD53" s="314">
        <f t="shared" si="42"/>
        <v>0</v>
      </c>
      <c r="CE53" s="314">
        <f t="shared" si="43"/>
        <v>0</v>
      </c>
      <c r="CF53" s="315">
        <f t="shared" si="44"/>
        <v>0</v>
      </c>
      <c r="CG53" s="249"/>
      <c r="CH53" s="316"/>
    </row>
    <row r="54" spans="1:86" ht="15.75" hidden="1" customHeight="1" outlineLevel="1" x14ac:dyDescent="0.2">
      <c r="A54" s="242" t="str">
        <f>IF(OR(E54&lt;&gt;FALSE,F54&lt;&gt;FALSE,G54&lt;&gt;FALSE),MAX(A$16:A53)+1,"")</f>
        <v/>
      </c>
      <c r="B54" s="283" t="str">
        <f>IF('[1]Core Assumptions'!B69="","",CONCATENATE('[1]Core Assumptions'!B69," - Federal &amp; State Tax Returns"))</f>
        <v/>
      </c>
      <c r="C54" s="284" t="str">
        <f>IF('[1]Core Assumptions'!B69="","",'[1]Core Assumptions'!B69)</f>
        <v/>
      </c>
      <c r="D54" s="245" t="s">
        <v>11</v>
      </c>
      <c r="E54" s="285" t="b">
        <v>0</v>
      </c>
      <c r="F54" s="286" t="b">
        <v>0</v>
      </c>
      <c r="G54" s="317" t="b">
        <v>0</v>
      </c>
      <c r="H54" s="249"/>
      <c r="I54" s="288">
        <v>1</v>
      </c>
      <c r="J54" s="249"/>
      <c r="K54" s="289"/>
      <c r="L54" s="290"/>
      <c r="M54" s="290"/>
      <c r="N54" s="290"/>
      <c r="O54" s="290"/>
      <c r="P54" s="290"/>
      <c r="Q54" s="290"/>
      <c r="R54" s="290"/>
      <c r="S54" s="290"/>
      <c r="T54" s="290"/>
      <c r="U54" s="289"/>
      <c r="V54" s="290"/>
      <c r="W54" s="290"/>
      <c r="X54" s="290"/>
      <c r="Y54" s="290"/>
      <c r="Z54" s="290"/>
      <c r="AA54" s="291"/>
      <c r="AB54" s="292"/>
      <c r="AC54" s="293"/>
      <c r="AD54" s="293"/>
      <c r="AE54" s="294"/>
      <c r="AF54" s="249"/>
      <c r="AG54" s="295">
        <f>IF(OR(AND($E54=TRUE,'[1]Pricing Summary'!$B$33=$E$2),AND($F54=TRUE,'[1]Pricing Summary'!$B$33=$F$2),AND($G54=TRUE,'[1]Pricing Summary'!$B$33=$G$2)),1,0)</f>
        <v>0</v>
      </c>
      <c r="AH54" s="295">
        <f t="shared" si="45"/>
        <v>0</v>
      </c>
      <c r="AI54" s="296">
        <f t="shared" si="11"/>
        <v>0</v>
      </c>
      <c r="AJ54" s="297">
        <f t="shared" si="12"/>
        <v>0</v>
      </c>
      <c r="AK54" s="249"/>
      <c r="AL54" s="298">
        <f t="shared" si="46"/>
        <v>0</v>
      </c>
      <c r="AM54" s="221">
        <f t="shared" si="47"/>
        <v>0</v>
      </c>
      <c r="AN54" s="221">
        <f>MROUND((1+'[1]Core Assumptions'!$D$22)*AM54,'[1]Core Assumptions'!$E$23)</f>
        <v>0</v>
      </c>
      <c r="AO54" s="299">
        <f t="shared" si="48"/>
        <v>0</v>
      </c>
      <c r="AP54" s="300">
        <f>IF(AN$7=0,0,MROUND(AN54/AN$7*AP$8/'[1]Core Assumptions'!$D$28,'[1]Core Assumptions'!$E$23))</f>
        <v>0</v>
      </c>
      <c r="AQ54" s="301">
        <f t="shared" si="13"/>
        <v>0</v>
      </c>
      <c r="AR54" s="302">
        <f t="shared" si="14"/>
        <v>0</v>
      </c>
      <c r="AS54" s="249"/>
      <c r="AT54" s="303">
        <f t="shared" si="15"/>
        <v>0</v>
      </c>
      <c r="AU54" s="267"/>
      <c r="AV54" s="295">
        <f>IF(OR(AND($E54=TRUE,'[1]Pricing Summary'!$B$33="Ultimate"),AND($F54=TRUE,'[1]Pricing Summary'!$B$33="Enhanced"),AND($G54=TRUE,'[1]Pricing Summary'!$B$33="Essential")),1,0)</f>
        <v>0</v>
      </c>
      <c r="AW54" s="304">
        <f t="shared" si="16"/>
        <v>0</v>
      </c>
      <c r="AX54" s="305">
        <f t="shared" si="17"/>
        <v>0</v>
      </c>
      <c r="AY54" s="267"/>
      <c r="AZ54" s="304">
        <f t="shared" si="18"/>
        <v>0</v>
      </c>
      <c r="BA54" s="222">
        <f t="shared" si="19"/>
        <v>0</v>
      </c>
      <c r="BB54" s="306">
        <f t="shared" si="20"/>
        <v>0</v>
      </c>
      <c r="BC54" s="272"/>
      <c r="BD54" s="307">
        <f t="shared" si="21"/>
        <v>0</v>
      </c>
      <c r="BE54" s="308">
        <f t="shared" si="22"/>
        <v>0</v>
      </c>
      <c r="BF54" s="308">
        <f t="shared" si="23"/>
        <v>0</v>
      </c>
      <c r="BG54" s="321">
        <f t="shared" si="24"/>
        <v>0</v>
      </c>
      <c r="BH54" s="249"/>
      <c r="BI54" s="310">
        <f t="shared" si="25"/>
        <v>0</v>
      </c>
      <c r="BJ54" s="311">
        <f t="shared" si="26"/>
        <v>0</v>
      </c>
      <c r="BK54" s="311">
        <f t="shared" si="27"/>
        <v>0</v>
      </c>
      <c r="BL54" s="312">
        <f t="shared" si="28"/>
        <v>0</v>
      </c>
      <c r="BM54" s="249"/>
      <c r="BN54" s="313">
        <f t="shared" si="29"/>
        <v>0</v>
      </c>
      <c r="BO54" s="314">
        <f t="shared" si="30"/>
        <v>0</v>
      </c>
      <c r="BP54" s="314">
        <f t="shared" si="31"/>
        <v>0</v>
      </c>
      <c r="BQ54" s="315">
        <f t="shared" si="32"/>
        <v>0</v>
      </c>
      <c r="BR54" s="249"/>
      <c r="BS54" s="307">
        <f t="shared" si="33"/>
        <v>0</v>
      </c>
      <c r="BT54" s="308">
        <f t="shared" si="34"/>
        <v>0</v>
      </c>
      <c r="BU54" s="308">
        <f t="shared" si="35"/>
        <v>0</v>
      </c>
      <c r="BV54" s="321">
        <f t="shared" si="36"/>
        <v>0</v>
      </c>
      <c r="BW54" s="249"/>
      <c r="BX54" s="310">
        <f t="shared" si="37"/>
        <v>0</v>
      </c>
      <c r="BY54" s="311">
        <f t="shared" si="38"/>
        <v>0</v>
      </c>
      <c r="BZ54" s="311">
        <f t="shared" si="39"/>
        <v>0</v>
      </c>
      <c r="CA54" s="312">
        <f t="shared" si="40"/>
        <v>0</v>
      </c>
      <c r="CB54" s="249"/>
      <c r="CC54" s="313">
        <f t="shared" si="41"/>
        <v>0</v>
      </c>
      <c r="CD54" s="314">
        <f t="shared" si="42"/>
        <v>0</v>
      </c>
      <c r="CE54" s="314">
        <f t="shared" si="43"/>
        <v>0</v>
      </c>
      <c r="CF54" s="315">
        <f t="shared" si="44"/>
        <v>0</v>
      </c>
      <c r="CG54" s="249"/>
      <c r="CH54" s="316"/>
    </row>
    <row r="55" spans="1:86" ht="15.75" hidden="1" customHeight="1" outlineLevel="1" x14ac:dyDescent="0.2">
      <c r="A55" s="242" t="str">
        <f>IF(OR(E55&lt;&gt;FALSE,F55&lt;&gt;FALSE,G55&lt;&gt;FALSE),MAX(A$16:A54)+1,"")</f>
        <v/>
      </c>
      <c r="B55" s="283" t="str">
        <f>IF('[1]Core Assumptions'!B70="","",CONCATENATE('[1]Core Assumptions'!B70," - Federal &amp; State Tax Returns"))</f>
        <v/>
      </c>
      <c r="C55" s="284" t="str">
        <f>IF('[1]Core Assumptions'!B70="","",'[1]Core Assumptions'!B70)</f>
        <v/>
      </c>
      <c r="D55" s="245" t="s">
        <v>11</v>
      </c>
      <c r="E55" s="285" t="b">
        <v>0</v>
      </c>
      <c r="F55" s="286" t="b">
        <v>0</v>
      </c>
      <c r="G55" s="317" t="b">
        <v>0</v>
      </c>
      <c r="H55" s="249"/>
      <c r="I55" s="288">
        <v>1</v>
      </c>
      <c r="J55" s="249"/>
      <c r="K55" s="289"/>
      <c r="L55" s="290"/>
      <c r="M55" s="290"/>
      <c r="N55" s="290"/>
      <c r="O55" s="290"/>
      <c r="P55" s="290"/>
      <c r="Q55" s="290"/>
      <c r="R55" s="290"/>
      <c r="S55" s="290"/>
      <c r="T55" s="290"/>
      <c r="U55" s="289"/>
      <c r="V55" s="290"/>
      <c r="W55" s="290"/>
      <c r="X55" s="290"/>
      <c r="Y55" s="290"/>
      <c r="Z55" s="290"/>
      <c r="AA55" s="291"/>
      <c r="AB55" s="292"/>
      <c r="AC55" s="293"/>
      <c r="AD55" s="293"/>
      <c r="AE55" s="294"/>
      <c r="AF55" s="249"/>
      <c r="AG55" s="295">
        <f>IF(OR(AND($E55=TRUE,'[1]Pricing Summary'!$B$33=$E$2),AND($F55=TRUE,'[1]Pricing Summary'!$B$33=$F$2),AND($G55=TRUE,'[1]Pricing Summary'!$B$33=$G$2)),1,0)</f>
        <v>0</v>
      </c>
      <c r="AH55" s="295">
        <f t="shared" si="45"/>
        <v>0</v>
      </c>
      <c r="AI55" s="296">
        <f t="shared" si="11"/>
        <v>0</v>
      </c>
      <c r="AJ55" s="297">
        <f t="shared" si="12"/>
        <v>0</v>
      </c>
      <c r="AK55" s="249"/>
      <c r="AL55" s="298">
        <f t="shared" si="46"/>
        <v>0</v>
      </c>
      <c r="AM55" s="221">
        <f t="shared" si="47"/>
        <v>0</v>
      </c>
      <c r="AN55" s="221">
        <f>MROUND((1+'[1]Core Assumptions'!$D$22)*AM55,'[1]Core Assumptions'!$E$23)</f>
        <v>0</v>
      </c>
      <c r="AO55" s="299">
        <f t="shared" si="48"/>
        <v>0</v>
      </c>
      <c r="AP55" s="300">
        <f>IF(AN$7=0,0,MROUND(AN55/AN$7*AP$8/'[1]Core Assumptions'!$D$28,'[1]Core Assumptions'!$E$23))</f>
        <v>0</v>
      </c>
      <c r="AQ55" s="301">
        <f t="shared" si="13"/>
        <v>0</v>
      </c>
      <c r="AR55" s="302">
        <f t="shared" si="14"/>
        <v>0</v>
      </c>
      <c r="AS55" s="249"/>
      <c r="AT55" s="303">
        <f t="shared" si="15"/>
        <v>0</v>
      </c>
      <c r="AU55" s="267"/>
      <c r="AV55" s="295">
        <f>IF(OR(AND($E55=TRUE,'[1]Pricing Summary'!$B$33="Ultimate"),AND($F55=TRUE,'[1]Pricing Summary'!$B$33="Enhanced"),AND($G55=TRUE,'[1]Pricing Summary'!$B$33="Essential")),1,0)</f>
        <v>0</v>
      </c>
      <c r="AW55" s="304">
        <f t="shared" si="16"/>
        <v>0</v>
      </c>
      <c r="AX55" s="305">
        <f t="shared" si="17"/>
        <v>0</v>
      </c>
      <c r="AY55" s="267"/>
      <c r="AZ55" s="304">
        <f t="shared" si="18"/>
        <v>0</v>
      </c>
      <c r="BA55" s="222">
        <f t="shared" si="19"/>
        <v>0</v>
      </c>
      <c r="BB55" s="306">
        <f t="shared" si="20"/>
        <v>0</v>
      </c>
      <c r="BC55" s="272"/>
      <c r="BD55" s="307">
        <f t="shared" si="21"/>
        <v>0</v>
      </c>
      <c r="BE55" s="308">
        <f t="shared" si="22"/>
        <v>0</v>
      </c>
      <c r="BF55" s="308">
        <f t="shared" si="23"/>
        <v>0</v>
      </c>
      <c r="BG55" s="321">
        <f t="shared" si="24"/>
        <v>0</v>
      </c>
      <c r="BH55" s="249"/>
      <c r="BI55" s="310">
        <f t="shared" si="25"/>
        <v>0</v>
      </c>
      <c r="BJ55" s="311">
        <f t="shared" si="26"/>
        <v>0</v>
      </c>
      <c r="BK55" s="311">
        <f t="shared" si="27"/>
        <v>0</v>
      </c>
      <c r="BL55" s="312">
        <f t="shared" si="28"/>
        <v>0</v>
      </c>
      <c r="BM55" s="249"/>
      <c r="BN55" s="313">
        <f t="shared" si="29"/>
        <v>0</v>
      </c>
      <c r="BO55" s="314">
        <f t="shared" si="30"/>
        <v>0</v>
      </c>
      <c r="BP55" s="314">
        <f t="shared" si="31"/>
        <v>0</v>
      </c>
      <c r="BQ55" s="315">
        <f t="shared" si="32"/>
        <v>0</v>
      </c>
      <c r="BR55" s="249"/>
      <c r="BS55" s="307">
        <f t="shared" si="33"/>
        <v>0</v>
      </c>
      <c r="BT55" s="308">
        <f t="shared" si="34"/>
        <v>0</v>
      </c>
      <c r="BU55" s="308">
        <f t="shared" si="35"/>
        <v>0</v>
      </c>
      <c r="BV55" s="321">
        <f t="shared" si="36"/>
        <v>0</v>
      </c>
      <c r="BW55" s="249"/>
      <c r="BX55" s="310">
        <f t="shared" si="37"/>
        <v>0</v>
      </c>
      <c r="BY55" s="311">
        <f t="shared" si="38"/>
        <v>0</v>
      </c>
      <c r="BZ55" s="311">
        <f t="shared" si="39"/>
        <v>0</v>
      </c>
      <c r="CA55" s="312">
        <f t="shared" si="40"/>
        <v>0</v>
      </c>
      <c r="CB55" s="249"/>
      <c r="CC55" s="313">
        <f t="shared" si="41"/>
        <v>0</v>
      </c>
      <c r="CD55" s="314">
        <f t="shared" si="42"/>
        <v>0</v>
      </c>
      <c r="CE55" s="314">
        <f t="shared" si="43"/>
        <v>0</v>
      </c>
      <c r="CF55" s="315">
        <f t="shared" si="44"/>
        <v>0</v>
      </c>
      <c r="CG55" s="249"/>
      <c r="CH55" s="316"/>
    </row>
    <row r="56" spans="1:86" ht="15.75" hidden="1" customHeight="1" outlineLevel="1" x14ac:dyDescent="0.2">
      <c r="A56" s="242" t="str">
        <f>IF(OR(E56&lt;&gt;FALSE,F56&lt;&gt;FALSE,G56&lt;&gt;FALSE),MAX(A$16:A55)+1,"")</f>
        <v/>
      </c>
      <c r="B56" s="322" t="str">
        <f>IF('[1]Core Assumptions'!B71="","",CONCATENATE('[1]Core Assumptions'!B71," - Federal &amp; State Tax Returns"))</f>
        <v/>
      </c>
      <c r="C56" s="323" t="str">
        <f>IF('[1]Core Assumptions'!B71="","",'[1]Core Assumptions'!B71)</f>
        <v/>
      </c>
      <c r="D56" s="245" t="s">
        <v>11</v>
      </c>
      <c r="E56" s="324" t="b">
        <v>0</v>
      </c>
      <c r="F56" s="325" t="b">
        <v>0</v>
      </c>
      <c r="G56" s="326" t="b">
        <v>0</v>
      </c>
      <c r="H56" s="249"/>
      <c r="I56" s="327">
        <v>1</v>
      </c>
      <c r="J56" s="249"/>
      <c r="K56" s="328"/>
      <c r="L56" s="329"/>
      <c r="M56" s="329"/>
      <c r="N56" s="329"/>
      <c r="O56" s="329"/>
      <c r="P56" s="329"/>
      <c r="Q56" s="329"/>
      <c r="R56" s="329"/>
      <c r="S56" s="329"/>
      <c r="T56" s="329"/>
      <c r="U56" s="328"/>
      <c r="V56" s="329"/>
      <c r="W56" s="329"/>
      <c r="X56" s="329"/>
      <c r="Y56" s="329"/>
      <c r="Z56" s="329"/>
      <c r="AA56" s="330"/>
      <c r="AB56" s="318"/>
      <c r="AC56" s="319"/>
      <c r="AD56" s="319"/>
      <c r="AE56" s="320"/>
      <c r="AF56" s="249"/>
      <c r="AG56" s="331">
        <f>IF(OR(AND($E56=TRUE,'[1]Pricing Summary'!$B$33=$E$2),AND($F56=TRUE,'[1]Pricing Summary'!$B$33=$F$2),AND($G56=TRUE,'[1]Pricing Summary'!$B$33=$G$2)),1,0)</f>
        <v>0</v>
      </c>
      <c r="AH56" s="331">
        <f t="shared" si="45"/>
        <v>0</v>
      </c>
      <c r="AI56" s="332">
        <f t="shared" si="11"/>
        <v>0</v>
      </c>
      <c r="AJ56" s="333">
        <f t="shared" si="12"/>
        <v>0</v>
      </c>
      <c r="AK56" s="249"/>
      <c r="AL56" s="334">
        <f t="shared" si="46"/>
        <v>0</v>
      </c>
      <c r="AM56" s="335">
        <f t="shared" si="47"/>
        <v>0</v>
      </c>
      <c r="AN56" s="335">
        <f>MROUND((1+'[1]Core Assumptions'!$D$22)*AM56,'[1]Core Assumptions'!$E$23)</f>
        <v>0</v>
      </c>
      <c r="AO56" s="336">
        <f t="shared" si="48"/>
        <v>0</v>
      </c>
      <c r="AP56" s="337">
        <f>IF(AN$7=0,0,MROUND(AN56/AN$7*AP$8/'[1]Core Assumptions'!$D$28,'[1]Core Assumptions'!$E$23))</f>
        <v>0</v>
      </c>
      <c r="AQ56" s="338">
        <f t="shared" si="13"/>
        <v>0</v>
      </c>
      <c r="AR56" s="339">
        <f t="shared" si="14"/>
        <v>0</v>
      </c>
      <c r="AS56" s="249"/>
      <c r="AT56" s="340">
        <f t="shared" si="15"/>
        <v>0</v>
      </c>
      <c r="AU56" s="267"/>
      <c r="AV56" s="331">
        <f>IF(OR(AND($E56=TRUE,'[1]Pricing Summary'!$B$33="Ultimate"),AND($F56=TRUE,'[1]Pricing Summary'!$B$33="Enhanced"),AND($G56=TRUE,'[1]Pricing Summary'!$B$33="Essential")),1,0)</f>
        <v>0</v>
      </c>
      <c r="AW56" s="341">
        <f t="shared" si="16"/>
        <v>0</v>
      </c>
      <c r="AX56" s="342">
        <f t="shared" si="17"/>
        <v>0</v>
      </c>
      <c r="AY56" s="267"/>
      <c r="AZ56" s="341">
        <f t="shared" si="18"/>
        <v>0</v>
      </c>
      <c r="BA56" s="343">
        <f t="shared" si="19"/>
        <v>0</v>
      </c>
      <c r="BB56" s="344">
        <f t="shared" si="20"/>
        <v>0</v>
      </c>
      <c r="BC56" s="272"/>
      <c r="BD56" s="345">
        <f t="shared" si="21"/>
        <v>0</v>
      </c>
      <c r="BE56" s="346">
        <f t="shared" si="22"/>
        <v>0</v>
      </c>
      <c r="BF56" s="346">
        <f t="shared" si="23"/>
        <v>0</v>
      </c>
      <c r="BG56" s="347">
        <f t="shared" si="24"/>
        <v>0</v>
      </c>
      <c r="BH56" s="249"/>
      <c r="BI56" s="348">
        <f t="shared" si="25"/>
        <v>0</v>
      </c>
      <c r="BJ56" s="349">
        <f t="shared" si="26"/>
        <v>0</v>
      </c>
      <c r="BK56" s="349">
        <f t="shared" si="27"/>
        <v>0</v>
      </c>
      <c r="BL56" s="350">
        <f t="shared" si="28"/>
        <v>0</v>
      </c>
      <c r="BM56" s="249"/>
      <c r="BN56" s="351">
        <f t="shared" si="29"/>
        <v>0</v>
      </c>
      <c r="BO56" s="352">
        <f t="shared" si="30"/>
        <v>0</v>
      </c>
      <c r="BP56" s="352">
        <f t="shared" si="31"/>
        <v>0</v>
      </c>
      <c r="BQ56" s="353">
        <f t="shared" si="32"/>
        <v>0</v>
      </c>
      <c r="BR56" s="249"/>
      <c r="BS56" s="345">
        <f t="shared" si="33"/>
        <v>0</v>
      </c>
      <c r="BT56" s="346">
        <f t="shared" si="34"/>
        <v>0</v>
      </c>
      <c r="BU56" s="346">
        <f t="shared" si="35"/>
        <v>0</v>
      </c>
      <c r="BV56" s="347">
        <f t="shared" si="36"/>
        <v>0</v>
      </c>
      <c r="BW56" s="249"/>
      <c r="BX56" s="348">
        <f t="shared" si="37"/>
        <v>0</v>
      </c>
      <c r="BY56" s="349">
        <f t="shared" si="38"/>
        <v>0</v>
      </c>
      <c r="BZ56" s="349">
        <f t="shared" si="39"/>
        <v>0</v>
      </c>
      <c r="CA56" s="350">
        <f t="shared" si="40"/>
        <v>0</v>
      </c>
      <c r="CB56" s="249"/>
      <c r="CC56" s="351">
        <f t="shared" si="41"/>
        <v>0</v>
      </c>
      <c r="CD56" s="352">
        <f t="shared" si="42"/>
        <v>0</v>
      </c>
      <c r="CE56" s="352">
        <f t="shared" si="43"/>
        <v>0</v>
      </c>
      <c r="CF56" s="353">
        <f t="shared" si="44"/>
        <v>0</v>
      </c>
      <c r="CG56" s="249"/>
      <c r="CH56" s="354"/>
    </row>
    <row r="57" spans="1:86" ht="16" collapsed="1" x14ac:dyDescent="0.2">
      <c r="A57" s="39" t="s">
        <v>124</v>
      </c>
      <c r="B57" s="40"/>
      <c r="C57" s="40"/>
      <c r="D57" s="355" t="s">
        <v>11</v>
      </c>
      <c r="E57" s="40"/>
      <c r="F57" s="40"/>
      <c r="G57" s="40"/>
      <c r="I57" s="356"/>
      <c r="K57" s="357"/>
      <c r="L57" s="357"/>
      <c r="M57" s="357"/>
      <c r="N57" s="357"/>
      <c r="O57" s="357"/>
      <c r="P57" s="357"/>
      <c r="Q57" s="357"/>
      <c r="R57" s="357"/>
      <c r="S57" s="357"/>
      <c r="T57" s="357"/>
      <c r="U57" s="357"/>
      <c r="V57" s="357"/>
      <c r="W57" s="357"/>
      <c r="X57" s="357"/>
      <c r="Y57" s="357"/>
      <c r="Z57" s="357"/>
      <c r="AA57" s="357"/>
      <c r="AB57" s="357"/>
      <c r="AC57" s="357"/>
      <c r="AD57" s="357"/>
      <c r="AE57" s="357"/>
      <c r="AG57" s="358"/>
      <c r="AH57" s="358"/>
      <c r="AI57" s="357"/>
      <c r="AJ57" s="40"/>
      <c r="AL57" s="359"/>
      <c r="AM57" s="359"/>
      <c r="AN57" s="359"/>
      <c r="AO57" s="359"/>
      <c r="AP57" s="359"/>
      <c r="AQ57" s="360"/>
      <c r="AR57" s="361"/>
      <c r="AT57" s="359"/>
      <c r="AV57" s="358"/>
      <c r="AW57" s="362"/>
      <c r="AX57" s="362"/>
      <c r="AZ57" s="363"/>
      <c r="BA57" s="363"/>
      <c r="BB57" s="363"/>
      <c r="BD57" s="357"/>
      <c r="BE57" s="359"/>
      <c r="BF57" s="359"/>
      <c r="BG57" s="364"/>
      <c r="BI57" s="357"/>
      <c r="BJ57" s="359"/>
      <c r="BK57" s="359"/>
      <c r="BL57" s="364"/>
      <c r="BN57" s="357"/>
      <c r="BO57" s="359"/>
      <c r="BP57" s="359"/>
      <c r="BQ57" s="364"/>
      <c r="BS57" s="357"/>
      <c r="BT57" s="359"/>
      <c r="BU57" s="359"/>
      <c r="BV57" s="364"/>
      <c r="BX57" s="357"/>
      <c r="BY57" s="359"/>
      <c r="BZ57" s="359"/>
      <c r="CA57" s="364"/>
      <c r="CC57" s="357"/>
      <c r="CD57" s="359"/>
      <c r="CE57" s="359"/>
      <c r="CF57" s="364"/>
      <c r="CH57" s="365"/>
    </row>
    <row r="58" spans="1:86" ht="19.5" customHeight="1" thickBot="1" x14ac:dyDescent="0.3">
      <c r="A58" s="160"/>
      <c r="B58" s="366" t="s">
        <v>125</v>
      </c>
      <c r="C58" s="234"/>
      <c r="D58" s="355" t="s">
        <v>11</v>
      </c>
      <c r="E58" s="367"/>
      <c r="F58" s="367"/>
      <c r="G58" s="367"/>
      <c r="H58" s="162"/>
      <c r="I58" s="368"/>
      <c r="J58" s="162"/>
      <c r="K58" s="369"/>
      <c r="L58" s="369"/>
      <c r="M58" s="369"/>
      <c r="N58" s="369"/>
      <c r="O58" s="369"/>
      <c r="P58" s="369"/>
      <c r="Q58" s="369"/>
      <c r="R58" s="369"/>
      <c r="S58" s="369"/>
      <c r="T58" s="369"/>
      <c r="U58" s="369"/>
      <c r="V58" s="369"/>
      <c r="W58" s="369"/>
      <c r="X58" s="369"/>
      <c r="Y58" s="369"/>
      <c r="Z58" s="369"/>
      <c r="AA58" s="369"/>
      <c r="AB58" s="370"/>
      <c r="AC58" s="370"/>
      <c r="AD58" s="370"/>
      <c r="AE58" s="370"/>
      <c r="AF58" s="162"/>
      <c r="AG58" s="371"/>
      <c r="AH58" s="371"/>
      <c r="AI58" s="369"/>
      <c r="AJ58" s="63"/>
      <c r="AK58" s="162"/>
      <c r="AL58" s="372"/>
      <c r="AM58" s="372"/>
      <c r="AN58" s="372"/>
      <c r="AO58" s="372"/>
      <c r="AP58" s="11"/>
      <c r="AQ58" s="163"/>
      <c r="AR58" s="373"/>
      <c r="AS58" s="162"/>
      <c r="AT58" s="372"/>
      <c r="AU58" s="164"/>
      <c r="AV58" s="371"/>
      <c r="AW58" s="374"/>
      <c r="AX58" s="374"/>
      <c r="AY58" s="164"/>
      <c r="AZ58" s="375"/>
      <c r="BA58" s="375"/>
      <c r="BB58" s="375"/>
      <c r="BC58" s="166"/>
      <c r="BD58" s="369"/>
      <c r="BE58" s="372"/>
      <c r="BF58" s="372"/>
      <c r="BG58" s="376"/>
      <c r="BH58" s="162"/>
      <c r="BI58" s="369"/>
      <c r="BJ58" s="372"/>
      <c r="BK58" s="372"/>
      <c r="BL58" s="376"/>
      <c r="BM58" s="162"/>
      <c r="BN58" s="369"/>
      <c r="BO58" s="372"/>
      <c r="BP58" s="372"/>
      <c r="BQ58" s="376"/>
      <c r="BR58" s="162"/>
      <c r="BS58" s="369"/>
      <c r="BT58" s="372"/>
      <c r="BU58" s="372"/>
      <c r="BV58" s="376"/>
      <c r="BW58" s="162"/>
      <c r="BX58" s="369"/>
      <c r="BY58" s="372"/>
      <c r="BZ58" s="372"/>
      <c r="CA58" s="376"/>
      <c r="CB58" s="162"/>
      <c r="CC58" s="369"/>
      <c r="CD58" s="372"/>
      <c r="CE58" s="372"/>
      <c r="CF58" s="376"/>
      <c r="CG58" s="162"/>
      <c r="CH58" s="377"/>
    </row>
    <row r="59" spans="1:86" ht="15.75" customHeight="1" x14ac:dyDescent="0.2">
      <c r="A59" s="242" t="str">
        <f>IF(OR(E59&lt;&gt;FALSE,F59&lt;&gt;FALSE,G59&lt;&gt;FALSE),MAX(A$16:A58)+1,"")</f>
        <v/>
      </c>
      <c r="B59" s="284" t="s">
        <v>126</v>
      </c>
      <c r="C59" s="244" t="s">
        <v>42</v>
      </c>
      <c r="D59" s="245" t="s">
        <v>11</v>
      </c>
      <c r="E59" s="246" t="b">
        <v>0</v>
      </c>
      <c r="F59" s="247" t="b">
        <v>0</v>
      </c>
      <c r="G59" s="248" t="b">
        <v>0</v>
      </c>
      <c r="H59" s="249"/>
      <c r="I59" s="250">
        <v>1</v>
      </c>
      <c r="J59" s="249"/>
      <c r="K59" s="251"/>
      <c r="L59" s="252"/>
      <c r="M59" s="252"/>
      <c r="N59" s="252"/>
      <c r="O59" s="252"/>
      <c r="P59" s="252"/>
      <c r="Q59" s="252"/>
      <c r="R59" s="252"/>
      <c r="S59" s="252"/>
      <c r="T59" s="252"/>
      <c r="U59" s="251"/>
      <c r="V59" s="252"/>
      <c r="W59" s="252"/>
      <c r="X59" s="252"/>
      <c r="Y59" s="252"/>
      <c r="Z59" s="252"/>
      <c r="AA59" s="253"/>
      <c r="AB59" s="254"/>
      <c r="AC59" s="255"/>
      <c r="AD59" s="255"/>
      <c r="AE59" s="256"/>
      <c r="AF59" s="249"/>
      <c r="AG59" s="257">
        <f>IF(OR(AND($E59=TRUE,'[1]Pricing Summary'!$B$33=$E$2),AND($F59=TRUE,'[1]Pricing Summary'!$B$33=$F$2),AND($G59=TRUE,'[1]Pricing Summary'!$B$33=$G$2)),1,0)</f>
        <v>0</v>
      </c>
      <c r="AH59" s="257">
        <f t="shared" ref="AH59:AH93" si="49">IF(OR($E59=TRUE,$F59=TRUE,$G59=TRUE),1,0)</f>
        <v>0</v>
      </c>
      <c r="AI59" s="258">
        <f t="shared" ref="AI59:AI93" si="50">$I59*SUM($K59:$AE59)*$AH59</f>
        <v>0</v>
      </c>
      <c r="AJ59" s="259">
        <f t="shared" ref="AJ59:AJ93" si="51">IFERROR(SUM($U59:$AA59)/SUM($K59:$AA59)*$AH59,0)</f>
        <v>0</v>
      </c>
      <c r="AK59" s="249"/>
      <c r="AL59" s="260">
        <f t="shared" ref="AL59:AL93" si="52">SUMPRODUCT($K$11:$AE$11,$K59:$AE59)</f>
        <v>0</v>
      </c>
      <c r="AM59" s="261">
        <f t="shared" ref="AM59:AM93" si="53">SUMPRODUCT($K$13:$AE$13,$K59:$AE59)</f>
        <v>0</v>
      </c>
      <c r="AN59" s="261">
        <f>MROUND((1+'[1]Core Assumptions'!$D$22)*AM59,'[1]Core Assumptions'!$E$23)</f>
        <v>0</v>
      </c>
      <c r="AO59" s="262">
        <v>2000</v>
      </c>
      <c r="AP59" s="263">
        <f>IF(AN$7=0,0,MROUND(AN59/AN$7*AP$8/'[1]Core Assumptions'!$D$28,'[1]Core Assumptions'!$E$23))</f>
        <v>0</v>
      </c>
      <c r="AQ59" s="264">
        <f t="shared" ref="AQ59:AQ93" si="54">IF(AL59=0,0,AO59/AL59)</f>
        <v>0</v>
      </c>
      <c r="AR59" s="265">
        <f t="shared" ref="AR59:AR93" si="55">IFERROR(AO59/SUM(K59:AE59),0)</f>
        <v>0</v>
      </c>
      <c r="AS59" s="249"/>
      <c r="AT59" s="266">
        <f t="shared" ref="AT59:AT93" si="56">SUMPRODUCT($K$14:$AE$14,$K59:$AE59)</f>
        <v>0</v>
      </c>
      <c r="AU59" s="267"/>
      <c r="AV59" s="257">
        <f>IF(OR(AND($E59=TRUE,'[1]Pricing Summary'!$B$33="Ultimate"),AND($F59=TRUE,'[1]Pricing Summary'!$B$33="Enhanced"),AND($G59=TRUE,'[1]Pricing Summary'!$B$33="Essential")),1,0)</f>
        <v>0</v>
      </c>
      <c r="AW59" s="268">
        <f t="shared" ref="AW59:AW93" si="57">$AL59*$AV59</f>
        <v>0</v>
      </c>
      <c r="AX59" s="269">
        <f t="shared" ref="AX59:AX93" si="58">$AO59*$AV59</f>
        <v>0</v>
      </c>
      <c r="AY59" s="267"/>
      <c r="AZ59" s="268">
        <f t="shared" ref="AZ59:AZ71" si="59">IF($E59=TRUE,$I59*$AL59,0)</f>
        <v>0</v>
      </c>
      <c r="BA59" s="270">
        <f t="shared" ref="BA59:BA71" si="60">IF($F59=TRUE,$I59*$AL59,0)</f>
        <v>0</v>
      </c>
      <c r="BB59" s="271">
        <f t="shared" ref="BB59:BB71" si="61">IF($G59=TRUE,$I59*$AL59,0)</f>
        <v>0</v>
      </c>
      <c r="BC59" s="272"/>
      <c r="BD59" s="273">
        <f t="shared" ref="BD59:BD93" si="62">IF($E59=TRUE,$AI59,0)</f>
        <v>0</v>
      </c>
      <c r="BE59" s="274">
        <f t="shared" ref="BE59:BE71" si="63">IF($E59=TRUE,$I59*$AM59,0)</f>
        <v>0</v>
      </c>
      <c r="BF59" s="274">
        <f t="shared" ref="BF59:BF93" si="64">IF($E59=TRUE,BE59-$I59*$AT59,0)</f>
        <v>0</v>
      </c>
      <c r="BG59" s="275">
        <f t="shared" ref="BG59:BG93" si="65">IFERROR(BF59/BE59,0)</f>
        <v>0</v>
      </c>
      <c r="BH59" s="249"/>
      <c r="BI59" s="276">
        <f t="shared" ref="BI59:BI93" si="66">IF($F59=TRUE,$AI59,0)</f>
        <v>0</v>
      </c>
      <c r="BJ59" s="277">
        <f t="shared" ref="BJ59:BJ71" si="67">IF($F59=TRUE,$I59*$AM59,0)</f>
        <v>0</v>
      </c>
      <c r="BK59" s="277">
        <f t="shared" ref="BK59:BK93" si="68">IF($F59=TRUE,BJ59-$I59*$AT59,0)</f>
        <v>0</v>
      </c>
      <c r="BL59" s="278">
        <f t="shared" ref="BL59:BL93" si="69">IFERROR(BK59/BJ59,0)</f>
        <v>0</v>
      </c>
      <c r="BM59" s="249"/>
      <c r="BN59" s="279">
        <f t="shared" ref="BN59:BN93" si="70">IF($G59=TRUE,$AI59,0)</f>
        <v>0</v>
      </c>
      <c r="BO59" s="280">
        <f t="shared" ref="BO59:BO71" si="71">IF($G59=TRUE,$I59*$AM59,0)</f>
        <v>0</v>
      </c>
      <c r="BP59" s="280">
        <f t="shared" ref="BP59:BP93" si="72">IF($G59=TRUE,BO59-$I59*$AT59,0)</f>
        <v>0</v>
      </c>
      <c r="BQ59" s="281">
        <f t="shared" ref="BQ59:BQ93" si="73">IFERROR(BP59/BO59,0)</f>
        <v>0</v>
      </c>
      <c r="BR59" s="249"/>
      <c r="BS59" s="273">
        <f t="shared" ref="BS59:BS93" si="74">IF($E59=TRUE,$AI59,0)</f>
        <v>0</v>
      </c>
      <c r="BT59" s="274">
        <f t="shared" ref="BT59:BT93" si="75">IF($E59=TRUE,$I59*$AO59,0)</f>
        <v>0</v>
      </c>
      <c r="BU59" s="274">
        <f t="shared" ref="BU59:BU93" si="76">IF($E59=TRUE,BT59-$I59*$AT59,0)</f>
        <v>0</v>
      </c>
      <c r="BV59" s="275">
        <f t="shared" ref="BV59:BV93" si="77">IFERROR(BU59/BT59,0)</f>
        <v>0</v>
      </c>
      <c r="BW59" s="249"/>
      <c r="BX59" s="276">
        <f t="shared" ref="BX59:BX93" si="78">IF($F59=TRUE,$AI59,0)</f>
        <v>0</v>
      </c>
      <c r="BY59" s="277">
        <f t="shared" ref="BY59:BY71" si="79">IF($F59=TRUE,$I59*$AO59,0)</f>
        <v>0</v>
      </c>
      <c r="BZ59" s="277">
        <f t="shared" ref="BZ59:BZ93" si="80">IF($F59=TRUE,BY59-$I59*$AT59,0)</f>
        <v>0</v>
      </c>
      <c r="CA59" s="278">
        <f t="shared" ref="CA59:CA93" si="81">IFERROR(BZ59/BY59,0)</f>
        <v>0</v>
      </c>
      <c r="CB59" s="249"/>
      <c r="CC59" s="279">
        <f t="shared" ref="CC59:CC93" si="82">IF($G59=TRUE,$AI59,0)</f>
        <v>0</v>
      </c>
      <c r="CD59" s="280">
        <f t="shared" ref="CD59:CD71" si="83">IF($G59=TRUE,$I59*$AO59,0)</f>
        <v>0</v>
      </c>
      <c r="CE59" s="280">
        <f t="shared" ref="CE59:CE93" si="84">IF($G59=TRUE,CD59-$I59*$AT59,0)</f>
        <v>0</v>
      </c>
      <c r="CF59" s="281">
        <f t="shared" ref="CF59:CF93" si="85">IFERROR(CE59/CD59,0)</f>
        <v>0</v>
      </c>
      <c r="CG59" s="249"/>
      <c r="CH59" s="282"/>
    </row>
    <row r="60" spans="1:86" ht="15.75" customHeight="1" x14ac:dyDescent="0.2">
      <c r="A60" s="242" t="str">
        <f>IF(OR(E60&lt;&gt;FALSE,F60&lt;&gt;FALSE,G60&lt;&gt;FALSE),MAX(A$16:A59)+1,"")</f>
        <v/>
      </c>
      <c r="B60" s="284" t="s">
        <v>127</v>
      </c>
      <c r="C60" s="284" t="s">
        <v>42</v>
      </c>
      <c r="D60" s="245" t="s">
        <v>11</v>
      </c>
      <c r="E60" s="285" t="b">
        <v>0</v>
      </c>
      <c r="F60" s="286" t="b">
        <v>0</v>
      </c>
      <c r="G60" s="287" t="b">
        <v>0</v>
      </c>
      <c r="H60" s="249"/>
      <c r="I60" s="288">
        <v>1</v>
      </c>
      <c r="J60" s="249"/>
      <c r="K60" s="289"/>
      <c r="L60" s="290"/>
      <c r="M60" s="290"/>
      <c r="N60" s="290"/>
      <c r="O60" s="290"/>
      <c r="P60" s="290"/>
      <c r="Q60" s="290"/>
      <c r="R60" s="290"/>
      <c r="S60" s="290"/>
      <c r="T60" s="290"/>
      <c r="U60" s="289"/>
      <c r="V60" s="290"/>
      <c r="W60" s="290"/>
      <c r="X60" s="290"/>
      <c r="Y60" s="290"/>
      <c r="Z60" s="290"/>
      <c r="AA60" s="291"/>
      <c r="AB60" s="292"/>
      <c r="AC60" s="293"/>
      <c r="AD60" s="293"/>
      <c r="AE60" s="294"/>
      <c r="AF60" s="249"/>
      <c r="AG60" s="295">
        <f>IF(OR(AND($E60=TRUE,'[1]Pricing Summary'!$B$33=$E$2),AND($F60=TRUE,'[1]Pricing Summary'!$B$33=$F$2),AND($G60=TRUE,'[1]Pricing Summary'!$B$33=$G$2)),1,0)</f>
        <v>0</v>
      </c>
      <c r="AH60" s="295">
        <f t="shared" si="49"/>
        <v>0</v>
      </c>
      <c r="AI60" s="296">
        <f t="shared" si="50"/>
        <v>0</v>
      </c>
      <c r="AJ60" s="297">
        <f t="shared" si="51"/>
        <v>0</v>
      </c>
      <c r="AK60" s="249"/>
      <c r="AL60" s="298">
        <f t="shared" si="52"/>
        <v>0</v>
      </c>
      <c r="AM60" s="221">
        <f t="shared" si="53"/>
        <v>0</v>
      </c>
      <c r="AN60" s="221">
        <f>MROUND((1+'[1]Core Assumptions'!$D$22)*AM60,'[1]Core Assumptions'!$E$23)</f>
        <v>0</v>
      </c>
      <c r="AO60" s="299">
        <f t="shared" ref="AO60:AO93" si="86">AN60</f>
        <v>0</v>
      </c>
      <c r="AP60" s="300">
        <f>IF(AN$7=0,0,MROUND(AN60/AN$7*AP$8/'[1]Core Assumptions'!$D$28,'[1]Core Assumptions'!$E$23))</f>
        <v>0</v>
      </c>
      <c r="AQ60" s="301">
        <f t="shared" si="54"/>
        <v>0</v>
      </c>
      <c r="AR60" s="302">
        <f t="shared" si="55"/>
        <v>0</v>
      </c>
      <c r="AS60" s="249"/>
      <c r="AT60" s="303">
        <f t="shared" si="56"/>
        <v>0</v>
      </c>
      <c r="AU60" s="267"/>
      <c r="AV60" s="295">
        <f>IF(OR(AND($E60=TRUE,'[1]Pricing Summary'!$B$33="Ultimate"),AND($F60=TRUE,'[1]Pricing Summary'!$B$33="Enhanced"),AND($G60=TRUE,'[1]Pricing Summary'!$B$33="Essential")),1,0)</f>
        <v>0</v>
      </c>
      <c r="AW60" s="304">
        <f t="shared" si="57"/>
        <v>0</v>
      </c>
      <c r="AX60" s="305">
        <f t="shared" si="58"/>
        <v>0</v>
      </c>
      <c r="AY60" s="267"/>
      <c r="AZ60" s="304">
        <f t="shared" si="59"/>
        <v>0</v>
      </c>
      <c r="BA60" s="222">
        <f t="shared" si="60"/>
        <v>0</v>
      </c>
      <c r="BB60" s="306">
        <f t="shared" si="61"/>
        <v>0</v>
      </c>
      <c r="BC60" s="272"/>
      <c r="BD60" s="307">
        <f t="shared" si="62"/>
        <v>0</v>
      </c>
      <c r="BE60" s="308">
        <f t="shared" si="63"/>
        <v>0</v>
      </c>
      <c r="BF60" s="308">
        <f t="shared" si="64"/>
        <v>0</v>
      </c>
      <c r="BG60" s="309">
        <f t="shared" si="65"/>
        <v>0</v>
      </c>
      <c r="BH60" s="249"/>
      <c r="BI60" s="310">
        <f t="shared" si="66"/>
        <v>0</v>
      </c>
      <c r="BJ60" s="311">
        <f t="shared" si="67"/>
        <v>0</v>
      </c>
      <c r="BK60" s="311">
        <f t="shared" si="68"/>
        <v>0</v>
      </c>
      <c r="BL60" s="312">
        <f t="shared" si="69"/>
        <v>0</v>
      </c>
      <c r="BM60" s="249"/>
      <c r="BN60" s="313">
        <f t="shared" si="70"/>
        <v>0</v>
      </c>
      <c r="BO60" s="314">
        <f t="shared" si="71"/>
        <v>0</v>
      </c>
      <c r="BP60" s="314">
        <f t="shared" si="72"/>
        <v>0</v>
      </c>
      <c r="BQ60" s="315">
        <f t="shared" si="73"/>
        <v>0</v>
      </c>
      <c r="BR60" s="249"/>
      <c r="BS60" s="307">
        <f t="shared" si="74"/>
        <v>0</v>
      </c>
      <c r="BT60" s="308">
        <f t="shared" si="75"/>
        <v>0</v>
      </c>
      <c r="BU60" s="308">
        <f t="shared" si="76"/>
        <v>0</v>
      </c>
      <c r="BV60" s="309">
        <f t="shared" si="77"/>
        <v>0</v>
      </c>
      <c r="BW60" s="249"/>
      <c r="BX60" s="310">
        <f t="shared" si="78"/>
        <v>0</v>
      </c>
      <c r="BY60" s="311">
        <f t="shared" si="79"/>
        <v>0</v>
      </c>
      <c r="BZ60" s="311">
        <f t="shared" si="80"/>
        <v>0</v>
      </c>
      <c r="CA60" s="312">
        <f t="shared" si="81"/>
        <v>0</v>
      </c>
      <c r="CB60" s="249"/>
      <c r="CC60" s="313">
        <f t="shared" si="82"/>
        <v>0</v>
      </c>
      <c r="CD60" s="314">
        <f t="shared" si="83"/>
        <v>0</v>
      </c>
      <c r="CE60" s="314">
        <f t="shared" si="84"/>
        <v>0</v>
      </c>
      <c r="CF60" s="315">
        <f t="shared" si="85"/>
        <v>0</v>
      </c>
      <c r="CG60" s="249"/>
      <c r="CH60" s="316"/>
    </row>
    <row r="61" spans="1:86" ht="15.75" customHeight="1" x14ac:dyDescent="0.2">
      <c r="A61" s="242" t="str">
        <f>IF(OR(E61&lt;&gt;FALSE,F61&lt;&gt;FALSE,G61&lt;&gt;FALSE),MAX(A$16:A60)+1,"")</f>
        <v/>
      </c>
      <c r="B61" s="284" t="s">
        <v>128</v>
      </c>
      <c r="C61" s="284" t="s">
        <v>42</v>
      </c>
      <c r="D61" s="245" t="s">
        <v>11</v>
      </c>
      <c r="E61" s="285" t="b">
        <v>0</v>
      </c>
      <c r="F61" s="286" t="b">
        <v>0</v>
      </c>
      <c r="G61" s="287" t="b">
        <v>0</v>
      </c>
      <c r="H61" s="249"/>
      <c r="I61" s="288">
        <v>1</v>
      </c>
      <c r="J61" s="249"/>
      <c r="K61" s="289"/>
      <c r="L61" s="290"/>
      <c r="M61" s="290"/>
      <c r="N61" s="290"/>
      <c r="O61" s="290"/>
      <c r="P61" s="290"/>
      <c r="Q61" s="290"/>
      <c r="R61" s="290"/>
      <c r="S61" s="290"/>
      <c r="T61" s="290"/>
      <c r="U61" s="289"/>
      <c r="V61" s="290"/>
      <c r="W61" s="290"/>
      <c r="X61" s="290"/>
      <c r="Y61" s="290"/>
      <c r="Z61" s="290"/>
      <c r="AA61" s="291"/>
      <c r="AB61" s="292"/>
      <c r="AC61" s="293"/>
      <c r="AD61" s="293"/>
      <c r="AE61" s="294"/>
      <c r="AF61" s="249"/>
      <c r="AG61" s="295">
        <f>IF(OR(AND($E61=TRUE,'[1]Pricing Summary'!$B$33=$E$2),AND($F61=TRUE,'[1]Pricing Summary'!$B$33=$F$2),AND($G61=TRUE,'[1]Pricing Summary'!$B$33=$G$2)),1,0)</f>
        <v>0</v>
      </c>
      <c r="AH61" s="295">
        <f t="shared" si="49"/>
        <v>0</v>
      </c>
      <c r="AI61" s="296">
        <f t="shared" si="50"/>
        <v>0</v>
      </c>
      <c r="AJ61" s="297">
        <f t="shared" si="51"/>
        <v>0</v>
      </c>
      <c r="AK61" s="249"/>
      <c r="AL61" s="298">
        <f t="shared" si="52"/>
        <v>0</v>
      </c>
      <c r="AM61" s="221">
        <f t="shared" si="53"/>
        <v>0</v>
      </c>
      <c r="AN61" s="221">
        <f>MROUND((1+'[1]Core Assumptions'!$D$22)*AM61,'[1]Core Assumptions'!$E$23)</f>
        <v>0</v>
      </c>
      <c r="AO61" s="299">
        <v>20000</v>
      </c>
      <c r="AP61" s="300">
        <f>IF(AN$7=0,0,MROUND(AN61/AN$7*AP$8/'[1]Core Assumptions'!$D$28,'[1]Core Assumptions'!$E$23))</f>
        <v>0</v>
      </c>
      <c r="AQ61" s="301">
        <f t="shared" si="54"/>
        <v>0</v>
      </c>
      <c r="AR61" s="302">
        <f t="shared" si="55"/>
        <v>0</v>
      </c>
      <c r="AS61" s="249"/>
      <c r="AT61" s="303">
        <f t="shared" si="56"/>
        <v>0</v>
      </c>
      <c r="AU61" s="267"/>
      <c r="AV61" s="295">
        <f>IF(OR(AND($E61=TRUE,'[1]Pricing Summary'!$B$33="Ultimate"),AND($F61=TRUE,'[1]Pricing Summary'!$B$33="Enhanced"),AND($G61=TRUE,'[1]Pricing Summary'!$B$33="Essential")),1,0)</f>
        <v>0</v>
      </c>
      <c r="AW61" s="304">
        <f t="shared" si="57"/>
        <v>0</v>
      </c>
      <c r="AX61" s="305">
        <f t="shared" si="58"/>
        <v>0</v>
      </c>
      <c r="AY61" s="267"/>
      <c r="AZ61" s="304">
        <f t="shared" si="59"/>
        <v>0</v>
      </c>
      <c r="BA61" s="222">
        <f t="shared" si="60"/>
        <v>0</v>
      </c>
      <c r="BB61" s="306">
        <f t="shared" si="61"/>
        <v>0</v>
      </c>
      <c r="BC61" s="272"/>
      <c r="BD61" s="307">
        <f t="shared" si="62"/>
        <v>0</v>
      </c>
      <c r="BE61" s="308">
        <f t="shared" si="63"/>
        <v>0</v>
      </c>
      <c r="BF61" s="308">
        <f t="shared" si="64"/>
        <v>0</v>
      </c>
      <c r="BG61" s="309">
        <f t="shared" si="65"/>
        <v>0</v>
      </c>
      <c r="BH61" s="249"/>
      <c r="BI61" s="310">
        <f t="shared" si="66"/>
        <v>0</v>
      </c>
      <c r="BJ61" s="311">
        <f t="shared" si="67"/>
        <v>0</v>
      </c>
      <c r="BK61" s="311">
        <f t="shared" si="68"/>
        <v>0</v>
      </c>
      <c r="BL61" s="312">
        <f t="shared" si="69"/>
        <v>0</v>
      </c>
      <c r="BM61" s="249"/>
      <c r="BN61" s="313">
        <f t="shared" si="70"/>
        <v>0</v>
      </c>
      <c r="BO61" s="314">
        <f t="shared" si="71"/>
        <v>0</v>
      </c>
      <c r="BP61" s="314">
        <f t="shared" si="72"/>
        <v>0</v>
      </c>
      <c r="BQ61" s="315">
        <f t="shared" si="73"/>
        <v>0</v>
      </c>
      <c r="BR61" s="249"/>
      <c r="BS61" s="307">
        <f t="shared" si="74"/>
        <v>0</v>
      </c>
      <c r="BT61" s="308">
        <f t="shared" si="75"/>
        <v>0</v>
      </c>
      <c r="BU61" s="308">
        <f t="shared" si="76"/>
        <v>0</v>
      </c>
      <c r="BV61" s="309">
        <f t="shared" si="77"/>
        <v>0</v>
      </c>
      <c r="BW61" s="249"/>
      <c r="BX61" s="310">
        <f t="shared" si="78"/>
        <v>0</v>
      </c>
      <c r="BY61" s="311">
        <f t="shared" si="79"/>
        <v>0</v>
      </c>
      <c r="BZ61" s="311">
        <f t="shared" si="80"/>
        <v>0</v>
      </c>
      <c r="CA61" s="312">
        <f t="shared" si="81"/>
        <v>0</v>
      </c>
      <c r="CB61" s="249"/>
      <c r="CC61" s="313">
        <f t="shared" si="82"/>
        <v>0</v>
      </c>
      <c r="CD61" s="314">
        <f t="shared" si="83"/>
        <v>0</v>
      </c>
      <c r="CE61" s="314">
        <f t="shared" si="84"/>
        <v>0</v>
      </c>
      <c r="CF61" s="315">
        <f t="shared" si="85"/>
        <v>0</v>
      </c>
      <c r="CG61" s="249"/>
      <c r="CH61" s="316"/>
    </row>
    <row r="62" spans="1:86" ht="15.75" customHeight="1" x14ac:dyDescent="0.2">
      <c r="A62" s="242" t="str">
        <f>IF(OR(E62&lt;&gt;FALSE,F62&lt;&gt;FALSE,G62&lt;&gt;FALSE),MAX(A$16:A61)+1,"")</f>
        <v/>
      </c>
      <c r="B62" s="284" t="s">
        <v>129</v>
      </c>
      <c r="C62" s="284" t="s">
        <v>42</v>
      </c>
      <c r="D62" s="245" t="s">
        <v>11</v>
      </c>
      <c r="E62" s="285" t="b">
        <v>0</v>
      </c>
      <c r="F62" s="286" t="b">
        <v>0</v>
      </c>
      <c r="G62" s="287" t="b">
        <v>0</v>
      </c>
      <c r="H62" s="249"/>
      <c r="I62" s="288">
        <v>1</v>
      </c>
      <c r="J62" s="249"/>
      <c r="K62" s="289"/>
      <c r="L62" s="290"/>
      <c r="M62" s="290"/>
      <c r="N62" s="290"/>
      <c r="O62" s="290"/>
      <c r="P62" s="290"/>
      <c r="Q62" s="290"/>
      <c r="R62" s="290"/>
      <c r="S62" s="290"/>
      <c r="T62" s="290"/>
      <c r="U62" s="289"/>
      <c r="V62" s="290"/>
      <c r="W62" s="290"/>
      <c r="X62" s="290"/>
      <c r="Y62" s="290"/>
      <c r="Z62" s="290"/>
      <c r="AA62" s="291"/>
      <c r="AB62" s="292"/>
      <c r="AC62" s="293"/>
      <c r="AD62" s="293"/>
      <c r="AE62" s="294"/>
      <c r="AF62" s="249"/>
      <c r="AG62" s="295">
        <f>IF(OR(AND($E62=TRUE,'[1]Pricing Summary'!$B$33=$E$2),AND($F62=TRUE,'[1]Pricing Summary'!$B$33=$F$2),AND($G62=TRUE,'[1]Pricing Summary'!$B$33=$G$2)),1,0)</f>
        <v>0</v>
      </c>
      <c r="AH62" s="295">
        <f t="shared" si="49"/>
        <v>0</v>
      </c>
      <c r="AI62" s="296">
        <f t="shared" si="50"/>
        <v>0</v>
      </c>
      <c r="AJ62" s="297">
        <f t="shared" si="51"/>
        <v>0</v>
      </c>
      <c r="AK62" s="249"/>
      <c r="AL62" s="298">
        <f t="shared" si="52"/>
        <v>0</v>
      </c>
      <c r="AM62" s="221">
        <f t="shared" si="53"/>
        <v>0</v>
      </c>
      <c r="AN62" s="221">
        <f>MROUND((1+'[1]Core Assumptions'!$D$22)*AM62,'[1]Core Assumptions'!$E$23)</f>
        <v>0</v>
      </c>
      <c r="AO62" s="299">
        <f t="shared" si="86"/>
        <v>0</v>
      </c>
      <c r="AP62" s="300">
        <f>IF(AN$7=0,0,MROUND(AN62/AN$7*AP$8/'[1]Core Assumptions'!$D$28,'[1]Core Assumptions'!$E$23))</f>
        <v>0</v>
      </c>
      <c r="AQ62" s="301">
        <f t="shared" si="54"/>
        <v>0</v>
      </c>
      <c r="AR62" s="302">
        <f t="shared" si="55"/>
        <v>0</v>
      </c>
      <c r="AS62" s="249"/>
      <c r="AT62" s="303">
        <f t="shared" si="56"/>
        <v>0</v>
      </c>
      <c r="AU62" s="267"/>
      <c r="AV62" s="295">
        <f>IF(OR(AND($E62=TRUE,'[1]Pricing Summary'!$B$33="Ultimate"),AND($F62=TRUE,'[1]Pricing Summary'!$B$33="Enhanced"),AND($G62=TRUE,'[1]Pricing Summary'!$B$33="Essential")),1,0)</f>
        <v>0</v>
      </c>
      <c r="AW62" s="304">
        <f t="shared" si="57"/>
        <v>0</v>
      </c>
      <c r="AX62" s="305">
        <f t="shared" si="58"/>
        <v>0</v>
      </c>
      <c r="AY62" s="267"/>
      <c r="AZ62" s="304">
        <f t="shared" si="59"/>
        <v>0</v>
      </c>
      <c r="BA62" s="222">
        <f t="shared" si="60"/>
        <v>0</v>
      </c>
      <c r="BB62" s="306">
        <f t="shared" si="61"/>
        <v>0</v>
      </c>
      <c r="BC62" s="272"/>
      <c r="BD62" s="307">
        <f t="shared" si="62"/>
        <v>0</v>
      </c>
      <c r="BE62" s="308">
        <f t="shared" si="63"/>
        <v>0</v>
      </c>
      <c r="BF62" s="308">
        <f t="shared" si="64"/>
        <v>0</v>
      </c>
      <c r="BG62" s="309">
        <f t="shared" si="65"/>
        <v>0</v>
      </c>
      <c r="BH62" s="249"/>
      <c r="BI62" s="310">
        <f t="shared" si="66"/>
        <v>0</v>
      </c>
      <c r="BJ62" s="311">
        <f t="shared" si="67"/>
        <v>0</v>
      </c>
      <c r="BK62" s="311">
        <f t="shared" si="68"/>
        <v>0</v>
      </c>
      <c r="BL62" s="312">
        <f t="shared" si="69"/>
        <v>0</v>
      </c>
      <c r="BM62" s="249"/>
      <c r="BN62" s="313">
        <f t="shared" si="70"/>
        <v>0</v>
      </c>
      <c r="BO62" s="314">
        <f t="shared" si="71"/>
        <v>0</v>
      </c>
      <c r="BP62" s="314">
        <f t="shared" si="72"/>
        <v>0</v>
      </c>
      <c r="BQ62" s="315">
        <f t="shared" si="73"/>
        <v>0</v>
      </c>
      <c r="BR62" s="249"/>
      <c r="BS62" s="307">
        <f t="shared" si="74"/>
        <v>0</v>
      </c>
      <c r="BT62" s="308">
        <f t="shared" si="75"/>
        <v>0</v>
      </c>
      <c r="BU62" s="308">
        <f t="shared" si="76"/>
        <v>0</v>
      </c>
      <c r="BV62" s="309">
        <f t="shared" si="77"/>
        <v>0</v>
      </c>
      <c r="BW62" s="249"/>
      <c r="BX62" s="310">
        <f t="shared" si="78"/>
        <v>0</v>
      </c>
      <c r="BY62" s="311">
        <f t="shared" si="79"/>
        <v>0</v>
      </c>
      <c r="BZ62" s="311">
        <f t="shared" si="80"/>
        <v>0</v>
      </c>
      <c r="CA62" s="312">
        <f t="shared" si="81"/>
        <v>0</v>
      </c>
      <c r="CB62" s="249"/>
      <c r="CC62" s="313">
        <f t="shared" si="82"/>
        <v>0</v>
      </c>
      <c r="CD62" s="314">
        <f t="shared" si="83"/>
        <v>0</v>
      </c>
      <c r="CE62" s="314">
        <f t="shared" si="84"/>
        <v>0</v>
      </c>
      <c r="CF62" s="315">
        <f t="shared" si="85"/>
        <v>0</v>
      </c>
      <c r="CG62" s="249"/>
      <c r="CH62" s="316"/>
    </row>
    <row r="63" spans="1:86" ht="15.75" customHeight="1" x14ac:dyDescent="0.2">
      <c r="A63" s="242" t="str">
        <f>IF(OR(E63&lt;&gt;FALSE,F63&lt;&gt;FALSE,G63&lt;&gt;FALSE),MAX(A$16:A62)+1,"")</f>
        <v/>
      </c>
      <c r="B63" s="284" t="s">
        <v>130</v>
      </c>
      <c r="C63" s="284" t="s">
        <v>42</v>
      </c>
      <c r="D63" s="245" t="s">
        <v>11</v>
      </c>
      <c r="E63" s="285" t="b">
        <v>0</v>
      </c>
      <c r="F63" s="286" t="b">
        <v>0</v>
      </c>
      <c r="G63" s="287" t="b">
        <v>0</v>
      </c>
      <c r="H63" s="249"/>
      <c r="I63" s="288">
        <v>1</v>
      </c>
      <c r="J63" s="249"/>
      <c r="K63" s="289"/>
      <c r="L63" s="290"/>
      <c r="M63" s="290"/>
      <c r="N63" s="290"/>
      <c r="O63" s="290"/>
      <c r="P63" s="290"/>
      <c r="Q63" s="290"/>
      <c r="R63" s="290"/>
      <c r="S63" s="290"/>
      <c r="T63" s="290"/>
      <c r="U63" s="289"/>
      <c r="V63" s="290"/>
      <c r="W63" s="290"/>
      <c r="X63" s="290"/>
      <c r="Y63" s="290"/>
      <c r="Z63" s="290"/>
      <c r="AA63" s="291"/>
      <c r="AB63" s="292"/>
      <c r="AC63" s="293"/>
      <c r="AD63" s="293"/>
      <c r="AE63" s="294"/>
      <c r="AF63" s="249"/>
      <c r="AG63" s="295">
        <f>IF(OR(AND($E63=TRUE,'[1]Pricing Summary'!$B$33=$E$2),AND($F63=TRUE,'[1]Pricing Summary'!$B$33=$F$2),AND($G63=TRUE,'[1]Pricing Summary'!$B$33=$G$2)),1,0)</f>
        <v>0</v>
      </c>
      <c r="AH63" s="295">
        <f t="shared" si="49"/>
        <v>0</v>
      </c>
      <c r="AI63" s="296">
        <f t="shared" si="50"/>
        <v>0</v>
      </c>
      <c r="AJ63" s="297">
        <f t="shared" si="51"/>
        <v>0</v>
      </c>
      <c r="AK63" s="249"/>
      <c r="AL63" s="298">
        <f t="shared" si="52"/>
        <v>0</v>
      </c>
      <c r="AM63" s="221">
        <f t="shared" si="53"/>
        <v>0</v>
      </c>
      <c r="AN63" s="221">
        <f>MROUND((1+'[1]Core Assumptions'!$D$22)*AM63,'[1]Core Assumptions'!$E$23)</f>
        <v>0</v>
      </c>
      <c r="AO63" s="299">
        <f t="shared" si="86"/>
        <v>0</v>
      </c>
      <c r="AP63" s="300">
        <f>IF(AN$7=0,0,MROUND(AN63/AN$7*AP$8/'[1]Core Assumptions'!$D$28,'[1]Core Assumptions'!$E$23))</f>
        <v>0</v>
      </c>
      <c r="AQ63" s="301">
        <f t="shared" si="54"/>
        <v>0</v>
      </c>
      <c r="AR63" s="302">
        <f t="shared" si="55"/>
        <v>0</v>
      </c>
      <c r="AS63" s="249"/>
      <c r="AT63" s="303">
        <f t="shared" si="56"/>
        <v>0</v>
      </c>
      <c r="AU63" s="267"/>
      <c r="AV63" s="295">
        <f>IF(OR(AND($E63=TRUE,'[1]Pricing Summary'!$B$33="Ultimate"),AND($F63=TRUE,'[1]Pricing Summary'!$B$33="Enhanced"),AND($G63=TRUE,'[1]Pricing Summary'!$B$33="Essential")),1,0)</f>
        <v>0</v>
      </c>
      <c r="AW63" s="304">
        <f t="shared" si="57"/>
        <v>0</v>
      </c>
      <c r="AX63" s="305">
        <f t="shared" si="58"/>
        <v>0</v>
      </c>
      <c r="AY63" s="267"/>
      <c r="AZ63" s="304">
        <f t="shared" si="59"/>
        <v>0</v>
      </c>
      <c r="BA63" s="222">
        <f t="shared" si="60"/>
        <v>0</v>
      </c>
      <c r="BB63" s="306">
        <f t="shared" si="61"/>
        <v>0</v>
      </c>
      <c r="BC63" s="272"/>
      <c r="BD63" s="307">
        <f t="shared" si="62"/>
        <v>0</v>
      </c>
      <c r="BE63" s="308">
        <f t="shared" si="63"/>
        <v>0</v>
      </c>
      <c r="BF63" s="308">
        <f t="shared" si="64"/>
        <v>0</v>
      </c>
      <c r="BG63" s="309">
        <f t="shared" si="65"/>
        <v>0</v>
      </c>
      <c r="BH63" s="249"/>
      <c r="BI63" s="310">
        <f t="shared" si="66"/>
        <v>0</v>
      </c>
      <c r="BJ63" s="311">
        <f t="shared" si="67"/>
        <v>0</v>
      </c>
      <c r="BK63" s="311">
        <f t="shared" si="68"/>
        <v>0</v>
      </c>
      <c r="BL63" s="312">
        <f t="shared" si="69"/>
        <v>0</v>
      </c>
      <c r="BM63" s="249"/>
      <c r="BN63" s="313">
        <f t="shared" si="70"/>
        <v>0</v>
      </c>
      <c r="BO63" s="314">
        <f t="shared" si="71"/>
        <v>0</v>
      </c>
      <c r="BP63" s="314">
        <f t="shared" si="72"/>
        <v>0</v>
      </c>
      <c r="BQ63" s="315">
        <f t="shared" si="73"/>
        <v>0</v>
      </c>
      <c r="BR63" s="249"/>
      <c r="BS63" s="307">
        <f t="shared" si="74"/>
        <v>0</v>
      </c>
      <c r="BT63" s="308">
        <f t="shared" si="75"/>
        <v>0</v>
      </c>
      <c r="BU63" s="308">
        <f t="shared" si="76"/>
        <v>0</v>
      </c>
      <c r="BV63" s="309">
        <f t="shared" si="77"/>
        <v>0</v>
      </c>
      <c r="BW63" s="249"/>
      <c r="BX63" s="310">
        <f t="shared" si="78"/>
        <v>0</v>
      </c>
      <c r="BY63" s="311">
        <f t="shared" si="79"/>
        <v>0</v>
      </c>
      <c r="BZ63" s="311">
        <f t="shared" si="80"/>
        <v>0</v>
      </c>
      <c r="CA63" s="312">
        <f t="shared" si="81"/>
        <v>0</v>
      </c>
      <c r="CB63" s="249"/>
      <c r="CC63" s="313">
        <f t="shared" si="82"/>
        <v>0</v>
      </c>
      <c r="CD63" s="314">
        <f t="shared" si="83"/>
        <v>0</v>
      </c>
      <c r="CE63" s="314">
        <f t="shared" si="84"/>
        <v>0</v>
      </c>
      <c r="CF63" s="315">
        <f t="shared" si="85"/>
        <v>0</v>
      </c>
      <c r="CG63" s="249"/>
      <c r="CH63" s="316"/>
    </row>
    <row r="64" spans="1:86" ht="15.75" customHeight="1" thickBot="1" x14ac:dyDescent="0.25">
      <c r="A64" s="242" t="str">
        <f>IF(OR(E64&lt;&gt;FALSE,F64&lt;&gt;FALSE,G64&lt;&gt;FALSE),MAX(A$16:A63)+1,"")</f>
        <v/>
      </c>
      <c r="B64" s="284" t="s">
        <v>131</v>
      </c>
      <c r="C64" s="284" t="s">
        <v>42</v>
      </c>
      <c r="D64" s="245" t="s">
        <v>11</v>
      </c>
      <c r="E64" s="285" t="b">
        <v>0</v>
      </c>
      <c r="F64" s="286" t="b">
        <v>0</v>
      </c>
      <c r="G64" s="287" t="b">
        <v>0</v>
      </c>
      <c r="H64" s="249"/>
      <c r="I64" s="288">
        <v>1</v>
      </c>
      <c r="J64" s="249"/>
      <c r="K64" s="289"/>
      <c r="L64" s="290"/>
      <c r="M64" s="290"/>
      <c r="N64" s="290"/>
      <c r="O64" s="290"/>
      <c r="P64" s="290"/>
      <c r="Q64" s="290"/>
      <c r="R64" s="290"/>
      <c r="S64" s="290"/>
      <c r="T64" s="290"/>
      <c r="U64" s="289"/>
      <c r="V64" s="290"/>
      <c r="W64" s="290"/>
      <c r="X64" s="290"/>
      <c r="Y64" s="290"/>
      <c r="Z64" s="290"/>
      <c r="AA64" s="291"/>
      <c r="AB64" s="318"/>
      <c r="AC64" s="319"/>
      <c r="AD64" s="319"/>
      <c r="AE64" s="320"/>
      <c r="AF64" s="249"/>
      <c r="AG64" s="295">
        <f>IF(OR(AND($E64=TRUE,'[1]Pricing Summary'!$B$33=$E$2),AND($F64=TRUE,'[1]Pricing Summary'!$B$33=$F$2),AND($G64=TRUE,'[1]Pricing Summary'!$B$33=$G$2)),1,0)</f>
        <v>0</v>
      </c>
      <c r="AH64" s="295">
        <f t="shared" si="49"/>
        <v>0</v>
      </c>
      <c r="AI64" s="296">
        <f t="shared" si="50"/>
        <v>0</v>
      </c>
      <c r="AJ64" s="297">
        <f t="shared" si="51"/>
        <v>0</v>
      </c>
      <c r="AK64" s="249"/>
      <c r="AL64" s="298">
        <f t="shared" si="52"/>
        <v>0</v>
      </c>
      <c r="AM64" s="221">
        <f t="shared" si="53"/>
        <v>0</v>
      </c>
      <c r="AN64" s="221">
        <f>MROUND((1+'[1]Core Assumptions'!$D$22)*AM64,'[1]Core Assumptions'!$E$23)</f>
        <v>0</v>
      </c>
      <c r="AO64" s="299">
        <f t="shared" si="86"/>
        <v>0</v>
      </c>
      <c r="AP64" s="300">
        <f>IF(AN$7=0,0,MROUND(AN64/AN$7*AP$8/'[1]Core Assumptions'!$D$28,'[1]Core Assumptions'!$E$23))</f>
        <v>0</v>
      </c>
      <c r="AQ64" s="301">
        <f t="shared" si="54"/>
        <v>0</v>
      </c>
      <c r="AR64" s="302">
        <f t="shared" si="55"/>
        <v>0</v>
      </c>
      <c r="AS64" s="249"/>
      <c r="AT64" s="303">
        <f t="shared" si="56"/>
        <v>0</v>
      </c>
      <c r="AU64" s="267"/>
      <c r="AV64" s="295">
        <f>IF(OR(AND($E64=TRUE,'[1]Pricing Summary'!$B$33="Ultimate"),AND($F64=TRUE,'[1]Pricing Summary'!$B$33="Enhanced"),AND($G64=TRUE,'[1]Pricing Summary'!$B$33="Essential")),1,0)</f>
        <v>0</v>
      </c>
      <c r="AW64" s="304">
        <f t="shared" si="57"/>
        <v>0</v>
      </c>
      <c r="AX64" s="305">
        <f t="shared" si="58"/>
        <v>0</v>
      </c>
      <c r="AY64" s="267"/>
      <c r="AZ64" s="304">
        <f t="shared" si="59"/>
        <v>0</v>
      </c>
      <c r="BA64" s="222">
        <f t="shared" si="60"/>
        <v>0</v>
      </c>
      <c r="BB64" s="306">
        <f t="shared" si="61"/>
        <v>0</v>
      </c>
      <c r="BC64" s="272"/>
      <c r="BD64" s="307">
        <f t="shared" si="62"/>
        <v>0</v>
      </c>
      <c r="BE64" s="308">
        <f t="shared" si="63"/>
        <v>0</v>
      </c>
      <c r="BF64" s="308">
        <f t="shared" si="64"/>
        <v>0</v>
      </c>
      <c r="BG64" s="309">
        <f t="shared" si="65"/>
        <v>0</v>
      </c>
      <c r="BH64" s="249"/>
      <c r="BI64" s="310">
        <f t="shared" si="66"/>
        <v>0</v>
      </c>
      <c r="BJ64" s="311">
        <f t="shared" si="67"/>
        <v>0</v>
      </c>
      <c r="BK64" s="311">
        <f t="shared" si="68"/>
        <v>0</v>
      </c>
      <c r="BL64" s="312">
        <f t="shared" si="69"/>
        <v>0</v>
      </c>
      <c r="BM64" s="249"/>
      <c r="BN64" s="313">
        <f t="shared" si="70"/>
        <v>0</v>
      </c>
      <c r="BO64" s="314">
        <f t="shared" si="71"/>
        <v>0</v>
      </c>
      <c r="BP64" s="314">
        <f t="shared" si="72"/>
        <v>0</v>
      </c>
      <c r="BQ64" s="315">
        <f t="shared" si="73"/>
        <v>0</v>
      </c>
      <c r="BR64" s="249"/>
      <c r="BS64" s="307">
        <f t="shared" si="74"/>
        <v>0</v>
      </c>
      <c r="BT64" s="308">
        <f t="shared" si="75"/>
        <v>0</v>
      </c>
      <c r="BU64" s="308">
        <f t="shared" si="76"/>
        <v>0</v>
      </c>
      <c r="BV64" s="309">
        <f t="shared" si="77"/>
        <v>0</v>
      </c>
      <c r="BW64" s="249"/>
      <c r="BX64" s="310">
        <f t="shared" si="78"/>
        <v>0</v>
      </c>
      <c r="BY64" s="311">
        <f t="shared" si="79"/>
        <v>0</v>
      </c>
      <c r="BZ64" s="311">
        <f t="shared" si="80"/>
        <v>0</v>
      </c>
      <c r="CA64" s="312">
        <f t="shared" si="81"/>
        <v>0</v>
      </c>
      <c r="CB64" s="249"/>
      <c r="CC64" s="313">
        <f t="shared" si="82"/>
        <v>0</v>
      </c>
      <c r="CD64" s="314">
        <f t="shared" si="83"/>
        <v>0</v>
      </c>
      <c r="CE64" s="314">
        <f t="shared" si="84"/>
        <v>0</v>
      </c>
      <c r="CF64" s="315">
        <f t="shared" si="85"/>
        <v>0</v>
      </c>
      <c r="CG64" s="249"/>
      <c r="CH64" s="316"/>
    </row>
    <row r="65" spans="1:86" ht="15.75" customHeight="1" thickBot="1" x14ac:dyDescent="0.25">
      <c r="A65" s="242" t="str">
        <f>IF(OR(E65&lt;&gt;FALSE,F65&lt;&gt;FALSE,G65&lt;&gt;FALSE),MAX(A$16:A64)+1,"")</f>
        <v/>
      </c>
      <c r="B65" s="284" t="s">
        <v>132</v>
      </c>
      <c r="C65" s="284" t="s">
        <v>42</v>
      </c>
      <c r="D65" s="245" t="s">
        <v>11</v>
      </c>
      <c r="E65" s="285" t="b">
        <v>0</v>
      </c>
      <c r="F65" s="286" t="b">
        <v>0</v>
      </c>
      <c r="G65" s="287" t="b">
        <v>0</v>
      </c>
      <c r="H65" s="249"/>
      <c r="I65" s="288">
        <v>1</v>
      </c>
      <c r="J65" s="249"/>
      <c r="K65" s="289"/>
      <c r="L65" s="290"/>
      <c r="M65" s="290"/>
      <c r="N65" s="290"/>
      <c r="O65" s="290"/>
      <c r="P65" s="290"/>
      <c r="Q65" s="290"/>
      <c r="R65" s="290"/>
      <c r="S65" s="290"/>
      <c r="T65" s="290"/>
      <c r="U65" s="289"/>
      <c r="V65" s="290"/>
      <c r="W65" s="290"/>
      <c r="X65" s="290"/>
      <c r="Y65" s="290"/>
      <c r="Z65" s="290"/>
      <c r="AA65" s="291"/>
      <c r="AB65" s="318"/>
      <c r="AC65" s="319"/>
      <c r="AD65" s="319"/>
      <c r="AE65" s="320"/>
      <c r="AF65" s="249"/>
      <c r="AG65" s="295">
        <f>IF(OR(AND($E65=TRUE,'[1]Pricing Summary'!$B$33=$E$2),AND($F65=TRUE,'[1]Pricing Summary'!$B$33=$F$2),AND($G65=TRUE,'[1]Pricing Summary'!$B$33=$G$2)),1,0)</f>
        <v>0</v>
      </c>
      <c r="AH65" s="295">
        <f t="shared" si="49"/>
        <v>0</v>
      </c>
      <c r="AI65" s="296">
        <f t="shared" si="50"/>
        <v>0</v>
      </c>
      <c r="AJ65" s="297">
        <f t="shared" si="51"/>
        <v>0</v>
      </c>
      <c r="AK65" s="249"/>
      <c r="AL65" s="298">
        <f t="shared" si="52"/>
        <v>0</v>
      </c>
      <c r="AM65" s="221">
        <f t="shared" si="53"/>
        <v>0</v>
      </c>
      <c r="AN65" s="221">
        <f>MROUND((1+'[1]Core Assumptions'!$D$22)*AM65,'[1]Core Assumptions'!$E$23)</f>
        <v>0</v>
      </c>
      <c r="AO65" s="299">
        <f t="shared" si="86"/>
        <v>0</v>
      </c>
      <c r="AP65" s="300">
        <f>IF(AN$7=0,0,MROUND(AN65/AN$7*AP$8/'[1]Core Assumptions'!$D$28,'[1]Core Assumptions'!$E$23))</f>
        <v>0</v>
      </c>
      <c r="AQ65" s="301">
        <f t="shared" si="54"/>
        <v>0</v>
      </c>
      <c r="AR65" s="302">
        <f t="shared" si="55"/>
        <v>0</v>
      </c>
      <c r="AS65" s="249"/>
      <c r="AT65" s="303">
        <f t="shared" si="56"/>
        <v>0</v>
      </c>
      <c r="AU65" s="267"/>
      <c r="AV65" s="295">
        <f>IF(OR(AND($E65=TRUE,'[1]Pricing Summary'!$B$33="Ultimate"),AND($F65=TRUE,'[1]Pricing Summary'!$B$33="Enhanced"),AND($G65=TRUE,'[1]Pricing Summary'!$B$33="Essential")),1,0)</f>
        <v>0</v>
      </c>
      <c r="AW65" s="304">
        <f t="shared" si="57"/>
        <v>0</v>
      </c>
      <c r="AX65" s="305">
        <f t="shared" si="58"/>
        <v>0</v>
      </c>
      <c r="AY65" s="267"/>
      <c r="AZ65" s="304">
        <f t="shared" si="59"/>
        <v>0</v>
      </c>
      <c r="BA65" s="222">
        <f t="shared" si="60"/>
        <v>0</v>
      </c>
      <c r="BB65" s="306">
        <f t="shared" si="61"/>
        <v>0</v>
      </c>
      <c r="BC65" s="272"/>
      <c r="BD65" s="307">
        <f t="shared" si="62"/>
        <v>0</v>
      </c>
      <c r="BE65" s="308">
        <f t="shared" si="63"/>
        <v>0</v>
      </c>
      <c r="BF65" s="308">
        <f t="shared" si="64"/>
        <v>0</v>
      </c>
      <c r="BG65" s="309">
        <f t="shared" si="65"/>
        <v>0</v>
      </c>
      <c r="BH65" s="249"/>
      <c r="BI65" s="310">
        <f t="shared" si="66"/>
        <v>0</v>
      </c>
      <c r="BJ65" s="311">
        <f t="shared" si="67"/>
        <v>0</v>
      </c>
      <c r="BK65" s="311">
        <f t="shared" si="68"/>
        <v>0</v>
      </c>
      <c r="BL65" s="312">
        <f t="shared" si="69"/>
        <v>0</v>
      </c>
      <c r="BM65" s="249"/>
      <c r="BN65" s="313">
        <f t="shared" si="70"/>
        <v>0</v>
      </c>
      <c r="BO65" s="314">
        <f t="shared" si="71"/>
        <v>0</v>
      </c>
      <c r="BP65" s="314">
        <f t="shared" si="72"/>
        <v>0</v>
      </c>
      <c r="BQ65" s="315">
        <f t="shared" si="73"/>
        <v>0</v>
      </c>
      <c r="BR65" s="249"/>
      <c r="BS65" s="307">
        <f t="shared" si="74"/>
        <v>0</v>
      </c>
      <c r="BT65" s="308">
        <f t="shared" si="75"/>
        <v>0</v>
      </c>
      <c r="BU65" s="308">
        <f t="shared" si="76"/>
        <v>0</v>
      </c>
      <c r="BV65" s="309">
        <f t="shared" si="77"/>
        <v>0</v>
      </c>
      <c r="BW65" s="249"/>
      <c r="BX65" s="310">
        <f t="shared" si="78"/>
        <v>0</v>
      </c>
      <c r="BY65" s="311">
        <f t="shared" si="79"/>
        <v>0</v>
      </c>
      <c r="BZ65" s="311">
        <f t="shared" si="80"/>
        <v>0</v>
      </c>
      <c r="CA65" s="312">
        <f t="shared" si="81"/>
        <v>0</v>
      </c>
      <c r="CB65" s="249"/>
      <c r="CC65" s="313">
        <f t="shared" si="82"/>
        <v>0</v>
      </c>
      <c r="CD65" s="314">
        <f t="shared" si="83"/>
        <v>0</v>
      </c>
      <c r="CE65" s="314">
        <f t="shared" si="84"/>
        <v>0</v>
      </c>
      <c r="CF65" s="315">
        <f t="shared" si="85"/>
        <v>0</v>
      </c>
      <c r="CG65" s="249"/>
      <c r="CH65" s="316"/>
    </row>
    <row r="66" spans="1:86" ht="15.75" customHeight="1" thickBot="1" x14ac:dyDescent="0.25">
      <c r="A66" s="242" t="str">
        <f>IF(OR(E66&lt;&gt;FALSE,F66&lt;&gt;FALSE,G66&lt;&gt;FALSE),MAX(A$16:A65)+1,"")</f>
        <v/>
      </c>
      <c r="B66" s="284" t="s">
        <v>133</v>
      </c>
      <c r="C66" s="284" t="s">
        <v>42</v>
      </c>
      <c r="D66" s="245" t="s">
        <v>11</v>
      </c>
      <c r="E66" s="285" t="b">
        <v>0</v>
      </c>
      <c r="F66" s="286" t="b">
        <v>0</v>
      </c>
      <c r="G66" s="287" t="b">
        <v>0</v>
      </c>
      <c r="H66" s="249"/>
      <c r="I66" s="288">
        <v>1</v>
      </c>
      <c r="J66" s="249"/>
      <c r="K66" s="289"/>
      <c r="L66" s="290"/>
      <c r="M66" s="290"/>
      <c r="N66" s="290"/>
      <c r="O66" s="290"/>
      <c r="P66" s="290"/>
      <c r="Q66" s="290"/>
      <c r="R66" s="290"/>
      <c r="S66" s="290"/>
      <c r="T66" s="290"/>
      <c r="U66" s="289"/>
      <c r="V66" s="290"/>
      <c r="W66" s="290"/>
      <c r="X66" s="290"/>
      <c r="Y66" s="290"/>
      <c r="Z66" s="290"/>
      <c r="AA66" s="291"/>
      <c r="AB66" s="318"/>
      <c r="AC66" s="319"/>
      <c r="AD66" s="319"/>
      <c r="AE66" s="320"/>
      <c r="AF66" s="249"/>
      <c r="AG66" s="295">
        <f>IF(OR(AND($E66=TRUE,'[1]Pricing Summary'!$B$33=$E$2),AND($F66=TRUE,'[1]Pricing Summary'!$B$33=$F$2),AND($G66=TRUE,'[1]Pricing Summary'!$B$33=$G$2)),1,0)</f>
        <v>0</v>
      </c>
      <c r="AH66" s="295">
        <f t="shared" si="49"/>
        <v>0</v>
      </c>
      <c r="AI66" s="296">
        <f t="shared" si="50"/>
        <v>0</v>
      </c>
      <c r="AJ66" s="297">
        <f t="shared" si="51"/>
        <v>0</v>
      </c>
      <c r="AK66" s="249"/>
      <c r="AL66" s="298">
        <f t="shared" si="52"/>
        <v>0</v>
      </c>
      <c r="AM66" s="221">
        <f t="shared" si="53"/>
        <v>0</v>
      </c>
      <c r="AN66" s="221">
        <f>MROUND((1+'[1]Core Assumptions'!$D$22)*AM66,'[1]Core Assumptions'!$E$23)</f>
        <v>0</v>
      </c>
      <c r="AO66" s="299">
        <f t="shared" si="86"/>
        <v>0</v>
      </c>
      <c r="AP66" s="300">
        <f>IF(AN$7=0,0,MROUND(AN66/AN$7*AP$8/'[1]Core Assumptions'!$D$28,'[1]Core Assumptions'!$E$23))</f>
        <v>0</v>
      </c>
      <c r="AQ66" s="301">
        <f t="shared" si="54"/>
        <v>0</v>
      </c>
      <c r="AR66" s="302">
        <f t="shared" si="55"/>
        <v>0</v>
      </c>
      <c r="AS66" s="249"/>
      <c r="AT66" s="303">
        <f t="shared" si="56"/>
        <v>0</v>
      </c>
      <c r="AU66" s="267"/>
      <c r="AV66" s="295">
        <f>IF(OR(AND($E66=TRUE,'[1]Pricing Summary'!$B$33="Ultimate"),AND($F66=TRUE,'[1]Pricing Summary'!$B$33="Enhanced"),AND($G66=TRUE,'[1]Pricing Summary'!$B$33="Essential")),1,0)</f>
        <v>0</v>
      </c>
      <c r="AW66" s="304">
        <f t="shared" si="57"/>
        <v>0</v>
      </c>
      <c r="AX66" s="305">
        <f t="shared" si="58"/>
        <v>0</v>
      </c>
      <c r="AY66" s="267"/>
      <c r="AZ66" s="304">
        <f t="shared" si="59"/>
        <v>0</v>
      </c>
      <c r="BA66" s="222">
        <f t="shared" si="60"/>
        <v>0</v>
      </c>
      <c r="BB66" s="306">
        <f t="shared" si="61"/>
        <v>0</v>
      </c>
      <c r="BC66" s="272"/>
      <c r="BD66" s="307">
        <f t="shared" si="62"/>
        <v>0</v>
      </c>
      <c r="BE66" s="308">
        <f t="shared" si="63"/>
        <v>0</v>
      </c>
      <c r="BF66" s="308">
        <f t="shared" si="64"/>
        <v>0</v>
      </c>
      <c r="BG66" s="309">
        <f t="shared" si="65"/>
        <v>0</v>
      </c>
      <c r="BH66" s="249"/>
      <c r="BI66" s="310">
        <f t="shared" si="66"/>
        <v>0</v>
      </c>
      <c r="BJ66" s="311">
        <f t="shared" si="67"/>
        <v>0</v>
      </c>
      <c r="BK66" s="311">
        <f t="shared" si="68"/>
        <v>0</v>
      </c>
      <c r="BL66" s="312">
        <f t="shared" si="69"/>
        <v>0</v>
      </c>
      <c r="BM66" s="249"/>
      <c r="BN66" s="313">
        <f t="shared" si="70"/>
        <v>0</v>
      </c>
      <c r="BO66" s="314">
        <f t="shared" si="71"/>
        <v>0</v>
      </c>
      <c r="BP66" s="314">
        <f t="shared" si="72"/>
        <v>0</v>
      </c>
      <c r="BQ66" s="315">
        <f t="shared" si="73"/>
        <v>0</v>
      </c>
      <c r="BR66" s="249"/>
      <c r="BS66" s="307">
        <f t="shared" si="74"/>
        <v>0</v>
      </c>
      <c r="BT66" s="308">
        <f t="shared" si="75"/>
        <v>0</v>
      </c>
      <c r="BU66" s="308">
        <f t="shared" si="76"/>
        <v>0</v>
      </c>
      <c r="BV66" s="309">
        <f t="shared" si="77"/>
        <v>0</v>
      </c>
      <c r="BW66" s="249"/>
      <c r="BX66" s="310">
        <f t="shared" si="78"/>
        <v>0</v>
      </c>
      <c r="BY66" s="311">
        <f t="shared" si="79"/>
        <v>0</v>
      </c>
      <c r="BZ66" s="311">
        <f t="shared" si="80"/>
        <v>0</v>
      </c>
      <c r="CA66" s="312">
        <f t="shared" si="81"/>
        <v>0</v>
      </c>
      <c r="CB66" s="249"/>
      <c r="CC66" s="313">
        <f t="shared" si="82"/>
        <v>0</v>
      </c>
      <c r="CD66" s="314">
        <f t="shared" si="83"/>
        <v>0</v>
      </c>
      <c r="CE66" s="314">
        <f t="shared" si="84"/>
        <v>0</v>
      </c>
      <c r="CF66" s="315">
        <f t="shared" si="85"/>
        <v>0</v>
      </c>
      <c r="CG66" s="249"/>
      <c r="CH66" s="316"/>
    </row>
    <row r="67" spans="1:86" ht="15.75" customHeight="1" thickBot="1" x14ac:dyDescent="0.25">
      <c r="A67" s="242" t="str">
        <f>IF(OR(E67&lt;&gt;FALSE,F67&lt;&gt;FALSE,G67&lt;&gt;FALSE),MAX(A$16:A66)+1,"")</f>
        <v/>
      </c>
      <c r="B67" s="284" t="s">
        <v>134</v>
      </c>
      <c r="C67" s="284" t="s">
        <v>42</v>
      </c>
      <c r="D67" s="245" t="s">
        <v>11</v>
      </c>
      <c r="E67" s="285" t="b">
        <v>0</v>
      </c>
      <c r="F67" s="286" t="b">
        <v>0</v>
      </c>
      <c r="G67" s="287" t="b">
        <v>0</v>
      </c>
      <c r="H67" s="249"/>
      <c r="I67" s="288">
        <v>1</v>
      </c>
      <c r="J67" s="249"/>
      <c r="K67" s="289"/>
      <c r="L67" s="290"/>
      <c r="M67" s="290"/>
      <c r="N67" s="290"/>
      <c r="O67" s="290"/>
      <c r="P67" s="290"/>
      <c r="Q67" s="290"/>
      <c r="R67" s="290"/>
      <c r="S67" s="290"/>
      <c r="T67" s="290"/>
      <c r="U67" s="289"/>
      <c r="V67" s="290"/>
      <c r="W67" s="290"/>
      <c r="X67" s="290"/>
      <c r="Y67" s="290"/>
      <c r="Z67" s="290"/>
      <c r="AA67" s="291"/>
      <c r="AB67" s="318"/>
      <c r="AC67" s="319"/>
      <c r="AD67" s="319"/>
      <c r="AE67" s="320"/>
      <c r="AF67" s="249"/>
      <c r="AG67" s="295">
        <f>IF(OR(AND($E67=TRUE,'[1]Pricing Summary'!$B$33=$E$2),AND($F67=TRUE,'[1]Pricing Summary'!$B$33=$F$2),AND($G67=TRUE,'[1]Pricing Summary'!$B$33=$G$2)),1,0)</f>
        <v>0</v>
      </c>
      <c r="AH67" s="295">
        <f t="shared" si="49"/>
        <v>0</v>
      </c>
      <c r="AI67" s="296">
        <f t="shared" si="50"/>
        <v>0</v>
      </c>
      <c r="AJ67" s="297">
        <f t="shared" si="51"/>
        <v>0</v>
      </c>
      <c r="AK67" s="249"/>
      <c r="AL67" s="298">
        <f t="shared" si="52"/>
        <v>0</v>
      </c>
      <c r="AM67" s="221">
        <f t="shared" si="53"/>
        <v>0</v>
      </c>
      <c r="AN67" s="221">
        <f>MROUND((1+'[1]Core Assumptions'!$D$22)*AM67,'[1]Core Assumptions'!$E$23)</f>
        <v>0</v>
      </c>
      <c r="AO67" s="299">
        <f t="shared" si="86"/>
        <v>0</v>
      </c>
      <c r="AP67" s="300">
        <f>IF(AN$7=0,0,MROUND(AN67/AN$7*AP$8/'[1]Core Assumptions'!$D$28,'[1]Core Assumptions'!$E$23))</f>
        <v>0</v>
      </c>
      <c r="AQ67" s="301">
        <f t="shared" si="54"/>
        <v>0</v>
      </c>
      <c r="AR67" s="302">
        <f t="shared" si="55"/>
        <v>0</v>
      </c>
      <c r="AS67" s="249"/>
      <c r="AT67" s="303">
        <f t="shared" si="56"/>
        <v>0</v>
      </c>
      <c r="AU67" s="267"/>
      <c r="AV67" s="295">
        <f>IF(OR(AND($E67=TRUE,'[1]Pricing Summary'!$B$33="Ultimate"),AND($F67=TRUE,'[1]Pricing Summary'!$B$33="Enhanced"),AND($G67=TRUE,'[1]Pricing Summary'!$B$33="Essential")),1,0)</f>
        <v>0</v>
      </c>
      <c r="AW67" s="304">
        <f t="shared" si="57"/>
        <v>0</v>
      </c>
      <c r="AX67" s="305">
        <f t="shared" si="58"/>
        <v>0</v>
      </c>
      <c r="AY67" s="267"/>
      <c r="AZ67" s="304">
        <f t="shared" si="59"/>
        <v>0</v>
      </c>
      <c r="BA67" s="222">
        <f t="shared" si="60"/>
        <v>0</v>
      </c>
      <c r="BB67" s="306">
        <f t="shared" si="61"/>
        <v>0</v>
      </c>
      <c r="BC67" s="272"/>
      <c r="BD67" s="307">
        <f t="shared" si="62"/>
        <v>0</v>
      </c>
      <c r="BE67" s="308">
        <f t="shared" si="63"/>
        <v>0</v>
      </c>
      <c r="BF67" s="308">
        <f t="shared" si="64"/>
        <v>0</v>
      </c>
      <c r="BG67" s="309">
        <f t="shared" si="65"/>
        <v>0</v>
      </c>
      <c r="BH67" s="249"/>
      <c r="BI67" s="310">
        <f t="shared" si="66"/>
        <v>0</v>
      </c>
      <c r="BJ67" s="311">
        <f t="shared" si="67"/>
        <v>0</v>
      </c>
      <c r="BK67" s="311">
        <f t="shared" si="68"/>
        <v>0</v>
      </c>
      <c r="BL67" s="312">
        <f t="shared" si="69"/>
        <v>0</v>
      </c>
      <c r="BM67" s="249"/>
      <c r="BN67" s="313">
        <f t="shared" si="70"/>
        <v>0</v>
      </c>
      <c r="BO67" s="314">
        <f t="shared" si="71"/>
        <v>0</v>
      </c>
      <c r="BP67" s="314">
        <f t="shared" si="72"/>
        <v>0</v>
      </c>
      <c r="BQ67" s="315">
        <f t="shared" si="73"/>
        <v>0</v>
      </c>
      <c r="BR67" s="249"/>
      <c r="BS67" s="307">
        <f t="shared" si="74"/>
        <v>0</v>
      </c>
      <c r="BT67" s="308">
        <f t="shared" si="75"/>
        <v>0</v>
      </c>
      <c r="BU67" s="308">
        <f t="shared" si="76"/>
        <v>0</v>
      </c>
      <c r="BV67" s="309">
        <f t="shared" si="77"/>
        <v>0</v>
      </c>
      <c r="BW67" s="249"/>
      <c r="BX67" s="310">
        <f t="shared" si="78"/>
        <v>0</v>
      </c>
      <c r="BY67" s="311">
        <f t="shared" si="79"/>
        <v>0</v>
      </c>
      <c r="BZ67" s="311">
        <f t="shared" si="80"/>
        <v>0</v>
      </c>
      <c r="CA67" s="312">
        <f t="shared" si="81"/>
        <v>0</v>
      </c>
      <c r="CB67" s="249"/>
      <c r="CC67" s="313">
        <f t="shared" si="82"/>
        <v>0</v>
      </c>
      <c r="CD67" s="314">
        <f t="shared" si="83"/>
        <v>0</v>
      </c>
      <c r="CE67" s="314">
        <f t="shared" si="84"/>
        <v>0</v>
      </c>
      <c r="CF67" s="315">
        <f t="shared" si="85"/>
        <v>0</v>
      </c>
      <c r="CG67" s="249"/>
      <c r="CH67" s="316"/>
    </row>
    <row r="68" spans="1:86" ht="15.75" customHeight="1" x14ac:dyDescent="0.2">
      <c r="A68" s="242" t="str">
        <f>IF(OR(E68&lt;&gt;FALSE,F68&lt;&gt;FALSE,G68&lt;&gt;FALSE),MAX(A$16:A67)+1,"")</f>
        <v/>
      </c>
      <c r="B68" s="284" t="s">
        <v>135</v>
      </c>
      <c r="C68" s="284" t="s">
        <v>42</v>
      </c>
      <c r="D68" s="245" t="s">
        <v>11</v>
      </c>
      <c r="E68" s="285" t="b">
        <v>0</v>
      </c>
      <c r="F68" s="286" t="b">
        <v>0</v>
      </c>
      <c r="G68" s="287" t="b">
        <v>0</v>
      </c>
      <c r="H68" s="249"/>
      <c r="I68" s="288">
        <v>1</v>
      </c>
      <c r="J68" s="249"/>
      <c r="K68" s="289"/>
      <c r="L68" s="290"/>
      <c r="M68" s="290"/>
      <c r="N68" s="290"/>
      <c r="O68" s="290"/>
      <c r="P68" s="290"/>
      <c r="Q68" s="290"/>
      <c r="R68" s="290"/>
      <c r="S68" s="290"/>
      <c r="T68" s="290"/>
      <c r="U68" s="289"/>
      <c r="V68" s="290"/>
      <c r="W68" s="290"/>
      <c r="X68" s="290"/>
      <c r="Y68" s="290"/>
      <c r="Z68" s="290"/>
      <c r="AA68" s="291"/>
      <c r="AB68" s="292"/>
      <c r="AC68" s="293"/>
      <c r="AD68" s="293"/>
      <c r="AE68" s="294"/>
      <c r="AF68" s="249"/>
      <c r="AG68" s="295">
        <f>IF(OR(AND($E68=TRUE,'[1]Pricing Summary'!$B$33=$E$2),AND($F68=TRUE,'[1]Pricing Summary'!$B$33=$F$2),AND($G68=TRUE,'[1]Pricing Summary'!$B$33=$G$2)),1,0)</f>
        <v>0</v>
      </c>
      <c r="AH68" s="295">
        <f t="shared" si="49"/>
        <v>0</v>
      </c>
      <c r="AI68" s="296">
        <f t="shared" si="50"/>
        <v>0</v>
      </c>
      <c r="AJ68" s="297">
        <f t="shared" si="51"/>
        <v>0</v>
      </c>
      <c r="AK68" s="249"/>
      <c r="AL68" s="298">
        <f t="shared" si="52"/>
        <v>0</v>
      </c>
      <c r="AM68" s="221">
        <f t="shared" si="53"/>
        <v>0</v>
      </c>
      <c r="AN68" s="221">
        <f>MROUND((1+'[1]Core Assumptions'!$D$22)*AM68,'[1]Core Assumptions'!$E$23)</f>
        <v>0</v>
      </c>
      <c r="AO68" s="299">
        <f t="shared" si="86"/>
        <v>0</v>
      </c>
      <c r="AP68" s="300">
        <f>IF(AN$7=0,0,MROUND(AN68/AN$7*AP$8/'[1]Core Assumptions'!$D$28,'[1]Core Assumptions'!$E$23))</f>
        <v>0</v>
      </c>
      <c r="AQ68" s="301">
        <f t="shared" si="54"/>
        <v>0</v>
      </c>
      <c r="AR68" s="302">
        <f t="shared" si="55"/>
        <v>0</v>
      </c>
      <c r="AS68" s="249"/>
      <c r="AT68" s="303">
        <f t="shared" si="56"/>
        <v>0</v>
      </c>
      <c r="AU68" s="267"/>
      <c r="AV68" s="295">
        <f>IF(OR(AND($E68=TRUE,'[1]Pricing Summary'!$B$33="Ultimate"),AND($F68=TRUE,'[1]Pricing Summary'!$B$33="Enhanced"),AND($G68=TRUE,'[1]Pricing Summary'!$B$33="Essential")),1,0)</f>
        <v>0</v>
      </c>
      <c r="AW68" s="304">
        <f t="shared" si="57"/>
        <v>0</v>
      </c>
      <c r="AX68" s="305">
        <f t="shared" si="58"/>
        <v>0</v>
      </c>
      <c r="AY68" s="267"/>
      <c r="AZ68" s="304">
        <f t="shared" si="59"/>
        <v>0</v>
      </c>
      <c r="BA68" s="222">
        <f t="shared" si="60"/>
        <v>0</v>
      </c>
      <c r="BB68" s="306">
        <f t="shared" si="61"/>
        <v>0</v>
      </c>
      <c r="BC68" s="272"/>
      <c r="BD68" s="307">
        <f t="shared" si="62"/>
        <v>0</v>
      </c>
      <c r="BE68" s="308">
        <f t="shared" si="63"/>
        <v>0</v>
      </c>
      <c r="BF68" s="308">
        <f t="shared" si="64"/>
        <v>0</v>
      </c>
      <c r="BG68" s="309">
        <f t="shared" si="65"/>
        <v>0</v>
      </c>
      <c r="BH68" s="249"/>
      <c r="BI68" s="310">
        <f t="shared" si="66"/>
        <v>0</v>
      </c>
      <c r="BJ68" s="311">
        <f t="shared" si="67"/>
        <v>0</v>
      </c>
      <c r="BK68" s="311">
        <f t="shared" si="68"/>
        <v>0</v>
      </c>
      <c r="BL68" s="312">
        <f t="shared" si="69"/>
        <v>0</v>
      </c>
      <c r="BM68" s="249"/>
      <c r="BN68" s="313">
        <f t="shared" si="70"/>
        <v>0</v>
      </c>
      <c r="BO68" s="314">
        <f t="shared" si="71"/>
        <v>0</v>
      </c>
      <c r="BP68" s="314">
        <f t="shared" si="72"/>
        <v>0</v>
      </c>
      <c r="BQ68" s="315">
        <f t="shared" si="73"/>
        <v>0</v>
      </c>
      <c r="BR68" s="249"/>
      <c r="BS68" s="307">
        <f t="shared" si="74"/>
        <v>0</v>
      </c>
      <c r="BT68" s="308">
        <f t="shared" si="75"/>
        <v>0</v>
      </c>
      <c r="BU68" s="308">
        <f t="shared" si="76"/>
        <v>0</v>
      </c>
      <c r="BV68" s="309">
        <f t="shared" si="77"/>
        <v>0</v>
      </c>
      <c r="BW68" s="249"/>
      <c r="BX68" s="310">
        <f t="shared" si="78"/>
        <v>0</v>
      </c>
      <c r="BY68" s="311">
        <f t="shared" si="79"/>
        <v>0</v>
      </c>
      <c r="BZ68" s="311">
        <f t="shared" si="80"/>
        <v>0</v>
      </c>
      <c r="CA68" s="312">
        <f t="shared" si="81"/>
        <v>0</v>
      </c>
      <c r="CB68" s="249"/>
      <c r="CC68" s="313">
        <f t="shared" si="82"/>
        <v>0</v>
      </c>
      <c r="CD68" s="314">
        <f t="shared" si="83"/>
        <v>0</v>
      </c>
      <c r="CE68" s="314">
        <f t="shared" si="84"/>
        <v>0</v>
      </c>
      <c r="CF68" s="315">
        <f t="shared" si="85"/>
        <v>0</v>
      </c>
      <c r="CG68" s="249"/>
      <c r="CH68" s="316"/>
    </row>
    <row r="69" spans="1:86" ht="15.75" customHeight="1" x14ac:dyDescent="0.2">
      <c r="A69" s="242" t="str">
        <f>IF(OR(E69&lt;&gt;FALSE,F69&lt;&gt;FALSE,G69&lt;&gt;FALSE),MAX(A$16:A68)+1,"")</f>
        <v/>
      </c>
      <c r="B69" s="284" t="s">
        <v>136</v>
      </c>
      <c r="C69" s="284" t="s">
        <v>42</v>
      </c>
      <c r="D69" s="245" t="s">
        <v>11</v>
      </c>
      <c r="E69" s="285" t="b">
        <v>0</v>
      </c>
      <c r="F69" s="286" t="b">
        <v>0</v>
      </c>
      <c r="G69" s="287" t="b">
        <v>0</v>
      </c>
      <c r="H69" s="249"/>
      <c r="I69" s="288">
        <v>1</v>
      </c>
      <c r="J69" s="249"/>
      <c r="K69" s="289"/>
      <c r="L69" s="290"/>
      <c r="M69" s="290"/>
      <c r="N69" s="290"/>
      <c r="O69" s="290"/>
      <c r="P69" s="290"/>
      <c r="Q69" s="290"/>
      <c r="R69" s="290"/>
      <c r="S69" s="290"/>
      <c r="T69" s="290"/>
      <c r="U69" s="289"/>
      <c r="V69" s="290"/>
      <c r="W69" s="290"/>
      <c r="X69" s="290"/>
      <c r="Y69" s="290"/>
      <c r="Z69" s="290"/>
      <c r="AA69" s="291"/>
      <c r="AB69" s="292"/>
      <c r="AC69" s="293"/>
      <c r="AD69" s="293"/>
      <c r="AE69" s="294"/>
      <c r="AF69" s="249"/>
      <c r="AG69" s="295">
        <f>IF(OR(AND($E69=TRUE,'[1]Pricing Summary'!$B$33=$E$2),AND($F69=TRUE,'[1]Pricing Summary'!$B$33=$F$2),AND($G69=TRUE,'[1]Pricing Summary'!$B$33=$G$2)),1,0)</f>
        <v>0</v>
      </c>
      <c r="AH69" s="295">
        <f t="shared" si="49"/>
        <v>0</v>
      </c>
      <c r="AI69" s="296">
        <f t="shared" si="50"/>
        <v>0</v>
      </c>
      <c r="AJ69" s="297">
        <f t="shared" si="51"/>
        <v>0</v>
      </c>
      <c r="AK69" s="249"/>
      <c r="AL69" s="298">
        <f t="shared" si="52"/>
        <v>0</v>
      </c>
      <c r="AM69" s="221">
        <f t="shared" si="53"/>
        <v>0</v>
      </c>
      <c r="AN69" s="221">
        <f>MROUND((1+'[1]Core Assumptions'!$D$22)*AM69,'[1]Core Assumptions'!$E$23)</f>
        <v>0</v>
      </c>
      <c r="AO69" s="299">
        <f t="shared" si="86"/>
        <v>0</v>
      </c>
      <c r="AP69" s="300">
        <f>IF(AN$7=0,0,MROUND(AN69/AN$7*AP$8/'[1]Core Assumptions'!$D$28,'[1]Core Assumptions'!$E$23))</f>
        <v>0</v>
      </c>
      <c r="AQ69" s="301">
        <f t="shared" si="54"/>
        <v>0</v>
      </c>
      <c r="AR69" s="302">
        <f t="shared" si="55"/>
        <v>0</v>
      </c>
      <c r="AS69" s="249"/>
      <c r="AT69" s="303">
        <f t="shared" si="56"/>
        <v>0</v>
      </c>
      <c r="AU69" s="267"/>
      <c r="AV69" s="295">
        <f>IF(OR(AND($E69=TRUE,'[1]Pricing Summary'!$B$33="Ultimate"),AND($F69=TRUE,'[1]Pricing Summary'!$B$33="Enhanced"),AND($G69=TRUE,'[1]Pricing Summary'!$B$33="Essential")),1,0)</f>
        <v>0</v>
      </c>
      <c r="AW69" s="304">
        <f t="shared" si="57"/>
        <v>0</v>
      </c>
      <c r="AX69" s="305">
        <f t="shared" si="58"/>
        <v>0</v>
      </c>
      <c r="AY69" s="267"/>
      <c r="AZ69" s="304">
        <f t="shared" si="59"/>
        <v>0</v>
      </c>
      <c r="BA69" s="222">
        <f t="shared" si="60"/>
        <v>0</v>
      </c>
      <c r="BB69" s="306">
        <f t="shared" si="61"/>
        <v>0</v>
      </c>
      <c r="BC69" s="272"/>
      <c r="BD69" s="307">
        <f t="shared" si="62"/>
        <v>0</v>
      </c>
      <c r="BE69" s="308">
        <f t="shared" si="63"/>
        <v>0</v>
      </c>
      <c r="BF69" s="308">
        <f t="shared" si="64"/>
        <v>0</v>
      </c>
      <c r="BG69" s="309">
        <f t="shared" si="65"/>
        <v>0</v>
      </c>
      <c r="BH69" s="249"/>
      <c r="BI69" s="310">
        <f t="shared" si="66"/>
        <v>0</v>
      </c>
      <c r="BJ69" s="311">
        <f t="shared" si="67"/>
        <v>0</v>
      </c>
      <c r="BK69" s="311">
        <f t="shared" si="68"/>
        <v>0</v>
      </c>
      <c r="BL69" s="312">
        <f t="shared" si="69"/>
        <v>0</v>
      </c>
      <c r="BM69" s="249"/>
      <c r="BN69" s="313">
        <f t="shared" si="70"/>
        <v>0</v>
      </c>
      <c r="BO69" s="314">
        <f t="shared" si="71"/>
        <v>0</v>
      </c>
      <c r="BP69" s="314">
        <f t="shared" si="72"/>
        <v>0</v>
      </c>
      <c r="BQ69" s="315">
        <f t="shared" si="73"/>
        <v>0</v>
      </c>
      <c r="BR69" s="249"/>
      <c r="BS69" s="307">
        <f t="shared" si="74"/>
        <v>0</v>
      </c>
      <c r="BT69" s="308">
        <f t="shared" si="75"/>
        <v>0</v>
      </c>
      <c r="BU69" s="308">
        <f t="shared" si="76"/>
        <v>0</v>
      </c>
      <c r="BV69" s="309">
        <f t="shared" si="77"/>
        <v>0</v>
      </c>
      <c r="BW69" s="249"/>
      <c r="BX69" s="310">
        <f t="shared" si="78"/>
        <v>0</v>
      </c>
      <c r="BY69" s="311">
        <f t="shared" si="79"/>
        <v>0</v>
      </c>
      <c r="BZ69" s="311">
        <f t="shared" si="80"/>
        <v>0</v>
      </c>
      <c r="CA69" s="312">
        <f t="shared" si="81"/>
        <v>0</v>
      </c>
      <c r="CB69" s="249"/>
      <c r="CC69" s="313">
        <f t="shared" si="82"/>
        <v>0</v>
      </c>
      <c r="CD69" s="314">
        <f t="shared" si="83"/>
        <v>0</v>
      </c>
      <c r="CE69" s="314">
        <f t="shared" si="84"/>
        <v>0</v>
      </c>
      <c r="CF69" s="315">
        <f t="shared" si="85"/>
        <v>0</v>
      </c>
      <c r="CG69" s="249"/>
      <c r="CH69" s="316"/>
    </row>
    <row r="70" spans="1:86" ht="15.75" customHeight="1" x14ac:dyDescent="0.2">
      <c r="A70" s="242" t="str">
        <f>IF(OR(E70&lt;&gt;FALSE,F70&lt;&gt;FALSE,G70&lt;&gt;FALSE),MAX(A$16:A69)+1,"")</f>
        <v/>
      </c>
      <c r="B70" s="284" t="s">
        <v>137</v>
      </c>
      <c r="C70" s="284" t="s">
        <v>42</v>
      </c>
      <c r="D70" s="245" t="s">
        <v>11</v>
      </c>
      <c r="E70" s="285" t="b">
        <v>0</v>
      </c>
      <c r="F70" s="286" t="b">
        <v>0</v>
      </c>
      <c r="G70" s="287" t="b">
        <v>0</v>
      </c>
      <c r="H70" s="249"/>
      <c r="I70" s="288">
        <v>1</v>
      </c>
      <c r="J70" s="249"/>
      <c r="K70" s="289"/>
      <c r="L70" s="290"/>
      <c r="M70" s="290"/>
      <c r="N70" s="290"/>
      <c r="O70" s="290"/>
      <c r="P70" s="290"/>
      <c r="Q70" s="290"/>
      <c r="R70" s="290"/>
      <c r="S70" s="290"/>
      <c r="T70" s="290"/>
      <c r="U70" s="289"/>
      <c r="V70" s="290"/>
      <c r="W70" s="290"/>
      <c r="X70" s="290"/>
      <c r="Y70" s="290"/>
      <c r="Z70" s="290"/>
      <c r="AA70" s="291"/>
      <c r="AB70" s="292"/>
      <c r="AC70" s="293"/>
      <c r="AD70" s="293"/>
      <c r="AE70" s="294"/>
      <c r="AF70" s="249"/>
      <c r="AG70" s="295">
        <f>IF(OR(AND($E70=TRUE,'[1]Pricing Summary'!$B$33=$E$2),AND($F70=TRUE,'[1]Pricing Summary'!$B$33=$F$2),AND($G70=TRUE,'[1]Pricing Summary'!$B$33=$G$2)),1,0)</f>
        <v>0</v>
      </c>
      <c r="AH70" s="295">
        <f t="shared" si="49"/>
        <v>0</v>
      </c>
      <c r="AI70" s="296">
        <f t="shared" si="50"/>
        <v>0</v>
      </c>
      <c r="AJ70" s="297">
        <f t="shared" si="51"/>
        <v>0</v>
      </c>
      <c r="AK70" s="249"/>
      <c r="AL70" s="298">
        <f t="shared" si="52"/>
        <v>0</v>
      </c>
      <c r="AM70" s="221">
        <f t="shared" si="53"/>
        <v>0</v>
      </c>
      <c r="AN70" s="221">
        <f>MROUND((1+'[1]Core Assumptions'!$D$22)*AM70,'[1]Core Assumptions'!$E$23)</f>
        <v>0</v>
      </c>
      <c r="AO70" s="299">
        <f t="shared" si="86"/>
        <v>0</v>
      </c>
      <c r="AP70" s="300">
        <f>IF(AN$7=0,0,MROUND(AN70/AN$7*AP$8/'[1]Core Assumptions'!$D$28,'[1]Core Assumptions'!$E$23))</f>
        <v>0</v>
      </c>
      <c r="AQ70" s="301">
        <f t="shared" si="54"/>
        <v>0</v>
      </c>
      <c r="AR70" s="302">
        <f t="shared" si="55"/>
        <v>0</v>
      </c>
      <c r="AS70" s="249"/>
      <c r="AT70" s="303">
        <f t="shared" si="56"/>
        <v>0</v>
      </c>
      <c r="AU70" s="267"/>
      <c r="AV70" s="295">
        <f>IF(OR(AND($E70=TRUE,'[1]Pricing Summary'!$B$33="Ultimate"),AND($F70=TRUE,'[1]Pricing Summary'!$B$33="Enhanced"),AND($G70=TRUE,'[1]Pricing Summary'!$B$33="Essential")),1,0)</f>
        <v>0</v>
      </c>
      <c r="AW70" s="304">
        <f t="shared" si="57"/>
        <v>0</v>
      </c>
      <c r="AX70" s="305">
        <f t="shared" si="58"/>
        <v>0</v>
      </c>
      <c r="AY70" s="267"/>
      <c r="AZ70" s="304">
        <f t="shared" si="59"/>
        <v>0</v>
      </c>
      <c r="BA70" s="222">
        <f t="shared" si="60"/>
        <v>0</v>
      </c>
      <c r="BB70" s="306">
        <f t="shared" si="61"/>
        <v>0</v>
      </c>
      <c r="BC70" s="272"/>
      <c r="BD70" s="307">
        <f t="shared" si="62"/>
        <v>0</v>
      </c>
      <c r="BE70" s="308">
        <f t="shared" si="63"/>
        <v>0</v>
      </c>
      <c r="BF70" s="308">
        <f t="shared" si="64"/>
        <v>0</v>
      </c>
      <c r="BG70" s="309">
        <f t="shared" si="65"/>
        <v>0</v>
      </c>
      <c r="BH70" s="249"/>
      <c r="BI70" s="310">
        <f t="shared" si="66"/>
        <v>0</v>
      </c>
      <c r="BJ70" s="311">
        <f t="shared" si="67"/>
        <v>0</v>
      </c>
      <c r="BK70" s="311">
        <f t="shared" si="68"/>
        <v>0</v>
      </c>
      <c r="BL70" s="312">
        <f t="shared" si="69"/>
        <v>0</v>
      </c>
      <c r="BM70" s="249"/>
      <c r="BN70" s="313">
        <f t="shared" si="70"/>
        <v>0</v>
      </c>
      <c r="BO70" s="314">
        <f t="shared" si="71"/>
        <v>0</v>
      </c>
      <c r="BP70" s="314">
        <f t="shared" si="72"/>
        <v>0</v>
      </c>
      <c r="BQ70" s="315">
        <f t="shared" si="73"/>
        <v>0</v>
      </c>
      <c r="BR70" s="249"/>
      <c r="BS70" s="307">
        <f t="shared" si="74"/>
        <v>0</v>
      </c>
      <c r="BT70" s="308">
        <f t="shared" si="75"/>
        <v>0</v>
      </c>
      <c r="BU70" s="308">
        <f t="shared" si="76"/>
        <v>0</v>
      </c>
      <c r="BV70" s="309">
        <f t="shared" si="77"/>
        <v>0</v>
      </c>
      <c r="BW70" s="249"/>
      <c r="BX70" s="310">
        <f t="shared" si="78"/>
        <v>0</v>
      </c>
      <c r="BY70" s="311">
        <f t="shared" si="79"/>
        <v>0</v>
      </c>
      <c r="BZ70" s="311">
        <f t="shared" si="80"/>
        <v>0</v>
      </c>
      <c r="CA70" s="312">
        <f t="shared" si="81"/>
        <v>0</v>
      </c>
      <c r="CB70" s="249"/>
      <c r="CC70" s="313">
        <f t="shared" si="82"/>
        <v>0</v>
      </c>
      <c r="CD70" s="314">
        <f t="shared" si="83"/>
        <v>0</v>
      </c>
      <c r="CE70" s="314">
        <f t="shared" si="84"/>
        <v>0</v>
      </c>
      <c r="CF70" s="315">
        <f t="shared" si="85"/>
        <v>0</v>
      </c>
      <c r="CG70" s="249"/>
      <c r="CH70" s="316"/>
    </row>
    <row r="71" spans="1:86" ht="15.75" customHeight="1" x14ac:dyDescent="0.2">
      <c r="A71" s="242" t="str">
        <f>IF(OR(E71&lt;&gt;FALSE,F71&lt;&gt;FALSE,G71&lt;&gt;FALSE),MAX(A$16:A70)+1,"")</f>
        <v/>
      </c>
      <c r="B71" s="284" t="s">
        <v>138</v>
      </c>
      <c r="C71" s="284" t="s">
        <v>42</v>
      </c>
      <c r="D71" s="245" t="s">
        <v>11</v>
      </c>
      <c r="E71" s="285" t="b">
        <v>0</v>
      </c>
      <c r="F71" s="286" t="b">
        <v>0</v>
      </c>
      <c r="G71" s="287" t="b">
        <v>0</v>
      </c>
      <c r="H71" s="249"/>
      <c r="I71" s="288">
        <v>1</v>
      </c>
      <c r="J71" s="249"/>
      <c r="K71" s="289"/>
      <c r="L71" s="290"/>
      <c r="M71" s="290"/>
      <c r="N71" s="290"/>
      <c r="O71" s="290"/>
      <c r="P71" s="290"/>
      <c r="Q71" s="290"/>
      <c r="R71" s="290"/>
      <c r="S71" s="290"/>
      <c r="T71" s="290"/>
      <c r="U71" s="289"/>
      <c r="V71" s="290"/>
      <c r="W71" s="290"/>
      <c r="X71" s="290"/>
      <c r="Y71" s="290"/>
      <c r="Z71" s="290"/>
      <c r="AA71" s="291"/>
      <c r="AB71" s="292"/>
      <c r="AC71" s="293"/>
      <c r="AD71" s="293"/>
      <c r="AE71" s="294"/>
      <c r="AF71" s="249"/>
      <c r="AG71" s="295">
        <f>IF(OR(AND($E71=TRUE,'[1]Pricing Summary'!$B$33=$E$2),AND($F71=TRUE,'[1]Pricing Summary'!$B$33=$F$2),AND($G71=TRUE,'[1]Pricing Summary'!$B$33=$G$2)),1,0)</f>
        <v>0</v>
      </c>
      <c r="AH71" s="295">
        <f t="shared" si="49"/>
        <v>0</v>
      </c>
      <c r="AI71" s="296">
        <f t="shared" si="50"/>
        <v>0</v>
      </c>
      <c r="AJ71" s="297">
        <f t="shared" si="51"/>
        <v>0</v>
      </c>
      <c r="AK71" s="249"/>
      <c r="AL71" s="298">
        <f t="shared" si="52"/>
        <v>0</v>
      </c>
      <c r="AM71" s="221">
        <f t="shared" si="53"/>
        <v>0</v>
      </c>
      <c r="AN71" s="221">
        <f>MROUND((1+'[1]Core Assumptions'!$D$22)*AM71,'[1]Core Assumptions'!$E$23)</f>
        <v>0</v>
      </c>
      <c r="AO71" s="299">
        <f t="shared" si="86"/>
        <v>0</v>
      </c>
      <c r="AP71" s="300">
        <f>IF(AN$7=0,0,MROUND(AN71/AN$7*AP$8/'[1]Core Assumptions'!$D$28,'[1]Core Assumptions'!$E$23))</f>
        <v>0</v>
      </c>
      <c r="AQ71" s="301">
        <f t="shared" si="54"/>
        <v>0</v>
      </c>
      <c r="AR71" s="302">
        <f t="shared" si="55"/>
        <v>0</v>
      </c>
      <c r="AS71" s="249"/>
      <c r="AT71" s="303">
        <f t="shared" si="56"/>
        <v>0</v>
      </c>
      <c r="AU71" s="267"/>
      <c r="AV71" s="295">
        <f>IF(OR(AND($E71=TRUE,'[1]Pricing Summary'!$B$33="Ultimate"),AND($F71=TRUE,'[1]Pricing Summary'!$B$33="Enhanced"),AND($G71=TRUE,'[1]Pricing Summary'!$B$33="Essential")),1,0)</f>
        <v>0</v>
      </c>
      <c r="AW71" s="304">
        <f t="shared" si="57"/>
        <v>0</v>
      </c>
      <c r="AX71" s="305">
        <f t="shared" si="58"/>
        <v>0</v>
      </c>
      <c r="AY71" s="267"/>
      <c r="AZ71" s="304">
        <f t="shared" si="59"/>
        <v>0</v>
      </c>
      <c r="BA71" s="222">
        <f t="shared" si="60"/>
        <v>0</v>
      </c>
      <c r="BB71" s="306">
        <f t="shared" si="61"/>
        <v>0</v>
      </c>
      <c r="BC71" s="272"/>
      <c r="BD71" s="307">
        <f t="shared" si="62"/>
        <v>0</v>
      </c>
      <c r="BE71" s="308">
        <f t="shared" si="63"/>
        <v>0</v>
      </c>
      <c r="BF71" s="308">
        <f t="shared" si="64"/>
        <v>0</v>
      </c>
      <c r="BG71" s="309">
        <f t="shared" si="65"/>
        <v>0</v>
      </c>
      <c r="BH71" s="249"/>
      <c r="BI71" s="310">
        <f t="shared" si="66"/>
        <v>0</v>
      </c>
      <c r="BJ71" s="311">
        <f t="shared" si="67"/>
        <v>0</v>
      </c>
      <c r="BK71" s="311">
        <f t="shared" si="68"/>
        <v>0</v>
      </c>
      <c r="BL71" s="312">
        <f t="shared" si="69"/>
        <v>0</v>
      </c>
      <c r="BM71" s="249"/>
      <c r="BN71" s="313">
        <f t="shared" si="70"/>
        <v>0</v>
      </c>
      <c r="BO71" s="314">
        <f t="shared" si="71"/>
        <v>0</v>
      </c>
      <c r="BP71" s="314">
        <f t="shared" si="72"/>
        <v>0</v>
      </c>
      <c r="BQ71" s="315">
        <f t="shared" si="73"/>
        <v>0</v>
      </c>
      <c r="BR71" s="249"/>
      <c r="BS71" s="307">
        <f t="shared" si="74"/>
        <v>0</v>
      </c>
      <c r="BT71" s="308">
        <f t="shared" si="75"/>
        <v>0</v>
      </c>
      <c r="BU71" s="308">
        <f t="shared" si="76"/>
        <v>0</v>
      </c>
      <c r="BV71" s="309">
        <f t="shared" si="77"/>
        <v>0</v>
      </c>
      <c r="BW71" s="249"/>
      <c r="BX71" s="310">
        <f t="shared" si="78"/>
        <v>0</v>
      </c>
      <c r="BY71" s="311">
        <f t="shared" si="79"/>
        <v>0</v>
      </c>
      <c r="BZ71" s="311">
        <f t="shared" si="80"/>
        <v>0</v>
      </c>
      <c r="CA71" s="312">
        <f t="shared" si="81"/>
        <v>0</v>
      </c>
      <c r="CB71" s="249"/>
      <c r="CC71" s="313">
        <f t="shared" si="82"/>
        <v>0</v>
      </c>
      <c r="CD71" s="314">
        <f t="shared" si="83"/>
        <v>0</v>
      </c>
      <c r="CE71" s="314">
        <f t="shared" si="84"/>
        <v>0</v>
      </c>
      <c r="CF71" s="315">
        <f t="shared" si="85"/>
        <v>0</v>
      </c>
      <c r="CG71" s="249"/>
      <c r="CH71" s="316"/>
    </row>
    <row r="72" spans="1:86" ht="15.75" customHeight="1" x14ac:dyDescent="0.2">
      <c r="A72" s="242" t="str">
        <f>IF(OR(E72&lt;&gt;FALSE,F72&lt;&gt;FALSE,G72&lt;&gt;FALSE),MAX(A$16:A71)+1,"")</f>
        <v/>
      </c>
      <c r="B72" s="284"/>
      <c r="C72" s="284" t="s">
        <v>42</v>
      </c>
      <c r="D72" s="245" t="s">
        <v>11</v>
      </c>
      <c r="E72" s="285" t="b">
        <v>0</v>
      </c>
      <c r="F72" s="286" t="b">
        <v>0</v>
      </c>
      <c r="G72" s="287" t="b">
        <v>0</v>
      </c>
      <c r="H72" s="249"/>
      <c r="I72" s="288">
        <v>1</v>
      </c>
      <c r="J72" s="249"/>
      <c r="K72" s="289"/>
      <c r="L72" s="290"/>
      <c r="M72" s="290"/>
      <c r="N72" s="290"/>
      <c r="O72" s="290"/>
      <c r="P72" s="290"/>
      <c r="Q72" s="290"/>
      <c r="R72" s="290"/>
      <c r="S72" s="290"/>
      <c r="T72" s="290"/>
      <c r="U72" s="289"/>
      <c r="V72" s="290"/>
      <c r="W72" s="290"/>
      <c r="X72" s="290"/>
      <c r="Y72" s="290"/>
      <c r="Z72" s="290"/>
      <c r="AA72" s="291"/>
      <c r="AB72" s="292"/>
      <c r="AC72" s="293"/>
      <c r="AD72" s="293"/>
      <c r="AE72" s="294"/>
      <c r="AF72" s="249"/>
      <c r="AG72" s="295">
        <f>IF(OR(AND($E72=TRUE,'[1]Pricing Summary'!$B$33=$E$2),AND($F72=TRUE,'[1]Pricing Summary'!$B$33=$F$2),AND($G72=TRUE,'[1]Pricing Summary'!$B$33=$G$2)),1,0)</f>
        <v>0</v>
      </c>
      <c r="AH72" s="295">
        <f t="shared" si="49"/>
        <v>0</v>
      </c>
      <c r="AI72" s="296">
        <f t="shared" si="50"/>
        <v>0</v>
      </c>
      <c r="AJ72" s="297">
        <f t="shared" si="51"/>
        <v>0</v>
      </c>
      <c r="AK72" s="249"/>
      <c r="AL72" s="298">
        <f t="shared" si="52"/>
        <v>0</v>
      </c>
      <c r="AM72" s="221">
        <f t="shared" si="53"/>
        <v>0</v>
      </c>
      <c r="AN72" s="221">
        <f>MROUND((1+'[1]Core Assumptions'!$D$22)*AM72,'[1]Core Assumptions'!$E$23)</f>
        <v>0</v>
      </c>
      <c r="AO72" s="299">
        <f t="shared" si="86"/>
        <v>0</v>
      </c>
      <c r="AP72" s="300">
        <f>IF(AN$7=0,0,MROUND(AN72/AN$7*AP$8/'[1]Core Assumptions'!$D$28,'[1]Core Assumptions'!$E$23))</f>
        <v>0</v>
      </c>
      <c r="AQ72" s="301">
        <f t="shared" si="54"/>
        <v>0</v>
      </c>
      <c r="AR72" s="302">
        <f t="shared" si="55"/>
        <v>0</v>
      </c>
      <c r="AS72" s="249"/>
      <c r="AT72" s="303">
        <f t="shared" si="56"/>
        <v>0</v>
      </c>
      <c r="AU72" s="267"/>
      <c r="AV72" s="295">
        <f>IF(OR(AND($E72=TRUE,'[1]Pricing Summary'!$B$33="Ultimate"),AND($F72=TRUE,'[1]Pricing Summary'!$B$33="Enhanced"),AND($G72=TRUE,'[1]Pricing Summary'!$B$33="Essential")),1,0)</f>
        <v>0</v>
      </c>
      <c r="AW72" s="304">
        <f t="shared" si="57"/>
        <v>0</v>
      </c>
      <c r="AX72" s="305">
        <f t="shared" si="58"/>
        <v>0</v>
      </c>
      <c r="AY72" s="267"/>
      <c r="AZ72" s="304">
        <f t="shared" ref="AZ72:AZ93" si="87">IF($E72=TRUE,$AL72,0)</f>
        <v>0</v>
      </c>
      <c r="BA72" s="222">
        <f t="shared" ref="BA72:BA93" si="88">IF($F72=TRUE,$AL72,0)</f>
        <v>0</v>
      </c>
      <c r="BB72" s="306">
        <f t="shared" ref="BB72:BB93" si="89">IF($G72=TRUE,$AL72,0)</f>
        <v>0</v>
      </c>
      <c r="BC72" s="272"/>
      <c r="BD72" s="307">
        <f t="shared" si="62"/>
        <v>0</v>
      </c>
      <c r="BE72" s="308">
        <f t="shared" ref="BE72:BE93" si="90">IF($E72=TRUE,$AM72,0)</f>
        <v>0</v>
      </c>
      <c r="BF72" s="308">
        <f t="shared" si="64"/>
        <v>0</v>
      </c>
      <c r="BG72" s="309">
        <f t="shared" si="65"/>
        <v>0</v>
      </c>
      <c r="BH72" s="249"/>
      <c r="BI72" s="310">
        <f t="shared" si="66"/>
        <v>0</v>
      </c>
      <c r="BJ72" s="311">
        <f t="shared" ref="BJ72:BJ93" si="91">IF($F72=TRUE,$AM72,0)</f>
        <v>0</v>
      </c>
      <c r="BK72" s="311">
        <f t="shared" si="68"/>
        <v>0</v>
      </c>
      <c r="BL72" s="312">
        <f t="shared" si="69"/>
        <v>0</v>
      </c>
      <c r="BM72" s="249"/>
      <c r="BN72" s="313">
        <f t="shared" si="70"/>
        <v>0</v>
      </c>
      <c r="BO72" s="314">
        <f t="shared" ref="BO72:BO93" si="92">IF($G72=TRUE,$AM72,0)</f>
        <v>0</v>
      </c>
      <c r="BP72" s="314">
        <f t="shared" si="72"/>
        <v>0</v>
      </c>
      <c r="BQ72" s="315">
        <f t="shared" si="73"/>
        <v>0</v>
      </c>
      <c r="BR72" s="249"/>
      <c r="BS72" s="307">
        <f t="shared" si="74"/>
        <v>0</v>
      </c>
      <c r="BT72" s="308">
        <f t="shared" si="75"/>
        <v>0</v>
      </c>
      <c r="BU72" s="308">
        <f t="shared" si="76"/>
        <v>0</v>
      </c>
      <c r="BV72" s="309">
        <f t="shared" si="77"/>
        <v>0</v>
      </c>
      <c r="BW72" s="249"/>
      <c r="BX72" s="310">
        <f t="shared" si="78"/>
        <v>0</v>
      </c>
      <c r="BY72" s="311">
        <f t="shared" ref="BY72:BY93" si="93">IF($F72=TRUE,$AO72,0)</f>
        <v>0</v>
      </c>
      <c r="BZ72" s="311">
        <f t="shared" si="80"/>
        <v>0</v>
      </c>
      <c r="CA72" s="312">
        <f t="shared" si="81"/>
        <v>0</v>
      </c>
      <c r="CB72" s="249"/>
      <c r="CC72" s="313">
        <f t="shared" si="82"/>
        <v>0</v>
      </c>
      <c r="CD72" s="314">
        <f t="shared" ref="CD72:CD93" si="94">IF($G72=TRUE,$AO72,0)</f>
        <v>0</v>
      </c>
      <c r="CE72" s="314">
        <f t="shared" si="84"/>
        <v>0</v>
      </c>
      <c r="CF72" s="315">
        <f t="shared" si="85"/>
        <v>0</v>
      </c>
      <c r="CG72" s="249"/>
      <c r="CH72" s="316"/>
    </row>
    <row r="73" spans="1:86" ht="15.75" customHeight="1" thickBot="1" x14ac:dyDescent="0.25">
      <c r="A73" s="242" t="str">
        <f>IF(OR(E73&lt;&gt;FALSE,F73&lt;&gt;FALSE,G73&lt;&gt;FALSE),MAX(A$16:A72)+1,"")</f>
        <v/>
      </c>
      <c r="B73" s="284"/>
      <c r="C73" s="284" t="s">
        <v>42</v>
      </c>
      <c r="D73" s="245" t="s">
        <v>11</v>
      </c>
      <c r="E73" s="285" t="b">
        <v>0</v>
      </c>
      <c r="F73" s="286" t="b">
        <v>0</v>
      </c>
      <c r="G73" s="287" t="b">
        <v>0</v>
      </c>
      <c r="H73" s="249"/>
      <c r="I73" s="288">
        <v>1</v>
      </c>
      <c r="J73" s="249"/>
      <c r="K73" s="289"/>
      <c r="L73" s="290"/>
      <c r="M73" s="290"/>
      <c r="N73" s="290"/>
      <c r="O73" s="290"/>
      <c r="P73" s="290"/>
      <c r="Q73" s="290"/>
      <c r="R73" s="290"/>
      <c r="S73" s="290"/>
      <c r="T73" s="290"/>
      <c r="U73" s="289"/>
      <c r="V73" s="290"/>
      <c r="W73" s="290"/>
      <c r="X73" s="290"/>
      <c r="Y73" s="290"/>
      <c r="Z73" s="290"/>
      <c r="AA73" s="291"/>
      <c r="AB73" s="292"/>
      <c r="AC73" s="293"/>
      <c r="AD73" s="293"/>
      <c r="AE73" s="294"/>
      <c r="AF73" s="249"/>
      <c r="AG73" s="295">
        <f>IF(OR(AND($E73=TRUE,'[1]Pricing Summary'!$B$33=$E$2),AND($F73=TRUE,'[1]Pricing Summary'!$B$33=$F$2),AND($G73=TRUE,'[1]Pricing Summary'!$B$33=$G$2)),1,0)</f>
        <v>0</v>
      </c>
      <c r="AH73" s="295">
        <f t="shared" si="49"/>
        <v>0</v>
      </c>
      <c r="AI73" s="296">
        <f t="shared" si="50"/>
        <v>0</v>
      </c>
      <c r="AJ73" s="297">
        <f t="shared" si="51"/>
        <v>0</v>
      </c>
      <c r="AK73" s="249"/>
      <c r="AL73" s="298">
        <f t="shared" si="52"/>
        <v>0</v>
      </c>
      <c r="AM73" s="221">
        <f t="shared" si="53"/>
        <v>0</v>
      </c>
      <c r="AN73" s="221">
        <f>MROUND((1+'[1]Core Assumptions'!$D$22)*AM73,'[1]Core Assumptions'!$E$23)</f>
        <v>0</v>
      </c>
      <c r="AO73" s="299">
        <f t="shared" si="86"/>
        <v>0</v>
      </c>
      <c r="AP73" s="300">
        <f>IF(AN$7=0,0,MROUND(AN73/AN$7*AP$8/'[1]Core Assumptions'!$D$28,'[1]Core Assumptions'!$E$23))</f>
        <v>0</v>
      </c>
      <c r="AQ73" s="301">
        <f t="shared" si="54"/>
        <v>0</v>
      </c>
      <c r="AR73" s="302">
        <f t="shared" si="55"/>
        <v>0</v>
      </c>
      <c r="AS73" s="249"/>
      <c r="AT73" s="303">
        <f t="shared" si="56"/>
        <v>0</v>
      </c>
      <c r="AU73" s="267"/>
      <c r="AV73" s="295">
        <f>IF(OR(AND($E73=TRUE,'[1]Pricing Summary'!$B$33="Ultimate"),AND($F73=TRUE,'[1]Pricing Summary'!$B$33="Enhanced"),AND($G73=TRUE,'[1]Pricing Summary'!$B$33="Essential")),1,0)</f>
        <v>0</v>
      </c>
      <c r="AW73" s="304">
        <f t="shared" si="57"/>
        <v>0</v>
      </c>
      <c r="AX73" s="305">
        <f t="shared" si="58"/>
        <v>0</v>
      </c>
      <c r="AY73" s="267"/>
      <c r="AZ73" s="304">
        <f t="shared" si="87"/>
        <v>0</v>
      </c>
      <c r="BA73" s="222">
        <f t="shared" si="88"/>
        <v>0</v>
      </c>
      <c r="BB73" s="306">
        <f t="shared" si="89"/>
        <v>0</v>
      </c>
      <c r="BC73" s="272"/>
      <c r="BD73" s="307">
        <f t="shared" si="62"/>
        <v>0</v>
      </c>
      <c r="BE73" s="308">
        <f t="shared" si="90"/>
        <v>0</v>
      </c>
      <c r="BF73" s="308">
        <f t="shared" si="64"/>
        <v>0</v>
      </c>
      <c r="BG73" s="309">
        <f t="shared" si="65"/>
        <v>0</v>
      </c>
      <c r="BH73" s="249"/>
      <c r="BI73" s="310">
        <f t="shared" si="66"/>
        <v>0</v>
      </c>
      <c r="BJ73" s="311">
        <f t="shared" si="91"/>
        <v>0</v>
      </c>
      <c r="BK73" s="311">
        <f t="shared" si="68"/>
        <v>0</v>
      </c>
      <c r="BL73" s="312">
        <f t="shared" si="69"/>
        <v>0</v>
      </c>
      <c r="BM73" s="249"/>
      <c r="BN73" s="313">
        <f t="shared" si="70"/>
        <v>0</v>
      </c>
      <c r="BO73" s="314">
        <f t="shared" si="92"/>
        <v>0</v>
      </c>
      <c r="BP73" s="314">
        <f t="shared" si="72"/>
        <v>0</v>
      </c>
      <c r="BQ73" s="315">
        <f t="shared" si="73"/>
        <v>0</v>
      </c>
      <c r="BR73" s="249"/>
      <c r="BS73" s="307">
        <f t="shared" si="74"/>
        <v>0</v>
      </c>
      <c r="BT73" s="308">
        <f t="shared" si="75"/>
        <v>0</v>
      </c>
      <c r="BU73" s="308">
        <f t="shared" si="76"/>
        <v>0</v>
      </c>
      <c r="BV73" s="309">
        <f t="shared" si="77"/>
        <v>0</v>
      </c>
      <c r="BW73" s="249"/>
      <c r="BX73" s="310">
        <f t="shared" si="78"/>
        <v>0</v>
      </c>
      <c r="BY73" s="311">
        <f t="shared" si="93"/>
        <v>0</v>
      </c>
      <c r="BZ73" s="311">
        <f t="shared" si="80"/>
        <v>0</v>
      </c>
      <c r="CA73" s="312">
        <f t="shared" si="81"/>
        <v>0</v>
      </c>
      <c r="CB73" s="249"/>
      <c r="CC73" s="313">
        <f t="shared" si="82"/>
        <v>0</v>
      </c>
      <c r="CD73" s="314">
        <f t="shared" si="94"/>
        <v>0</v>
      </c>
      <c r="CE73" s="314">
        <f t="shared" si="84"/>
        <v>0</v>
      </c>
      <c r="CF73" s="315">
        <f t="shared" si="85"/>
        <v>0</v>
      </c>
      <c r="CG73" s="249"/>
      <c r="CH73" s="316"/>
    </row>
    <row r="74" spans="1:86" ht="15.75" hidden="1" customHeight="1" outlineLevel="1" x14ac:dyDescent="0.2">
      <c r="A74" s="242" t="str">
        <f>IF(OR(E74&lt;&gt;FALSE,F74&lt;&gt;FALSE,G74&lt;&gt;FALSE),MAX(A$16:A73)+1,"")</f>
        <v/>
      </c>
      <c r="B74" s="284"/>
      <c r="C74" s="284" t="s">
        <v>42</v>
      </c>
      <c r="D74" s="245" t="s">
        <v>11</v>
      </c>
      <c r="E74" s="285" t="b">
        <v>0</v>
      </c>
      <c r="F74" s="286" t="b">
        <v>0</v>
      </c>
      <c r="G74" s="287" t="b">
        <v>0</v>
      </c>
      <c r="H74" s="249"/>
      <c r="I74" s="288">
        <v>1</v>
      </c>
      <c r="J74" s="249"/>
      <c r="K74" s="289"/>
      <c r="L74" s="290"/>
      <c r="M74" s="290"/>
      <c r="N74" s="290"/>
      <c r="O74" s="290"/>
      <c r="P74" s="290"/>
      <c r="Q74" s="290"/>
      <c r="R74" s="290"/>
      <c r="S74" s="290"/>
      <c r="T74" s="290"/>
      <c r="U74" s="289"/>
      <c r="V74" s="290"/>
      <c r="W74" s="290"/>
      <c r="X74" s="290"/>
      <c r="Y74" s="290"/>
      <c r="Z74" s="290"/>
      <c r="AA74" s="291"/>
      <c r="AB74" s="292"/>
      <c r="AC74" s="293"/>
      <c r="AD74" s="293"/>
      <c r="AE74" s="294"/>
      <c r="AF74" s="249"/>
      <c r="AG74" s="295">
        <f>IF(OR(AND($E74=TRUE,'[1]Pricing Summary'!$B$33=$E$2),AND($F74=TRUE,'[1]Pricing Summary'!$B$33=$F$2),AND($G74=TRUE,'[1]Pricing Summary'!$B$33=$G$2)),1,0)</f>
        <v>0</v>
      </c>
      <c r="AH74" s="295">
        <f t="shared" si="49"/>
        <v>0</v>
      </c>
      <c r="AI74" s="296">
        <f t="shared" si="50"/>
        <v>0</v>
      </c>
      <c r="AJ74" s="297">
        <f t="shared" si="51"/>
        <v>0</v>
      </c>
      <c r="AK74" s="249"/>
      <c r="AL74" s="298">
        <f t="shared" si="52"/>
        <v>0</v>
      </c>
      <c r="AM74" s="221">
        <f t="shared" si="53"/>
        <v>0</v>
      </c>
      <c r="AN74" s="221">
        <f>MROUND((1+'[1]Core Assumptions'!$D$22)*AM74,'[1]Core Assumptions'!$E$23)</f>
        <v>0</v>
      </c>
      <c r="AO74" s="299">
        <f t="shared" si="86"/>
        <v>0</v>
      </c>
      <c r="AP74" s="300">
        <f>IF(AN$7=0,0,MROUND(AN74/AN$7*AP$8/'[1]Core Assumptions'!$D$28,'[1]Core Assumptions'!$E$23))</f>
        <v>0</v>
      </c>
      <c r="AQ74" s="301">
        <f t="shared" si="54"/>
        <v>0</v>
      </c>
      <c r="AR74" s="302">
        <f t="shared" si="55"/>
        <v>0</v>
      </c>
      <c r="AS74" s="249"/>
      <c r="AT74" s="303">
        <f t="shared" si="56"/>
        <v>0</v>
      </c>
      <c r="AU74" s="267"/>
      <c r="AV74" s="295">
        <f>IF(OR(AND($E74=TRUE,'[1]Pricing Summary'!$B$33="Ultimate"),AND($F74=TRUE,'[1]Pricing Summary'!$B$33="Enhanced"),AND($G74=TRUE,'[1]Pricing Summary'!$B$33="Essential")),1,0)</f>
        <v>0</v>
      </c>
      <c r="AW74" s="304">
        <f t="shared" si="57"/>
        <v>0</v>
      </c>
      <c r="AX74" s="305">
        <f t="shared" si="58"/>
        <v>0</v>
      </c>
      <c r="AY74" s="267"/>
      <c r="AZ74" s="304">
        <f t="shared" si="87"/>
        <v>0</v>
      </c>
      <c r="BA74" s="222">
        <f t="shared" si="88"/>
        <v>0</v>
      </c>
      <c r="BB74" s="306">
        <f t="shared" si="89"/>
        <v>0</v>
      </c>
      <c r="BC74" s="272"/>
      <c r="BD74" s="307">
        <f t="shared" si="62"/>
        <v>0</v>
      </c>
      <c r="BE74" s="308">
        <f t="shared" si="90"/>
        <v>0</v>
      </c>
      <c r="BF74" s="308">
        <f t="shared" si="64"/>
        <v>0</v>
      </c>
      <c r="BG74" s="309">
        <f t="shared" si="65"/>
        <v>0</v>
      </c>
      <c r="BH74" s="249"/>
      <c r="BI74" s="310">
        <f t="shared" si="66"/>
        <v>0</v>
      </c>
      <c r="BJ74" s="311">
        <f t="shared" si="91"/>
        <v>0</v>
      </c>
      <c r="BK74" s="311">
        <f t="shared" si="68"/>
        <v>0</v>
      </c>
      <c r="BL74" s="312">
        <f t="shared" si="69"/>
        <v>0</v>
      </c>
      <c r="BM74" s="249"/>
      <c r="BN74" s="313">
        <f t="shared" si="70"/>
        <v>0</v>
      </c>
      <c r="BO74" s="314">
        <f t="shared" si="92"/>
        <v>0</v>
      </c>
      <c r="BP74" s="314">
        <f t="shared" si="72"/>
        <v>0</v>
      </c>
      <c r="BQ74" s="315">
        <f t="shared" si="73"/>
        <v>0</v>
      </c>
      <c r="BR74" s="249"/>
      <c r="BS74" s="307">
        <f t="shared" si="74"/>
        <v>0</v>
      </c>
      <c r="BT74" s="308">
        <f t="shared" si="75"/>
        <v>0</v>
      </c>
      <c r="BU74" s="308">
        <f t="shared" si="76"/>
        <v>0</v>
      </c>
      <c r="BV74" s="309">
        <f t="shared" si="77"/>
        <v>0</v>
      </c>
      <c r="BW74" s="249"/>
      <c r="BX74" s="310">
        <f t="shared" si="78"/>
        <v>0</v>
      </c>
      <c r="BY74" s="311">
        <f t="shared" si="93"/>
        <v>0</v>
      </c>
      <c r="BZ74" s="311">
        <f t="shared" si="80"/>
        <v>0</v>
      </c>
      <c r="CA74" s="312">
        <f t="shared" si="81"/>
        <v>0</v>
      </c>
      <c r="CB74" s="249"/>
      <c r="CC74" s="313">
        <f t="shared" si="82"/>
        <v>0</v>
      </c>
      <c r="CD74" s="314">
        <f t="shared" si="94"/>
        <v>0</v>
      </c>
      <c r="CE74" s="314">
        <f t="shared" si="84"/>
        <v>0</v>
      </c>
      <c r="CF74" s="315">
        <f t="shared" si="85"/>
        <v>0</v>
      </c>
      <c r="CG74" s="249"/>
      <c r="CH74" s="316"/>
    </row>
    <row r="75" spans="1:86" ht="15.75" hidden="1" customHeight="1" outlineLevel="1" x14ac:dyDescent="0.2">
      <c r="A75" s="242" t="str">
        <f>IF(OR(E75&lt;&gt;FALSE,F75&lt;&gt;FALSE,G75&lt;&gt;FALSE),MAX(A$16:A74)+1,"")</f>
        <v/>
      </c>
      <c r="B75" s="284"/>
      <c r="C75" s="284" t="s">
        <v>42</v>
      </c>
      <c r="D75" s="245" t="s">
        <v>11</v>
      </c>
      <c r="E75" s="285" t="b">
        <v>0</v>
      </c>
      <c r="F75" s="286" t="b">
        <v>0</v>
      </c>
      <c r="G75" s="287" t="b">
        <v>0</v>
      </c>
      <c r="H75" s="249"/>
      <c r="I75" s="288">
        <v>1</v>
      </c>
      <c r="J75" s="249"/>
      <c r="K75" s="289"/>
      <c r="L75" s="290"/>
      <c r="M75" s="290"/>
      <c r="N75" s="290"/>
      <c r="O75" s="290"/>
      <c r="P75" s="290"/>
      <c r="Q75" s="290"/>
      <c r="R75" s="290"/>
      <c r="S75" s="290"/>
      <c r="T75" s="290"/>
      <c r="U75" s="289"/>
      <c r="V75" s="290"/>
      <c r="W75" s="290"/>
      <c r="X75" s="290"/>
      <c r="Y75" s="290"/>
      <c r="Z75" s="290"/>
      <c r="AA75" s="291"/>
      <c r="AB75" s="292"/>
      <c r="AC75" s="293"/>
      <c r="AD75" s="293"/>
      <c r="AE75" s="294"/>
      <c r="AF75" s="249"/>
      <c r="AG75" s="295">
        <f>IF(OR(AND($E75=TRUE,'[1]Pricing Summary'!$B$33=$E$2),AND($F75=TRUE,'[1]Pricing Summary'!$B$33=$F$2),AND($G75=TRUE,'[1]Pricing Summary'!$B$33=$G$2)),1,0)</f>
        <v>0</v>
      </c>
      <c r="AH75" s="295">
        <f t="shared" si="49"/>
        <v>0</v>
      </c>
      <c r="AI75" s="296">
        <f t="shared" si="50"/>
        <v>0</v>
      </c>
      <c r="AJ75" s="297">
        <f t="shared" si="51"/>
        <v>0</v>
      </c>
      <c r="AK75" s="249"/>
      <c r="AL75" s="298">
        <f t="shared" si="52"/>
        <v>0</v>
      </c>
      <c r="AM75" s="221">
        <f t="shared" si="53"/>
        <v>0</v>
      </c>
      <c r="AN75" s="221">
        <f>MROUND((1+'[1]Core Assumptions'!$D$22)*AM75,'[1]Core Assumptions'!$E$23)</f>
        <v>0</v>
      </c>
      <c r="AO75" s="299">
        <f t="shared" si="86"/>
        <v>0</v>
      </c>
      <c r="AP75" s="300">
        <f>IF(AN$7=0,0,MROUND(AN75/AN$7*AP$8/'[1]Core Assumptions'!$D$28,'[1]Core Assumptions'!$E$23))</f>
        <v>0</v>
      </c>
      <c r="AQ75" s="301">
        <f t="shared" si="54"/>
        <v>0</v>
      </c>
      <c r="AR75" s="302">
        <f t="shared" si="55"/>
        <v>0</v>
      </c>
      <c r="AS75" s="249"/>
      <c r="AT75" s="303">
        <f t="shared" si="56"/>
        <v>0</v>
      </c>
      <c r="AU75" s="267"/>
      <c r="AV75" s="295">
        <f>IF(OR(AND($E75=TRUE,'[1]Pricing Summary'!$B$33="Ultimate"),AND($F75=TRUE,'[1]Pricing Summary'!$B$33="Enhanced"),AND($G75=TRUE,'[1]Pricing Summary'!$B$33="Essential")),1,0)</f>
        <v>0</v>
      </c>
      <c r="AW75" s="304">
        <f t="shared" si="57"/>
        <v>0</v>
      </c>
      <c r="AX75" s="305">
        <f t="shared" si="58"/>
        <v>0</v>
      </c>
      <c r="AY75" s="267"/>
      <c r="AZ75" s="304">
        <f t="shared" si="87"/>
        <v>0</v>
      </c>
      <c r="BA75" s="222">
        <f t="shared" si="88"/>
        <v>0</v>
      </c>
      <c r="BB75" s="306">
        <f t="shared" si="89"/>
        <v>0</v>
      </c>
      <c r="BC75" s="272"/>
      <c r="BD75" s="307">
        <f t="shared" si="62"/>
        <v>0</v>
      </c>
      <c r="BE75" s="308">
        <f t="shared" si="90"/>
        <v>0</v>
      </c>
      <c r="BF75" s="308">
        <f t="shared" si="64"/>
        <v>0</v>
      </c>
      <c r="BG75" s="309">
        <f t="shared" si="65"/>
        <v>0</v>
      </c>
      <c r="BH75" s="249"/>
      <c r="BI75" s="310">
        <f t="shared" si="66"/>
        <v>0</v>
      </c>
      <c r="BJ75" s="311">
        <f t="shared" si="91"/>
        <v>0</v>
      </c>
      <c r="BK75" s="311">
        <f t="shared" si="68"/>
        <v>0</v>
      </c>
      <c r="BL75" s="312">
        <f t="shared" si="69"/>
        <v>0</v>
      </c>
      <c r="BM75" s="249"/>
      <c r="BN75" s="313">
        <f t="shared" si="70"/>
        <v>0</v>
      </c>
      <c r="BO75" s="314">
        <f t="shared" si="92"/>
        <v>0</v>
      </c>
      <c r="BP75" s="314">
        <f t="shared" si="72"/>
        <v>0</v>
      </c>
      <c r="BQ75" s="315">
        <f t="shared" si="73"/>
        <v>0</v>
      </c>
      <c r="BR75" s="249"/>
      <c r="BS75" s="307">
        <f t="shared" si="74"/>
        <v>0</v>
      </c>
      <c r="BT75" s="308">
        <f t="shared" si="75"/>
        <v>0</v>
      </c>
      <c r="BU75" s="308">
        <f t="shared" si="76"/>
        <v>0</v>
      </c>
      <c r="BV75" s="309">
        <f t="shared" si="77"/>
        <v>0</v>
      </c>
      <c r="BW75" s="249"/>
      <c r="BX75" s="310">
        <f t="shared" si="78"/>
        <v>0</v>
      </c>
      <c r="BY75" s="311">
        <f t="shared" si="93"/>
        <v>0</v>
      </c>
      <c r="BZ75" s="311">
        <f t="shared" si="80"/>
        <v>0</v>
      </c>
      <c r="CA75" s="312">
        <f t="shared" si="81"/>
        <v>0</v>
      </c>
      <c r="CB75" s="249"/>
      <c r="CC75" s="313">
        <f t="shared" si="82"/>
        <v>0</v>
      </c>
      <c r="CD75" s="314">
        <f t="shared" si="94"/>
        <v>0</v>
      </c>
      <c r="CE75" s="314">
        <f t="shared" si="84"/>
        <v>0</v>
      </c>
      <c r="CF75" s="315">
        <f t="shared" si="85"/>
        <v>0</v>
      </c>
      <c r="CG75" s="249"/>
      <c r="CH75" s="316"/>
    </row>
    <row r="76" spans="1:86" ht="15.75" hidden="1" customHeight="1" outlineLevel="1" x14ac:dyDescent="0.2">
      <c r="A76" s="242" t="str">
        <f>IF(OR(E76&lt;&gt;FALSE,F76&lt;&gt;FALSE,G76&lt;&gt;FALSE),MAX(A$16:A75)+1,"")</f>
        <v/>
      </c>
      <c r="B76" s="284"/>
      <c r="C76" s="284" t="s">
        <v>42</v>
      </c>
      <c r="D76" s="245" t="s">
        <v>11</v>
      </c>
      <c r="E76" s="285" t="b">
        <v>0</v>
      </c>
      <c r="F76" s="286" t="b">
        <v>0</v>
      </c>
      <c r="G76" s="287" t="b">
        <v>0</v>
      </c>
      <c r="H76" s="249"/>
      <c r="I76" s="288">
        <v>1</v>
      </c>
      <c r="J76" s="249"/>
      <c r="K76" s="289"/>
      <c r="L76" s="290"/>
      <c r="M76" s="290"/>
      <c r="N76" s="290"/>
      <c r="O76" s="290"/>
      <c r="P76" s="290"/>
      <c r="Q76" s="290"/>
      <c r="R76" s="290"/>
      <c r="S76" s="290"/>
      <c r="T76" s="290"/>
      <c r="U76" s="289"/>
      <c r="V76" s="290"/>
      <c r="W76" s="290"/>
      <c r="X76" s="290"/>
      <c r="Y76" s="290"/>
      <c r="Z76" s="290"/>
      <c r="AA76" s="291"/>
      <c r="AB76" s="292"/>
      <c r="AC76" s="293"/>
      <c r="AD76" s="293"/>
      <c r="AE76" s="294"/>
      <c r="AF76" s="249"/>
      <c r="AG76" s="295">
        <f>IF(OR(AND($E76=TRUE,'[1]Pricing Summary'!$B$33=$E$2),AND($F76=TRUE,'[1]Pricing Summary'!$B$33=$F$2),AND($G76=TRUE,'[1]Pricing Summary'!$B$33=$G$2)),1,0)</f>
        <v>0</v>
      </c>
      <c r="AH76" s="295">
        <f t="shared" si="49"/>
        <v>0</v>
      </c>
      <c r="AI76" s="296">
        <f t="shared" si="50"/>
        <v>0</v>
      </c>
      <c r="AJ76" s="297">
        <f t="shared" si="51"/>
        <v>0</v>
      </c>
      <c r="AK76" s="249"/>
      <c r="AL76" s="298">
        <f t="shared" si="52"/>
        <v>0</v>
      </c>
      <c r="AM76" s="221">
        <f t="shared" si="53"/>
        <v>0</v>
      </c>
      <c r="AN76" s="221">
        <f>MROUND((1+'[1]Core Assumptions'!$D$22)*AM76,'[1]Core Assumptions'!$E$23)</f>
        <v>0</v>
      </c>
      <c r="AO76" s="299">
        <f t="shared" si="86"/>
        <v>0</v>
      </c>
      <c r="AP76" s="300">
        <f>IF(AN$7=0,0,MROUND(AN76/AN$7*AP$8/'[1]Core Assumptions'!$D$28,'[1]Core Assumptions'!$E$23))</f>
        <v>0</v>
      </c>
      <c r="AQ76" s="301">
        <f t="shared" si="54"/>
        <v>0</v>
      </c>
      <c r="AR76" s="302">
        <f t="shared" si="55"/>
        <v>0</v>
      </c>
      <c r="AS76" s="249"/>
      <c r="AT76" s="303">
        <f t="shared" si="56"/>
        <v>0</v>
      </c>
      <c r="AU76" s="267"/>
      <c r="AV76" s="295">
        <f>IF(OR(AND($E76=TRUE,'[1]Pricing Summary'!$B$33="Ultimate"),AND($F76=TRUE,'[1]Pricing Summary'!$B$33="Enhanced"),AND($G76=TRUE,'[1]Pricing Summary'!$B$33="Essential")),1,0)</f>
        <v>0</v>
      </c>
      <c r="AW76" s="304">
        <f t="shared" si="57"/>
        <v>0</v>
      </c>
      <c r="AX76" s="305">
        <f t="shared" si="58"/>
        <v>0</v>
      </c>
      <c r="AY76" s="267"/>
      <c r="AZ76" s="304">
        <f t="shared" si="87"/>
        <v>0</v>
      </c>
      <c r="BA76" s="222">
        <f t="shared" si="88"/>
        <v>0</v>
      </c>
      <c r="BB76" s="306">
        <f t="shared" si="89"/>
        <v>0</v>
      </c>
      <c r="BC76" s="272"/>
      <c r="BD76" s="307">
        <f t="shared" si="62"/>
        <v>0</v>
      </c>
      <c r="BE76" s="308">
        <f t="shared" si="90"/>
        <v>0</v>
      </c>
      <c r="BF76" s="308">
        <f t="shared" si="64"/>
        <v>0</v>
      </c>
      <c r="BG76" s="309">
        <f t="shared" si="65"/>
        <v>0</v>
      </c>
      <c r="BH76" s="249"/>
      <c r="BI76" s="310">
        <f t="shared" si="66"/>
        <v>0</v>
      </c>
      <c r="BJ76" s="311">
        <f t="shared" si="91"/>
        <v>0</v>
      </c>
      <c r="BK76" s="311">
        <f t="shared" si="68"/>
        <v>0</v>
      </c>
      <c r="BL76" s="312">
        <f t="shared" si="69"/>
        <v>0</v>
      </c>
      <c r="BM76" s="249"/>
      <c r="BN76" s="313">
        <f t="shared" si="70"/>
        <v>0</v>
      </c>
      <c r="BO76" s="314">
        <f t="shared" si="92"/>
        <v>0</v>
      </c>
      <c r="BP76" s="314">
        <f t="shared" si="72"/>
        <v>0</v>
      </c>
      <c r="BQ76" s="315">
        <f t="shared" si="73"/>
        <v>0</v>
      </c>
      <c r="BR76" s="249"/>
      <c r="BS76" s="307">
        <f t="shared" si="74"/>
        <v>0</v>
      </c>
      <c r="BT76" s="308">
        <f t="shared" si="75"/>
        <v>0</v>
      </c>
      <c r="BU76" s="308">
        <f t="shared" si="76"/>
        <v>0</v>
      </c>
      <c r="BV76" s="309">
        <f t="shared" si="77"/>
        <v>0</v>
      </c>
      <c r="BW76" s="249"/>
      <c r="BX76" s="310">
        <f t="shared" si="78"/>
        <v>0</v>
      </c>
      <c r="BY76" s="311">
        <f t="shared" si="93"/>
        <v>0</v>
      </c>
      <c r="BZ76" s="311">
        <f t="shared" si="80"/>
        <v>0</v>
      </c>
      <c r="CA76" s="312">
        <f t="shared" si="81"/>
        <v>0</v>
      </c>
      <c r="CB76" s="249"/>
      <c r="CC76" s="313">
        <f t="shared" si="82"/>
        <v>0</v>
      </c>
      <c r="CD76" s="314">
        <f t="shared" si="94"/>
        <v>0</v>
      </c>
      <c r="CE76" s="314">
        <f t="shared" si="84"/>
        <v>0</v>
      </c>
      <c r="CF76" s="315">
        <f t="shared" si="85"/>
        <v>0</v>
      </c>
      <c r="CG76" s="249"/>
      <c r="CH76" s="316"/>
    </row>
    <row r="77" spans="1:86" ht="15.75" hidden="1" customHeight="1" outlineLevel="1" x14ac:dyDescent="0.2">
      <c r="A77" s="242" t="str">
        <f>IF(OR(E77&lt;&gt;FALSE,F77&lt;&gt;FALSE,G77&lt;&gt;FALSE),MAX(A$16:A76)+1,"")</f>
        <v/>
      </c>
      <c r="B77" s="284"/>
      <c r="C77" s="284" t="s">
        <v>42</v>
      </c>
      <c r="D77" s="245" t="s">
        <v>11</v>
      </c>
      <c r="E77" s="285" t="b">
        <v>0</v>
      </c>
      <c r="F77" s="286" t="b">
        <v>0</v>
      </c>
      <c r="G77" s="287" t="b">
        <v>0</v>
      </c>
      <c r="H77" s="249"/>
      <c r="I77" s="288">
        <v>1</v>
      </c>
      <c r="J77" s="249"/>
      <c r="K77" s="289"/>
      <c r="L77" s="290"/>
      <c r="M77" s="290"/>
      <c r="N77" s="290"/>
      <c r="O77" s="290"/>
      <c r="P77" s="290"/>
      <c r="Q77" s="290"/>
      <c r="R77" s="290"/>
      <c r="S77" s="290"/>
      <c r="T77" s="290"/>
      <c r="U77" s="289"/>
      <c r="V77" s="290"/>
      <c r="W77" s="290"/>
      <c r="X77" s="290"/>
      <c r="Y77" s="290"/>
      <c r="Z77" s="290"/>
      <c r="AA77" s="291"/>
      <c r="AB77" s="292"/>
      <c r="AC77" s="293"/>
      <c r="AD77" s="293"/>
      <c r="AE77" s="294"/>
      <c r="AF77" s="249"/>
      <c r="AG77" s="295">
        <f>IF(OR(AND($E77=TRUE,'[1]Pricing Summary'!$B$33=$E$2),AND($F77=TRUE,'[1]Pricing Summary'!$B$33=$F$2),AND($G77=TRUE,'[1]Pricing Summary'!$B$33=$G$2)),1,0)</f>
        <v>0</v>
      </c>
      <c r="AH77" s="295">
        <f t="shared" si="49"/>
        <v>0</v>
      </c>
      <c r="AI77" s="296">
        <f t="shared" si="50"/>
        <v>0</v>
      </c>
      <c r="AJ77" s="297">
        <f t="shared" si="51"/>
        <v>0</v>
      </c>
      <c r="AK77" s="249"/>
      <c r="AL77" s="298">
        <f t="shared" si="52"/>
        <v>0</v>
      </c>
      <c r="AM77" s="221">
        <f t="shared" si="53"/>
        <v>0</v>
      </c>
      <c r="AN77" s="221">
        <f>MROUND((1+'[1]Core Assumptions'!$D$22)*AM77,'[1]Core Assumptions'!$E$23)</f>
        <v>0</v>
      </c>
      <c r="AO77" s="299">
        <f t="shared" si="86"/>
        <v>0</v>
      </c>
      <c r="AP77" s="300">
        <f>IF(AN$7=0,0,MROUND(AN77/AN$7*AP$8/'[1]Core Assumptions'!$D$28,'[1]Core Assumptions'!$E$23))</f>
        <v>0</v>
      </c>
      <c r="AQ77" s="301">
        <f t="shared" si="54"/>
        <v>0</v>
      </c>
      <c r="AR77" s="302">
        <f t="shared" si="55"/>
        <v>0</v>
      </c>
      <c r="AS77" s="249"/>
      <c r="AT77" s="303">
        <f t="shared" si="56"/>
        <v>0</v>
      </c>
      <c r="AU77" s="267"/>
      <c r="AV77" s="295">
        <f>IF(OR(AND($E77=TRUE,'[1]Pricing Summary'!$B$33="Ultimate"),AND($F77=TRUE,'[1]Pricing Summary'!$B$33="Enhanced"),AND($G77=TRUE,'[1]Pricing Summary'!$B$33="Essential")),1,0)</f>
        <v>0</v>
      </c>
      <c r="AW77" s="304">
        <f t="shared" si="57"/>
        <v>0</v>
      </c>
      <c r="AX77" s="305">
        <f t="shared" si="58"/>
        <v>0</v>
      </c>
      <c r="AY77" s="267"/>
      <c r="AZ77" s="304">
        <f t="shared" si="87"/>
        <v>0</v>
      </c>
      <c r="BA77" s="222">
        <f t="shared" si="88"/>
        <v>0</v>
      </c>
      <c r="BB77" s="306">
        <f t="shared" si="89"/>
        <v>0</v>
      </c>
      <c r="BC77" s="272"/>
      <c r="BD77" s="307">
        <f t="shared" si="62"/>
        <v>0</v>
      </c>
      <c r="BE77" s="308">
        <f t="shared" si="90"/>
        <v>0</v>
      </c>
      <c r="BF77" s="308">
        <f t="shared" si="64"/>
        <v>0</v>
      </c>
      <c r="BG77" s="309">
        <f t="shared" si="65"/>
        <v>0</v>
      </c>
      <c r="BH77" s="249"/>
      <c r="BI77" s="310">
        <f t="shared" si="66"/>
        <v>0</v>
      </c>
      <c r="BJ77" s="311">
        <f t="shared" si="91"/>
        <v>0</v>
      </c>
      <c r="BK77" s="311">
        <f t="shared" si="68"/>
        <v>0</v>
      </c>
      <c r="BL77" s="312">
        <f t="shared" si="69"/>
        <v>0</v>
      </c>
      <c r="BM77" s="249"/>
      <c r="BN77" s="313">
        <f t="shared" si="70"/>
        <v>0</v>
      </c>
      <c r="BO77" s="314">
        <f t="shared" si="92"/>
        <v>0</v>
      </c>
      <c r="BP77" s="314">
        <f t="shared" si="72"/>
        <v>0</v>
      </c>
      <c r="BQ77" s="315">
        <f t="shared" si="73"/>
        <v>0</v>
      </c>
      <c r="BR77" s="249"/>
      <c r="BS77" s="307">
        <f t="shared" si="74"/>
        <v>0</v>
      </c>
      <c r="BT77" s="308">
        <f t="shared" si="75"/>
        <v>0</v>
      </c>
      <c r="BU77" s="308">
        <f t="shared" si="76"/>
        <v>0</v>
      </c>
      <c r="BV77" s="309">
        <f t="shared" si="77"/>
        <v>0</v>
      </c>
      <c r="BW77" s="249"/>
      <c r="BX77" s="310">
        <f t="shared" si="78"/>
        <v>0</v>
      </c>
      <c r="BY77" s="311">
        <f t="shared" si="93"/>
        <v>0</v>
      </c>
      <c r="BZ77" s="311">
        <f t="shared" si="80"/>
        <v>0</v>
      </c>
      <c r="CA77" s="312">
        <f t="shared" si="81"/>
        <v>0</v>
      </c>
      <c r="CB77" s="249"/>
      <c r="CC77" s="313">
        <f t="shared" si="82"/>
        <v>0</v>
      </c>
      <c r="CD77" s="314">
        <f t="shared" si="94"/>
        <v>0</v>
      </c>
      <c r="CE77" s="314">
        <f t="shared" si="84"/>
        <v>0</v>
      </c>
      <c r="CF77" s="315">
        <f t="shared" si="85"/>
        <v>0</v>
      </c>
      <c r="CG77" s="249"/>
      <c r="CH77" s="316"/>
    </row>
    <row r="78" spans="1:86" ht="15.75" hidden="1" customHeight="1" outlineLevel="1" x14ac:dyDescent="0.2">
      <c r="A78" s="242" t="str">
        <f>IF(OR(E78&lt;&gt;FALSE,F78&lt;&gt;FALSE,G78&lt;&gt;FALSE),MAX(A$16:A77)+1,"")</f>
        <v/>
      </c>
      <c r="B78" s="284"/>
      <c r="C78" s="284" t="s">
        <v>42</v>
      </c>
      <c r="D78" s="245" t="s">
        <v>11</v>
      </c>
      <c r="E78" s="285" t="b">
        <v>0</v>
      </c>
      <c r="F78" s="286" t="b">
        <v>0</v>
      </c>
      <c r="G78" s="287" t="b">
        <v>0</v>
      </c>
      <c r="H78" s="249"/>
      <c r="I78" s="288">
        <v>1</v>
      </c>
      <c r="J78" s="249"/>
      <c r="K78" s="289"/>
      <c r="L78" s="290"/>
      <c r="M78" s="290"/>
      <c r="N78" s="290"/>
      <c r="O78" s="290"/>
      <c r="P78" s="290"/>
      <c r="Q78" s="290"/>
      <c r="R78" s="290"/>
      <c r="S78" s="290"/>
      <c r="T78" s="290"/>
      <c r="U78" s="289"/>
      <c r="V78" s="290"/>
      <c r="W78" s="290"/>
      <c r="X78" s="290"/>
      <c r="Y78" s="290"/>
      <c r="Z78" s="290"/>
      <c r="AA78" s="291"/>
      <c r="AB78" s="292"/>
      <c r="AC78" s="293"/>
      <c r="AD78" s="293"/>
      <c r="AE78" s="294"/>
      <c r="AF78" s="249"/>
      <c r="AG78" s="295">
        <f>IF(OR(AND($E78=TRUE,'[1]Pricing Summary'!$B$33=$E$2),AND($F78=TRUE,'[1]Pricing Summary'!$B$33=$F$2),AND($G78=TRUE,'[1]Pricing Summary'!$B$33=$G$2)),1,0)</f>
        <v>0</v>
      </c>
      <c r="AH78" s="295">
        <f t="shared" si="49"/>
        <v>0</v>
      </c>
      <c r="AI78" s="296">
        <f t="shared" si="50"/>
        <v>0</v>
      </c>
      <c r="AJ78" s="297">
        <f t="shared" si="51"/>
        <v>0</v>
      </c>
      <c r="AK78" s="249"/>
      <c r="AL78" s="298">
        <f t="shared" si="52"/>
        <v>0</v>
      </c>
      <c r="AM78" s="221">
        <f t="shared" si="53"/>
        <v>0</v>
      </c>
      <c r="AN78" s="221">
        <f>MROUND((1+'[1]Core Assumptions'!$D$22)*AM78,'[1]Core Assumptions'!$E$23)</f>
        <v>0</v>
      </c>
      <c r="AO78" s="299">
        <f t="shared" si="86"/>
        <v>0</v>
      </c>
      <c r="AP78" s="300">
        <f>IF(AN$7=0,0,MROUND(AN78/AN$7*AP$8/'[1]Core Assumptions'!$D$28,'[1]Core Assumptions'!$E$23))</f>
        <v>0</v>
      </c>
      <c r="AQ78" s="301">
        <f t="shared" si="54"/>
        <v>0</v>
      </c>
      <c r="AR78" s="302">
        <f t="shared" si="55"/>
        <v>0</v>
      </c>
      <c r="AS78" s="249"/>
      <c r="AT78" s="303">
        <f t="shared" si="56"/>
        <v>0</v>
      </c>
      <c r="AU78" s="267"/>
      <c r="AV78" s="295">
        <f>IF(OR(AND($E78=TRUE,'[1]Pricing Summary'!$B$33="Ultimate"),AND($F78=TRUE,'[1]Pricing Summary'!$B$33="Enhanced"),AND($G78=TRUE,'[1]Pricing Summary'!$B$33="Essential")),1,0)</f>
        <v>0</v>
      </c>
      <c r="AW78" s="304">
        <f t="shared" si="57"/>
        <v>0</v>
      </c>
      <c r="AX78" s="305">
        <f t="shared" si="58"/>
        <v>0</v>
      </c>
      <c r="AY78" s="267"/>
      <c r="AZ78" s="304">
        <f t="shared" si="87"/>
        <v>0</v>
      </c>
      <c r="BA78" s="222">
        <f t="shared" si="88"/>
        <v>0</v>
      </c>
      <c r="BB78" s="306">
        <f t="shared" si="89"/>
        <v>0</v>
      </c>
      <c r="BC78" s="272"/>
      <c r="BD78" s="307">
        <f t="shared" si="62"/>
        <v>0</v>
      </c>
      <c r="BE78" s="308">
        <f t="shared" si="90"/>
        <v>0</v>
      </c>
      <c r="BF78" s="308">
        <f t="shared" si="64"/>
        <v>0</v>
      </c>
      <c r="BG78" s="309">
        <f t="shared" si="65"/>
        <v>0</v>
      </c>
      <c r="BH78" s="249"/>
      <c r="BI78" s="310">
        <f t="shared" si="66"/>
        <v>0</v>
      </c>
      <c r="BJ78" s="311">
        <f t="shared" si="91"/>
        <v>0</v>
      </c>
      <c r="BK78" s="311">
        <f t="shared" si="68"/>
        <v>0</v>
      </c>
      <c r="BL78" s="312">
        <f t="shared" si="69"/>
        <v>0</v>
      </c>
      <c r="BM78" s="249"/>
      <c r="BN78" s="313">
        <f t="shared" si="70"/>
        <v>0</v>
      </c>
      <c r="BO78" s="314">
        <f t="shared" si="92"/>
        <v>0</v>
      </c>
      <c r="BP78" s="314">
        <f t="shared" si="72"/>
        <v>0</v>
      </c>
      <c r="BQ78" s="315">
        <f t="shared" si="73"/>
        <v>0</v>
      </c>
      <c r="BR78" s="249"/>
      <c r="BS78" s="307">
        <f t="shared" si="74"/>
        <v>0</v>
      </c>
      <c r="BT78" s="308">
        <f t="shared" si="75"/>
        <v>0</v>
      </c>
      <c r="BU78" s="308">
        <f t="shared" si="76"/>
        <v>0</v>
      </c>
      <c r="BV78" s="309">
        <f t="shared" si="77"/>
        <v>0</v>
      </c>
      <c r="BW78" s="249"/>
      <c r="BX78" s="310">
        <f t="shared" si="78"/>
        <v>0</v>
      </c>
      <c r="BY78" s="311">
        <f t="shared" si="93"/>
        <v>0</v>
      </c>
      <c r="BZ78" s="311">
        <f t="shared" si="80"/>
        <v>0</v>
      </c>
      <c r="CA78" s="312">
        <f t="shared" si="81"/>
        <v>0</v>
      </c>
      <c r="CB78" s="249"/>
      <c r="CC78" s="313">
        <f t="shared" si="82"/>
        <v>0</v>
      </c>
      <c r="CD78" s="314">
        <f t="shared" si="94"/>
        <v>0</v>
      </c>
      <c r="CE78" s="314">
        <f t="shared" si="84"/>
        <v>0</v>
      </c>
      <c r="CF78" s="315">
        <f t="shared" si="85"/>
        <v>0</v>
      </c>
      <c r="CG78" s="249"/>
      <c r="CH78" s="316"/>
    </row>
    <row r="79" spans="1:86" ht="15.75" hidden="1" customHeight="1" outlineLevel="1" x14ac:dyDescent="0.2">
      <c r="A79" s="242" t="str">
        <f>IF(OR(E79&lt;&gt;FALSE,F79&lt;&gt;FALSE,G79&lt;&gt;FALSE),MAX(A$16:A78)+1,"")</f>
        <v/>
      </c>
      <c r="B79" s="284"/>
      <c r="C79" s="284" t="s">
        <v>42</v>
      </c>
      <c r="D79" s="245" t="s">
        <v>11</v>
      </c>
      <c r="E79" s="285" t="b">
        <v>0</v>
      </c>
      <c r="F79" s="286" t="b">
        <v>0</v>
      </c>
      <c r="G79" s="287" t="b">
        <v>0</v>
      </c>
      <c r="H79" s="249"/>
      <c r="I79" s="288">
        <v>1</v>
      </c>
      <c r="J79" s="249"/>
      <c r="K79" s="289"/>
      <c r="L79" s="290"/>
      <c r="M79" s="290"/>
      <c r="N79" s="290"/>
      <c r="O79" s="290"/>
      <c r="P79" s="290"/>
      <c r="Q79" s="290"/>
      <c r="R79" s="290"/>
      <c r="S79" s="290"/>
      <c r="T79" s="290"/>
      <c r="U79" s="289"/>
      <c r="V79" s="290"/>
      <c r="W79" s="290"/>
      <c r="X79" s="290"/>
      <c r="Y79" s="290"/>
      <c r="Z79" s="290"/>
      <c r="AA79" s="291"/>
      <c r="AB79" s="292"/>
      <c r="AC79" s="293"/>
      <c r="AD79" s="293"/>
      <c r="AE79" s="294"/>
      <c r="AF79" s="249"/>
      <c r="AG79" s="295">
        <f>IF(OR(AND($E79=TRUE,'[1]Pricing Summary'!$B$33=$E$2),AND($F79=TRUE,'[1]Pricing Summary'!$B$33=$F$2),AND($G79=TRUE,'[1]Pricing Summary'!$B$33=$G$2)),1,0)</f>
        <v>0</v>
      </c>
      <c r="AH79" s="295">
        <f t="shared" si="49"/>
        <v>0</v>
      </c>
      <c r="AI79" s="296">
        <f t="shared" si="50"/>
        <v>0</v>
      </c>
      <c r="AJ79" s="297">
        <f t="shared" si="51"/>
        <v>0</v>
      </c>
      <c r="AK79" s="249"/>
      <c r="AL79" s="298">
        <f t="shared" si="52"/>
        <v>0</v>
      </c>
      <c r="AM79" s="221">
        <f t="shared" si="53"/>
        <v>0</v>
      </c>
      <c r="AN79" s="221">
        <f>MROUND((1+'[1]Core Assumptions'!$D$22)*AM79,'[1]Core Assumptions'!$E$23)</f>
        <v>0</v>
      </c>
      <c r="AO79" s="299">
        <f t="shared" si="86"/>
        <v>0</v>
      </c>
      <c r="AP79" s="300">
        <f>IF(AN$7=0,0,MROUND(AN79/AN$7*AP$8/'[1]Core Assumptions'!$D$28,'[1]Core Assumptions'!$E$23))</f>
        <v>0</v>
      </c>
      <c r="AQ79" s="301">
        <f t="shared" si="54"/>
        <v>0</v>
      </c>
      <c r="AR79" s="302">
        <f t="shared" si="55"/>
        <v>0</v>
      </c>
      <c r="AS79" s="249"/>
      <c r="AT79" s="303">
        <f t="shared" si="56"/>
        <v>0</v>
      </c>
      <c r="AU79" s="267"/>
      <c r="AV79" s="295">
        <f>IF(OR(AND($E79=TRUE,'[1]Pricing Summary'!$B$33="Ultimate"),AND($F79=TRUE,'[1]Pricing Summary'!$B$33="Enhanced"),AND($G79=TRUE,'[1]Pricing Summary'!$B$33="Essential")),1,0)</f>
        <v>0</v>
      </c>
      <c r="AW79" s="304">
        <f t="shared" si="57"/>
        <v>0</v>
      </c>
      <c r="AX79" s="305">
        <f t="shared" si="58"/>
        <v>0</v>
      </c>
      <c r="AY79" s="267"/>
      <c r="AZ79" s="304">
        <f t="shared" si="87"/>
        <v>0</v>
      </c>
      <c r="BA79" s="222">
        <f t="shared" si="88"/>
        <v>0</v>
      </c>
      <c r="BB79" s="306">
        <f t="shared" si="89"/>
        <v>0</v>
      </c>
      <c r="BC79" s="272"/>
      <c r="BD79" s="307">
        <f t="shared" si="62"/>
        <v>0</v>
      </c>
      <c r="BE79" s="308">
        <f t="shared" si="90"/>
        <v>0</v>
      </c>
      <c r="BF79" s="308">
        <f t="shared" si="64"/>
        <v>0</v>
      </c>
      <c r="BG79" s="309">
        <f t="shared" si="65"/>
        <v>0</v>
      </c>
      <c r="BH79" s="249"/>
      <c r="BI79" s="310">
        <f t="shared" si="66"/>
        <v>0</v>
      </c>
      <c r="BJ79" s="311">
        <f t="shared" si="91"/>
        <v>0</v>
      </c>
      <c r="BK79" s="311">
        <f t="shared" si="68"/>
        <v>0</v>
      </c>
      <c r="BL79" s="312">
        <f t="shared" si="69"/>
        <v>0</v>
      </c>
      <c r="BM79" s="249"/>
      <c r="BN79" s="313">
        <f t="shared" si="70"/>
        <v>0</v>
      </c>
      <c r="BO79" s="314">
        <f t="shared" si="92"/>
        <v>0</v>
      </c>
      <c r="BP79" s="314">
        <f t="shared" si="72"/>
        <v>0</v>
      </c>
      <c r="BQ79" s="315">
        <f t="shared" si="73"/>
        <v>0</v>
      </c>
      <c r="BR79" s="249"/>
      <c r="BS79" s="307">
        <f t="shared" si="74"/>
        <v>0</v>
      </c>
      <c r="BT79" s="308">
        <f t="shared" si="75"/>
        <v>0</v>
      </c>
      <c r="BU79" s="308">
        <f t="shared" si="76"/>
        <v>0</v>
      </c>
      <c r="BV79" s="309">
        <f t="shared" si="77"/>
        <v>0</v>
      </c>
      <c r="BW79" s="249"/>
      <c r="BX79" s="310">
        <f t="shared" si="78"/>
        <v>0</v>
      </c>
      <c r="BY79" s="311">
        <f t="shared" si="93"/>
        <v>0</v>
      </c>
      <c r="BZ79" s="311">
        <f t="shared" si="80"/>
        <v>0</v>
      </c>
      <c r="CA79" s="312">
        <f t="shared" si="81"/>
        <v>0</v>
      </c>
      <c r="CB79" s="249"/>
      <c r="CC79" s="313">
        <f t="shared" si="82"/>
        <v>0</v>
      </c>
      <c r="CD79" s="314">
        <f t="shared" si="94"/>
        <v>0</v>
      </c>
      <c r="CE79" s="314">
        <f t="shared" si="84"/>
        <v>0</v>
      </c>
      <c r="CF79" s="315">
        <f t="shared" si="85"/>
        <v>0</v>
      </c>
      <c r="CG79" s="249"/>
      <c r="CH79" s="316"/>
    </row>
    <row r="80" spans="1:86" ht="15.75" hidden="1" customHeight="1" outlineLevel="1" x14ac:dyDescent="0.2">
      <c r="A80" s="242" t="str">
        <f>IF(OR(E80&lt;&gt;FALSE,F80&lt;&gt;FALSE,G80&lt;&gt;FALSE),MAX(A$16:A79)+1,"")</f>
        <v/>
      </c>
      <c r="B80" s="284"/>
      <c r="C80" s="284" t="s">
        <v>42</v>
      </c>
      <c r="D80" s="245" t="s">
        <v>11</v>
      </c>
      <c r="E80" s="285" t="b">
        <v>0</v>
      </c>
      <c r="F80" s="286" t="b">
        <v>0</v>
      </c>
      <c r="G80" s="287" t="b">
        <v>0</v>
      </c>
      <c r="H80" s="249"/>
      <c r="I80" s="288">
        <v>1</v>
      </c>
      <c r="J80" s="249"/>
      <c r="K80" s="289"/>
      <c r="L80" s="290"/>
      <c r="M80" s="290"/>
      <c r="N80" s="290"/>
      <c r="O80" s="290"/>
      <c r="P80" s="290"/>
      <c r="Q80" s="290"/>
      <c r="R80" s="290"/>
      <c r="S80" s="290"/>
      <c r="T80" s="290"/>
      <c r="U80" s="289"/>
      <c r="V80" s="290"/>
      <c r="W80" s="290"/>
      <c r="X80" s="290"/>
      <c r="Y80" s="290"/>
      <c r="Z80" s="290"/>
      <c r="AA80" s="291"/>
      <c r="AB80" s="292"/>
      <c r="AC80" s="293"/>
      <c r="AD80" s="293"/>
      <c r="AE80" s="294"/>
      <c r="AF80" s="249"/>
      <c r="AG80" s="295">
        <f>IF(OR(AND($E80=TRUE,'[1]Pricing Summary'!$B$33=$E$2),AND($F80=TRUE,'[1]Pricing Summary'!$B$33=$F$2),AND($G80=TRUE,'[1]Pricing Summary'!$B$33=$G$2)),1,0)</f>
        <v>0</v>
      </c>
      <c r="AH80" s="295">
        <f t="shared" si="49"/>
        <v>0</v>
      </c>
      <c r="AI80" s="296">
        <f t="shared" si="50"/>
        <v>0</v>
      </c>
      <c r="AJ80" s="297">
        <f t="shared" si="51"/>
        <v>0</v>
      </c>
      <c r="AK80" s="249"/>
      <c r="AL80" s="298">
        <f t="shared" si="52"/>
        <v>0</v>
      </c>
      <c r="AM80" s="221">
        <f t="shared" si="53"/>
        <v>0</v>
      </c>
      <c r="AN80" s="221">
        <f>MROUND((1+'[1]Core Assumptions'!$D$22)*AM80,'[1]Core Assumptions'!$E$23)</f>
        <v>0</v>
      </c>
      <c r="AO80" s="299">
        <f t="shared" si="86"/>
        <v>0</v>
      </c>
      <c r="AP80" s="300">
        <f>IF(AN$7=0,0,MROUND(AN80/AN$7*AP$8/'[1]Core Assumptions'!$D$28,'[1]Core Assumptions'!$E$23))</f>
        <v>0</v>
      </c>
      <c r="AQ80" s="301">
        <f t="shared" si="54"/>
        <v>0</v>
      </c>
      <c r="AR80" s="302">
        <f t="shared" si="55"/>
        <v>0</v>
      </c>
      <c r="AS80" s="249"/>
      <c r="AT80" s="303">
        <f t="shared" si="56"/>
        <v>0</v>
      </c>
      <c r="AU80" s="267"/>
      <c r="AV80" s="295">
        <f>IF(OR(AND($E80=TRUE,'[1]Pricing Summary'!$B$33="Ultimate"),AND($F80=TRUE,'[1]Pricing Summary'!$B$33="Enhanced"),AND($G80=TRUE,'[1]Pricing Summary'!$B$33="Essential")),1,0)</f>
        <v>0</v>
      </c>
      <c r="AW80" s="304">
        <f t="shared" si="57"/>
        <v>0</v>
      </c>
      <c r="AX80" s="305">
        <f t="shared" si="58"/>
        <v>0</v>
      </c>
      <c r="AY80" s="267"/>
      <c r="AZ80" s="304">
        <f t="shared" si="87"/>
        <v>0</v>
      </c>
      <c r="BA80" s="222">
        <f t="shared" si="88"/>
        <v>0</v>
      </c>
      <c r="BB80" s="306">
        <f t="shared" si="89"/>
        <v>0</v>
      </c>
      <c r="BC80" s="272"/>
      <c r="BD80" s="307">
        <f t="shared" si="62"/>
        <v>0</v>
      </c>
      <c r="BE80" s="308">
        <f t="shared" si="90"/>
        <v>0</v>
      </c>
      <c r="BF80" s="308">
        <f t="shared" si="64"/>
        <v>0</v>
      </c>
      <c r="BG80" s="309">
        <f t="shared" si="65"/>
        <v>0</v>
      </c>
      <c r="BH80" s="249"/>
      <c r="BI80" s="310">
        <f t="shared" si="66"/>
        <v>0</v>
      </c>
      <c r="BJ80" s="311">
        <f t="shared" si="91"/>
        <v>0</v>
      </c>
      <c r="BK80" s="311">
        <f t="shared" si="68"/>
        <v>0</v>
      </c>
      <c r="BL80" s="312">
        <f t="shared" si="69"/>
        <v>0</v>
      </c>
      <c r="BM80" s="249"/>
      <c r="BN80" s="313">
        <f t="shared" si="70"/>
        <v>0</v>
      </c>
      <c r="BO80" s="314">
        <f t="shared" si="92"/>
        <v>0</v>
      </c>
      <c r="BP80" s="314">
        <f t="shared" si="72"/>
        <v>0</v>
      </c>
      <c r="BQ80" s="315">
        <f t="shared" si="73"/>
        <v>0</v>
      </c>
      <c r="BR80" s="249"/>
      <c r="BS80" s="307">
        <f t="shared" si="74"/>
        <v>0</v>
      </c>
      <c r="BT80" s="308">
        <f t="shared" si="75"/>
        <v>0</v>
      </c>
      <c r="BU80" s="308">
        <f t="shared" si="76"/>
        <v>0</v>
      </c>
      <c r="BV80" s="309">
        <f t="shared" si="77"/>
        <v>0</v>
      </c>
      <c r="BW80" s="249"/>
      <c r="BX80" s="310">
        <f t="shared" si="78"/>
        <v>0</v>
      </c>
      <c r="BY80" s="311">
        <f t="shared" si="93"/>
        <v>0</v>
      </c>
      <c r="BZ80" s="311">
        <f t="shared" si="80"/>
        <v>0</v>
      </c>
      <c r="CA80" s="312">
        <f t="shared" si="81"/>
        <v>0</v>
      </c>
      <c r="CB80" s="249"/>
      <c r="CC80" s="313">
        <f t="shared" si="82"/>
        <v>0</v>
      </c>
      <c r="CD80" s="314">
        <f t="shared" si="94"/>
        <v>0</v>
      </c>
      <c r="CE80" s="314">
        <f t="shared" si="84"/>
        <v>0</v>
      </c>
      <c r="CF80" s="315">
        <f t="shared" si="85"/>
        <v>0</v>
      </c>
      <c r="CG80" s="249"/>
      <c r="CH80" s="316"/>
    </row>
    <row r="81" spans="1:86" ht="15.75" hidden="1" customHeight="1" outlineLevel="1" x14ac:dyDescent="0.2">
      <c r="A81" s="242" t="str">
        <f>IF(OR(E81&lt;&gt;FALSE,F81&lt;&gt;FALSE,G81&lt;&gt;FALSE),MAX(A$16:A80)+1,"")</f>
        <v/>
      </c>
      <c r="B81" s="284"/>
      <c r="C81" s="284" t="s">
        <v>42</v>
      </c>
      <c r="D81" s="245" t="s">
        <v>11</v>
      </c>
      <c r="E81" s="285" t="b">
        <v>0</v>
      </c>
      <c r="F81" s="286" t="b">
        <v>0</v>
      </c>
      <c r="G81" s="287" t="b">
        <v>0</v>
      </c>
      <c r="H81" s="249"/>
      <c r="I81" s="288">
        <v>1</v>
      </c>
      <c r="J81" s="249"/>
      <c r="K81" s="289"/>
      <c r="L81" s="290"/>
      <c r="M81" s="290"/>
      <c r="N81" s="290"/>
      <c r="O81" s="290"/>
      <c r="P81" s="290"/>
      <c r="Q81" s="290"/>
      <c r="R81" s="290"/>
      <c r="S81" s="290"/>
      <c r="T81" s="290"/>
      <c r="U81" s="289"/>
      <c r="V81" s="290"/>
      <c r="W81" s="290"/>
      <c r="X81" s="290"/>
      <c r="Y81" s="290"/>
      <c r="Z81" s="290"/>
      <c r="AA81" s="291"/>
      <c r="AB81" s="292"/>
      <c r="AC81" s="293"/>
      <c r="AD81" s="293"/>
      <c r="AE81" s="294"/>
      <c r="AF81" s="249"/>
      <c r="AG81" s="295">
        <f>IF(OR(AND($E81=TRUE,'[1]Pricing Summary'!$B$33=$E$2),AND($F81=TRUE,'[1]Pricing Summary'!$B$33=$F$2),AND($G81=TRUE,'[1]Pricing Summary'!$B$33=$G$2)),1,0)</f>
        <v>0</v>
      </c>
      <c r="AH81" s="295">
        <f t="shared" si="49"/>
        <v>0</v>
      </c>
      <c r="AI81" s="296">
        <f t="shared" si="50"/>
        <v>0</v>
      </c>
      <c r="AJ81" s="297">
        <f t="shared" si="51"/>
        <v>0</v>
      </c>
      <c r="AK81" s="249"/>
      <c r="AL81" s="298">
        <f t="shared" si="52"/>
        <v>0</v>
      </c>
      <c r="AM81" s="221">
        <f t="shared" si="53"/>
        <v>0</v>
      </c>
      <c r="AN81" s="221">
        <f>MROUND((1+'[1]Core Assumptions'!$D$22)*AM81,'[1]Core Assumptions'!$E$23)</f>
        <v>0</v>
      </c>
      <c r="AO81" s="299">
        <f t="shared" si="86"/>
        <v>0</v>
      </c>
      <c r="AP81" s="300">
        <f>IF(AN$7=0,0,MROUND(AN81/AN$7*AP$8/'[1]Core Assumptions'!$D$28,'[1]Core Assumptions'!$E$23))</f>
        <v>0</v>
      </c>
      <c r="AQ81" s="301">
        <f t="shared" si="54"/>
        <v>0</v>
      </c>
      <c r="AR81" s="302">
        <f t="shared" si="55"/>
        <v>0</v>
      </c>
      <c r="AS81" s="249"/>
      <c r="AT81" s="303">
        <f t="shared" si="56"/>
        <v>0</v>
      </c>
      <c r="AU81" s="267"/>
      <c r="AV81" s="295">
        <f>IF(OR(AND($E81=TRUE,'[1]Pricing Summary'!$B$33="Ultimate"),AND($F81=TRUE,'[1]Pricing Summary'!$B$33="Enhanced"),AND($G81=TRUE,'[1]Pricing Summary'!$B$33="Essential")),1,0)</f>
        <v>0</v>
      </c>
      <c r="AW81" s="304">
        <f t="shared" si="57"/>
        <v>0</v>
      </c>
      <c r="AX81" s="305">
        <f t="shared" si="58"/>
        <v>0</v>
      </c>
      <c r="AY81" s="267"/>
      <c r="AZ81" s="304">
        <f t="shared" si="87"/>
        <v>0</v>
      </c>
      <c r="BA81" s="222">
        <f t="shared" si="88"/>
        <v>0</v>
      </c>
      <c r="BB81" s="306">
        <f t="shared" si="89"/>
        <v>0</v>
      </c>
      <c r="BC81" s="272"/>
      <c r="BD81" s="307">
        <f t="shared" si="62"/>
        <v>0</v>
      </c>
      <c r="BE81" s="308">
        <f t="shared" si="90"/>
        <v>0</v>
      </c>
      <c r="BF81" s="308">
        <f t="shared" si="64"/>
        <v>0</v>
      </c>
      <c r="BG81" s="309">
        <f t="shared" si="65"/>
        <v>0</v>
      </c>
      <c r="BH81" s="249"/>
      <c r="BI81" s="310">
        <f t="shared" si="66"/>
        <v>0</v>
      </c>
      <c r="BJ81" s="311">
        <f t="shared" si="91"/>
        <v>0</v>
      </c>
      <c r="BK81" s="311">
        <f t="shared" si="68"/>
        <v>0</v>
      </c>
      <c r="BL81" s="312">
        <f t="shared" si="69"/>
        <v>0</v>
      </c>
      <c r="BM81" s="249"/>
      <c r="BN81" s="313">
        <f t="shared" si="70"/>
        <v>0</v>
      </c>
      <c r="BO81" s="314">
        <f t="shared" si="92"/>
        <v>0</v>
      </c>
      <c r="BP81" s="314">
        <f t="shared" si="72"/>
        <v>0</v>
      </c>
      <c r="BQ81" s="315">
        <f t="shared" si="73"/>
        <v>0</v>
      </c>
      <c r="BR81" s="249"/>
      <c r="BS81" s="307">
        <f t="shared" si="74"/>
        <v>0</v>
      </c>
      <c r="BT81" s="308">
        <f t="shared" si="75"/>
        <v>0</v>
      </c>
      <c r="BU81" s="308">
        <f t="shared" si="76"/>
        <v>0</v>
      </c>
      <c r="BV81" s="309">
        <f t="shared" si="77"/>
        <v>0</v>
      </c>
      <c r="BW81" s="249"/>
      <c r="BX81" s="310">
        <f t="shared" si="78"/>
        <v>0</v>
      </c>
      <c r="BY81" s="311">
        <f t="shared" si="93"/>
        <v>0</v>
      </c>
      <c r="BZ81" s="311">
        <f t="shared" si="80"/>
        <v>0</v>
      </c>
      <c r="CA81" s="312">
        <f t="shared" si="81"/>
        <v>0</v>
      </c>
      <c r="CB81" s="249"/>
      <c r="CC81" s="313">
        <f t="shared" si="82"/>
        <v>0</v>
      </c>
      <c r="CD81" s="314">
        <f t="shared" si="94"/>
        <v>0</v>
      </c>
      <c r="CE81" s="314">
        <f t="shared" si="84"/>
        <v>0</v>
      </c>
      <c r="CF81" s="315">
        <f t="shared" si="85"/>
        <v>0</v>
      </c>
      <c r="CG81" s="249"/>
      <c r="CH81" s="316"/>
    </row>
    <row r="82" spans="1:86" ht="15.75" hidden="1" customHeight="1" outlineLevel="1" x14ac:dyDescent="0.2">
      <c r="A82" s="242" t="str">
        <f>IF(OR(E82&lt;&gt;FALSE,F82&lt;&gt;FALSE,G82&lt;&gt;FALSE),MAX(A$16:A81)+1,"")</f>
        <v/>
      </c>
      <c r="B82" s="284"/>
      <c r="C82" s="284" t="s">
        <v>42</v>
      </c>
      <c r="D82" s="245" t="s">
        <v>11</v>
      </c>
      <c r="E82" s="285" t="b">
        <v>0</v>
      </c>
      <c r="F82" s="286" t="b">
        <v>0</v>
      </c>
      <c r="G82" s="287" t="b">
        <v>0</v>
      </c>
      <c r="H82" s="249"/>
      <c r="I82" s="288">
        <v>1</v>
      </c>
      <c r="J82" s="249"/>
      <c r="K82" s="289"/>
      <c r="L82" s="290"/>
      <c r="M82" s="290"/>
      <c r="N82" s="290"/>
      <c r="O82" s="290"/>
      <c r="P82" s="290"/>
      <c r="Q82" s="290"/>
      <c r="R82" s="290"/>
      <c r="S82" s="290"/>
      <c r="T82" s="290"/>
      <c r="U82" s="289"/>
      <c r="V82" s="290"/>
      <c r="W82" s="290"/>
      <c r="X82" s="290"/>
      <c r="Y82" s="290"/>
      <c r="Z82" s="290"/>
      <c r="AA82" s="291"/>
      <c r="AB82" s="292"/>
      <c r="AC82" s="293"/>
      <c r="AD82" s="293"/>
      <c r="AE82" s="294"/>
      <c r="AF82" s="249"/>
      <c r="AG82" s="295">
        <f>IF(OR(AND($E82=TRUE,'[1]Pricing Summary'!$B$33=$E$2),AND($F82=TRUE,'[1]Pricing Summary'!$B$33=$F$2),AND($G82=TRUE,'[1]Pricing Summary'!$B$33=$G$2)),1,0)</f>
        <v>0</v>
      </c>
      <c r="AH82" s="295">
        <f t="shared" si="49"/>
        <v>0</v>
      </c>
      <c r="AI82" s="296">
        <f t="shared" si="50"/>
        <v>0</v>
      </c>
      <c r="AJ82" s="297">
        <f t="shared" si="51"/>
        <v>0</v>
      </c>
      <c r="AK82" s="249"/>
      <c r="AL82" s="298">
        <f t="shared" si="52"/>
        <v>0</v>
      </c>
      <c r="AM82" s="221">
        <f t="shared" si="53"/>
        <v>0</v>
      </c>
      <c r="AN82" s="221">
        <f>MROUND((1+'[1]Core Assumptions'!$D$22)*AM82,'[1]Core Assumptions'!$E$23)</f>
        <v>0</v>
      </c>
      <c r="AO82" s="299">
        <f t="shared" si="86"/>
        <v>0</v>
      </c>
      <c r="AP82" s="300">
        <f>IF(AN$7=0,0,MROUND(AN82/AN$7*AP$8/'[1]Core Assumptions'!$D$28,'[1]Core Assumptions'!$E$23))</f>
        <v>0</v>
      </c>
      <c r="AQ82" s="301">
        <f t="shared" si="54"/>
        <v>0</v>
      </c>
      <c r="AR82" s="302">
        <f t="shared" si="55"/>
        <v>0</v>
      </c>
      <c r="AS82" s="249"/>
      <c r="AT82" s="303">
        <f t="shared" si="56"/>
        <v>0</v>
      </c>
      <c r="AU82" s="267"/>
      <c r="AV82" s="295">
        <f>IF(OR(AND($E82=TRUE,'[1]Pricing Summary'!$B$33="Ultimate"),AND($F82=TRUE,'[1]Pricing Summary'!$B$33="Enhanced"),AND($G82=TRUE,'[1]Pricing Summary'!$B$33="Essential")),1,0)</f>
        <v>0</v>
      </c>
      <c r="AW82" s="304">
        <f t="shared" si="57"/>
        <v>0</v>
      </c>
      <c r="AX82" s="305">
        <f t="shared" si="58"/>
        <v>0</v>
      </c>
      <c r="AY82" s="267"/>
      <c r="AZ82" s="304">
        <f t="shared" si="87"/>
        <v>0</v>
      </c>
      <c r="BA82" s="222">
        <f t="shared" si="88"/>
        <v>0</v>
      </c>
      <c r="BB82" s="306">
        <f t="shared" si="89"/>
        <v>0</v>
      </c>
      <c r="BC82" s="272"/>
      <c r="BD82" s="307">
        <f t="shared" si="62"/>
        <v>0</v>
      </c>
      <c r="BE82" s="308">
        <f t="shared" si="90"/>
        <v>0</v>
      </c>
      <c r="BF82" s="308">
        <f t="shared" si="64"/>
        <v>0</v>
      </c>
      <c r="BG82" s="309">
        <f t="shared" si="65"/>
        <v>0</v>
      </c>
      <c r="BH82" s="249"/>
      <c r="BI82" s="310">
        <f t="shared" si="66"/>
        <v>0</v>
      </c>
      <c r="BJ82" s="311">
        <f t="shared" si="91"/>
        <v>0</v>
      </c>
      <c r="BK82" s="311">
        <f t="shared" si="68"/>
        <v>0</v>
      </c>
      <c r="BL82" s="312">
        <f t="shared" si="69"/>
        <v>0</v>
      </c>
      <c r="BM82" s="249"/>
      <c r="BN82" s="313">
        <f t="shared" si="70"/>
        <v>0</v>
      </c>
      <c r="BO82" s="314">
        <f t="shared" si="92"/>
        <v>0</v>
      </c>
      <c r="BP82" s="314">
        <f t="shared" si="72"/>
        <v>0</v>
      </c>
      <c r="BQ82" s="315">
        <f t="shared" si="73"/>
        <v>0</v>
      </c>
      <c r="BR82" s="249"/>
      <c r="BS82" s="307">
        <f t="shared" si="74"/>
        <v>0</v>
      </c>
      <c r="BT82" s="308">
        <f t="shared" si="75"/>
        <v>0</v>
      </c>
      <c r="BU82" s="308">
        <f t="shared" si="76"/>
        <v>0</v>
      </c>
      <c r="BV82" s="309">
        <f t="shared" si="77"/>
        <v>0</v>
      </c>
      <c r="BW82" s="249"/>
      <c r="BX82" s="310">
        <f t="shared" si="78"/>
        <v>0</v>
      </c>
      <c r="BY82" s="311">
        <f t="shared" si="93"/>
        <v>0</v>
      </c>
      <c r="BZ82" s="311">
        <f t="shared" si="80"/>
        <v>0</v>
      </c>
      <c r="CA82" s="312">
        <f t="shared" si="81"/>
        <v>0</v>
      </c>
      <c r="CB82" s="249"/>
      <c r="CC82" s="313">
        <f t="shared" si="82"/>
        <v>0</v>
      </c>
      <c r="CD82" s="314">
        <f t="shared" si="94"/>
        <v>0</v>
      </c>
      <c r="CE82" s="314">
        <f t="shared" si="84"/>
        <v>0</v>
      </c>
      <c r="CF82" s="315">
        <f t="shared" si="85"/>
        <v>0</v>
      </c>
      <c r="CG82" s="249"/>
      <c r="CH82" s="316"/>
    </row>
    <row r="83" spans="1:86" ht="15.75" hidden="1" customHeight="1" outlineLevel="1" x14ac:dyDescent="0.2">
      <c r="A83" s="242" t="str">
        <f>IF(OR(E83&lt;&gt;FALSE,F83&lt;&gt;FALSE,G83&lt;&gt;FALSE),MAX(A$16:A82)+1,"")</f>
        <v/>
      </c>
      <c r="B83" s="284"/>
      <c r="C83" s="284" t="s">
        <v>42</v>
      </c>
      <c r="D83" s="245" t="s">
        <v>11</v>
      </c>
      <c r="E83" s="285" t="b">
        <v>0</v>
      </c>
      <c r="F83" s="286" t="b">
        <v>0</v>
      </c>
      <c r="G83" s="287" t="b">
        <v>0</v>
      </c>
      <c r="H83" s="249"/>
      <c r="I83" s="288">
        <v>1</v>
      </c>
      <c r="J83" s="249"/>
      <c r="K83" s="289"/>
      <c r="L83" s="290"/>
      <c r="M83" s="290"/>
      <c r="N83" s="290"/>
      <c r="O83" s="290"/>
      <c r="P83" s="290"/>
      <c r="Q83" s="290"/>
      <c r="R83" s="290"/>
      <c r="S83" s="290"/>
      <c r="T83" s="290"/>
      <c r="U83" s="289"/>
      <c r="V83" s="290"/>
      <c r="W83" s="290"/>
      <c r="X83" s="290"/>
      <c r="Y83" s="290"/>
      <c r="Z83" s="290"/>
      <c r="AA83" s="291"/>
      <c r="AB83" s="292"/>
      <c r="AC83" s="293"/>
      <c r="AD83" s="293"/>
      <c r="AE83" s="294"/>
      <c r="AF83" s="249"/>
      <c r="AG83" s="295">
        <f>IF(OR(AND($E83=TRUE,'[1]Pricing Summary'!$B$33=$E$2),AND($F83=TRUE,'[1]Pricing Summary'!$B$33=$F$2),AND($G83=TRUE,'[1]Pricing Summary'!$B$33=$G$2)),1,0)</f>
        <v>0</v>
      </c>
      <c r="AH83" s="295">
        <f t="shared" si="49"/>
        <v>0</v>
      </c>
      <c r="AI83" s="296">
        <f t="shared" si="50"/>
        <v>0</v>
      </c>
      <c r="AJ83" s="297">
        <f t="shared" si="51"/>
        <v>0</v>
      </c>
      <c r="AK83" s="249"/>
      <c r="AL83" s="298">
        <f t="shared" si="52"/>
        <v>0</v>
      </c>
      <c r="AM83" s="221">
        <f t="shared" si="53"/>
        <v>0</v>
      </c>
      <c r="AN83" s="221">
        <f>MROUND((1+'[1]Core Assumptions'!$D$22)*AM83,'[1]Core Assumptions'!$E$23)</f>
        <v>0</v>
      </c>
      <c r="AO83" s="299">
        <f t="shared" si="86"/>
        <v>0</v>
      </c>
      <c r="AP83" s="300">
        <f>IF(AN$7=0,0,MROUND(AN83/AN$7*AP$8/'[1]Core Assumptions'!$D$28,'[1]Core Assumptions'!$E$23))</f>
        <v>0</v>
      </c>
      <c r="AQ83" s="301">
        <f t="shared" si="54"/>
        <v>0</v>
      </c>
      <c r="AR83" s="302">
        <f t="shared" si="55"/>
        <v>0</v>
      </c>
      <c r="AS83" s="249"/>
      <c r="AT83" s="303">
        <f t="shared" si="56"/>
        <v>0</v>
      </c>
      <c r="AU83" s="267"/>
      <c r="AV83" s="295">
        <f>IF(OR(AND($E83=TRUE,'[1]Pricing Summary'!$B$33="Ultimate"),AND($F83=TRUE,'[1]Pricing Summary'!$B$33="Enhanced"),AND($G83=TRUE,'[1]Pricing Summary'!$B$33="Essential")),1,0)</f>
        <v>0</v>
      </c>
      <c r="AW83" s="304">
        <f t="shared" si="57"/>
        <v>0</v>
      </c>
      <c r="AX83" s="305">
        <f t="shared" si="58"/>
        <v>0</v>
      </c>
      <c r="AY83" s="267"/>
      <c r="AZ83" s="304">
        <f t="shared" si="87"/>
        <v>0</v>
      </c>
      <c r="BA83" s="222">
        <f t="shared" si="88"/>
        <v>0</v>
      </c>
      <c r="BB83" s="306">
        <f t="shared" si="89"/>
        <v>0</v>
      </c>
      <c r="BC83" s="272"/>
      <c r="BD83" s="307">
        <f t="shared" si="62"/>
        <v>0</v>
      </c>
      <c r="BE83" s="308">
        <f t="shared" si="90"/>
        <v>0</v>
      </c>
      <c r="BF83" s="308">
        <f t="shared" si="64"/>
        <v>0</v>
      </c>
      <c r="BG83" s="309">
        <f t="shared" si="65"/>
        <v>0</v>
      </c>
      <c r="BH83" s="249"/>
      <c r="BI83" s="310">
        <f t="shared" si="66"/>
        <v>0</v>
      </c>
      <c r="BJ83" s="311">
        <f t="shared" si="91"/>
        <v>0</v>
      </c>
      <c r="BK83" s="311">
        <f t="shared" si="68"/>
        <v>0</v>
      </c>
      <c r="BL83" s="312">
        <f t="shared" si="69"/>
        <v>0</v>
      </c>
      <c r="BM83" s="249"/>
      <c r="BN83" s="313">
        <f t="shared" si="70"/>
        <v>0</v>
      </c>
      <c r="BO83" s="314">
        <f t="shared" si="92"/>
        <v>0</v>
      </c>
      <c r="BP83" s="314">
        <f t="shared" si="72"/>
        <v>0</v>
      </c>
      <c r="BQ83" s="315">
        <f t="shared" si="73"/>
        <v>0</v>
      </c>
      <c r="BR83" s="249"/>
      <c r="BS83" s="307">
        <f t="shared" si="74"/>
        <v>0</v>
      </c>
      <c r="BT83" s="308">
        <f t="shared" si="75"/>
        <v>0</v>
      </c>
      <c r="BU83" s="308">
        <f t="shared" si="76"/>
        <v>0</v>
      </c>
      <c r="BV83" s="309">
        <f t="shared" si="77"/>
        <v>0</v>
      </c>
      <c r="BW83" s="249"/>
      <c r="BX83" s="310">
        <f t="shared" si="78"/>
        <v>0</v>
      </c>
      <c r="BY83" s="311">
        <f t="shared" si="93"/>
        <v>0</v>
      </c>
      <c r="BZ83" s="311">
        <f t="shared" si="80"/>
        <v>0</v>
      </c>
      <c r="CA83" s="312">
        <f t="shared" si="81"/>
        <v>0</v>
      </c>
      <c r="CB83" s="249"/>
      <c r="CC83" s="313">
        <f t="shared" si="82"/>
        <v>0</v>
      </c>
      <c r="CD83" s="314">
        <f t="shared" si="94"/>
        <v>0</v>
      </c>
      <c r="CE83" s="314">
        <f t="shared" si="84"/>
        <v>0</v>
      </c>
      <c r="CF83" s="315">
        <f t="shared" si="85"/>
        <v>0</v>
      </c>
      <c r="CG83" s="249"/>
      <c r="CH83" s="316"/>
    </row>
    <row r="84" spans="1:86" ht="15.75" hidden="1" customHeight="1" outlineLevel="1" x14ac:dyDescent="0.2">
      <c r="A84" s="242" t="str">
        <f>IF(OR(E84&lt;&gt;FALSE,F84&lt;&gt;FALSE,G84&lt;&gt;FALSE),MAX(A$16:A83)+1,"")</f>
        <v/>
      </c>
      <c r="B84" s="284"/>
      <c r="C84" s="284" t="s">
        <v>42</v>
      </c>
      <c r="D84" s="245" t="s">
        <v>11</v>
      </c>
      <c r="E84" s="285" t="b">
        <v>0</v>
      </c>
      <c r="F84" s="286" t="b">
        <v>0</v>
      </c>
      <c r="G84" s="287" t="b">
        <v>0</v>
      </c>
      <c r="H84" s="249"/>
      <c r="I84" s="288">
        <v>1</v>
      </c>
      <c r="J84" s="249"/>
      <c r="K84" s="289"/>
      <c r="L84" s="290"/>
      <c r="M84" s="290"/>
      <c r="N84" s="290"/>
      <c r="O84" s="290"/>
      <c r="P84" s="290"/>
      <c r="Q84" s="290"/>
      <c r="R84" s="290"/>
      <c r="S84" s="290"/>
      <c r="T84" s="290"/>
      <c r="U84" s="289"/>
      <c r="V84" s="290"/>
      <c r="W84" s="290"/>
      <c r="X84" s="290"/>
      <c r="Y84" s="290"/>
      <c r="Z84" s="290"/>
      <c r="AA84" s="291"/>
      <c r="AB84" s="292"/>
      <c r="AC84" s="293"/>
      <c r="AD84" s="293"/>
      <c r="AE84" s="294"/>
      <c r="AF84" s="249"/>
      <c r="AG84" s="295">
        <f>IF(OR(AND($E84=TRUE,'[1]Pricing Summary'!$B$33=$E$2),AND($F84=TRUE,'[1]Pricing Summary'!$B$33=$F$2),AND($G84=TRUE,'[1]Pricing Summary'!$B$33=$G$2)),1,0)</f>
        <v>0</v>
      </c>
      <c r="AH84" s="295">
        <f t="shared" si="49"/>
        <v>0</v>
      </c>
      <c r="AI84" s="296">
        <f t="shared" si="50"/>
        <v>0</v>
      </c>
      <c r="AJ84" s="297">
        <f t="shared" si="51"/>
        <v>0</v>
      </c>
      <c r="AK84" s="249"/>
      <c r="AL84" s="298">
        <f t="shared" si="52"/>
        <v>0</v>
      </c>
      <c r="AM84" s="221">
        <f t="shared" si="53"/>
        <v>0</v>
      </c>
      <c r="AN84" s="221">
        <f>MROUND((1+'[1]Core Assumptions'!$D$22)*AM84,'[1]Core Assumptions'!$E$23)</f>
        <v>0</v>
      </c>
      <c r="AO84" s="299">
        <f t="shared" si="86"/>
        <v>0</v>
      </c>
      <c r="AP84" s="300">
        <f>IF(AN$7=0,0,MROUND(AN84/AN$7*AP$8/'[1]Core Assumptions'!$D$28,'[1]Core Assumptions'!$E$23))</f>
        <v>0</v>
      </c>
      <c r="AQ84" s="301">
        <f t="shared" si="54"/>
        <v>0</v>
      </c>
      <c r="AR84" s="302">
        <f t="shared" si="55"/>
        <v>0</v>
      </c>
      <c r="AS84" s="249"/>
      <c r="AT84" s="303">
        <f t="shared" si="56"/>
        <v>0</v>
      </c>
      <c r="AU84" s="267"/>
      <c r="AV84" s="295">
        <f>IF(OR(AND($E84=TRUE,'[1]Pricing Summary'!$B$33="Ultimate"),AND($F84=TRUE,'[1]Pricing Summary'!$B$33="Enhanced"),AND($G84=TRUE,'[1]Pricing Summary'!$B$33="Essential")),1,0)</f>
        <v>0</v>
      </c>
      <c r="AW84" s="304">
        <f t="shared" si="57"/>
        <v>0</v>
      </c>
      <c r="AX84" s="305">
        <f t="shared" si="58"/>
        <v>0</v>
      </c>
      <c r="AY84" s="267"/>
      <c r="AZ84" s="304">
        <f t="shared" si="87"/>
        <v>0</v>
      </c>
      <c r="BA84" s="222">
        <f t="shared" si="88"/>
        <v>0</v>
      </c>
      <c r="BB84" s="306">
        <f t="shared" si="89"/>
        <v>0</v>
      </c>
      <c r="BC84" s="272"/>
      <c r="BD84" s="307">
        <f t="shared" si="62"/>
        <v>0</v>
      </c>
      <c r="BE84" s="308">
        <f t="shared" si="90"/>
        <v>0</v>
      </c>
      <c r="BF84" s="308">
        <f t="shared" si="64"/>
        <v>0</v>
      </c>
      <c r="BG84" s="309">
        <f t="shared" si="65"/>
        <v>0</v>
      </c>
      <c r="BH84" s="249"/>
      <c r="BI84" s="310">
        <f t="shared" si="66"/>
        <v>0</v>
      </c>
      <c r="BJ84" s="311">
        <f t="shared" si="91"/>
        <v>0</v>
      </c>
      <c r="BK84" s="311">
        <f t="shared" si="68"/>
        <v>0</v>
      </c>
      <c r="BL84" s="312">
        <f t="shared" si="69"/>
        <v>0</v>
      </c>
      <c r="BM84" s="249"/>
      <c r="BN84" s="313">
        <f t="shared" si="70"/>
        <v>0</v>
      </c>
      <c r="BO84" s="314">
        <f t="shared" si="92"/>
        <v>0</v>
      </c>
      <c r="BP84" s="314">
        <f t="shared" si="72"/>
        <v>0</v>
      </c>
      <c r="BQ84" s="315">
        <f t="shared" si="73"/>
        <v>0</v>
      </c>
      <c r="BR84" s="249"/>
      <c r="BS84" s="307">
        <f t="shared" si="74"/>
        <v>0</v>
      </c>
      <c r="BT84" s="308">
        <f t="shared" si="75"/>
        <v>0</v>
      </c>
      <c r="BU84" s="308">
        <f t="shared" si="76"/>
        <v>0</v>
      </c>
      <c r="BV84" s="309">
        <f t="shared" si="77"/>
        <v>0</v>
      </c>
      <c r="BW84" s="249"/>
      <c r="BX84" s="310">
        <f t="shared" si="78"/>
        <v>0</v>
      </c>
      <c r="BY84" s="311">
        <f t="shared" si="93"/>
        <v>0</v>
      </c>
      <c r="BZ84" s="311">
        <f t="shared" si="80"/>
        <v>0</v>
      </c>
      <c r="CA84" s="312">
        <f t="shared" si="81"/>
        <v>0</v>
      </c>
      <c r="CB84" s="249"/>
      <c r="CC84" s="313">
        <f t="shared" si="82"/>
        <v>0</v>
      </c>
      <c r="CD84" s="314">
        <f t="shared" si="94"/>
        <v>0</v>
      </c>
      <c r="CE84" s="314">
        <f t="shared" si="84"/>
        <v>0</v>
      </c>
      <c r="CF84" s="315">
        <f t="shared" si="85"/>
        <v>0</v>
      </c>
      <c r="CG84" s="249"/>
      <c r="CH84" s="316"/>
    </row>
    <row r="85" spans="1:86" ht="15.75" hidden="1" customHeight="1" outlineLevel="1" x14ac:dyDescent="0.2">
      <c r="A85" s="242" t="str">
        <f>IF(OR(E85&lt;&gt;FALSE,F85&lt;&gt;FALSE,G85&lt;&gt;FALSE),MAX(A$16:A84)+1,"")</f>
        <v/>
      </c>
      <c r="B85" s="284"/>
      <c r="C85" s="284" t="s">
        <v>42</v>
      </c>
      <c r="D85" s="245" t="s">
        <v>11</v>
      </c>
      <c r="E85" s="285" t="b">
        <v>0</v>
      </c>
      <c r="F85" s="286" t="b">
        <v>0</v>
      </c>
      <c r="G85" s="287" t="b">
        <v>0</v>
      </c>
      <c r="H85" s="249"/>
      <c r="I85" s="288">
        <v>1</v>
      </c>
      <c r="J85" s="249"/>
      <c r="K85" s="289"/>
      <c r="L85" s="290"/>
      <c r="M85" s="290"/>
      <c r="N85" s="290"/>
      <c r="O85" s="290"/>
      <c r="P85" s="290"/>
      <c r="Q85" s="290"/>
      <c r="R85" s="290"/>
      <c r="S85" s="290"/>
      <c r="T85" s="290"/>
      <c r="U85" s="289"/>
      <c r="V85" s="290"/>
      <c r="W85" s="290"/>
      <c r="X85" s="290"/>
      <c r="Y85" s="290"/>
      <c r="Z85" s="290"/>
      <c r="AA85" s="291"/>
      <c r="AB85" s="292"/>
      <c r="AC85" s="293"/>
      <c r="AD85" s="293"/>
      <c r="AE85" s="294"/>
      <c r="AF85" s="249"/>
      <c r="AG85" s="295">
        <f>IF(OR(AND($E85=TRUE,'[1]Pricing Summary'!$B$33=$E$2),AND($F85=TRUE,'[1]Pricing Summary'!$B$33=$F$2),AND($G85=TRUE,'[1]Pricing Summary'!$B$33=$G$2)),1,0)</f>
        <v>0</v>
      </c>
      <c r="AH85" s="295">
        <f t="shared" si="49"/>
        <v>0</v>
      </c>
      <c r="AI85" s="296">
        <f t="shared" si="50"/>
        <v>0</v>
      </c>
      <c r="AJ85" s="297">
        <f t="shared" si="51"/>
        <v>0</v>
      </c>
      <c r="AK85" s="249"/>
      <c r="AL85" s="298">
        <f t="shared" si="52"/>
        <v>0</v>
      </c>
      <c r="AM85" s="221">
        <f t="shared" si="53"/>
        <v>0</v>
      </c>
      <c r="AN85" s="221">
        <f>MROUND((1+'[1]Core Assumptions'!$D$22)*AM85,'[1]Core Assumptions'!$E$23)</f>
        <v>0</v>
      </c>
      <c r="AO85" s="299">
        <f t="shared" si="86"/>
        <v>0</v>
      </c>
      <c r="AP85" s="300">
        <f>IF(AN$7=0,0,MROUND(AN85/AN$7*AP$8/'[1]Core Assumptions'!$D$28,'[1]Core Assumptions'!$E$23))</f>
        <v>0</v>
      </c>
      <c r="AQ85" s="301">
        <f t="shared" si="54"/>
        <v>0</v>
      </c>
      <c r="AR85" s="302">
        <f t="shared" si="55"/>
        <v>0</v>
      </c>
      <c r="AS85" s="249"/>
      <c r="AT85" s="303">
        <f t="shared" si="56"/>
        <v>0</v>
      </c>
      <c r="AU85" s="267"/>
      <c r="AV85" s="295">
        <f>IF(OR(AND($E85=TRUE,'[1]Pricing Summary'!$B$33="Ultimate"),AND($F85=TRUE,'[1]Pricing Summary'!$B$33="Enhanced"),AND($G85=TRUE,'[1]Pricing Summary'!$B$33="Essential")),1,0)</f>
        <v>0</v>
      </c>
      <c r="AW85" s="304">
        <f t="shared" si="57"/>
        <v>0</v>
      </c>
      <c r="AX85" s="305">
        <f t="shared" si="58"/>
        <v>0</v>
      </c>
      <c r="AY85" s="267"/>
      <c r="AZ85" s="304">
        <f t="shared" si="87"/>
        <v>0</v>
      </c>
      <c r="BA85" s="222">
        <f t="shared" si="88"/>
        <v>0</v>
      </c>
      <c r="BB85" s="306">
        <f t="shared" si="89"/>
        <v>0</v>
      </c>
      <c r="BC85" s="272"/>
      <c r="BD85" s="307">
        <f t="shared" si="62"/>
        <v>0</v>
      </c>
      <c r="BE85" s="308">
        <f t="shared" si="90"/>
        <v>0</v>
      </c>
      <c r="BF85" s="308">
        <f t="shared" si="64"/>
        <v>0</v>
      </c>
      <c r="BG85" s="309">
        <f t="shared" si="65"/>
        <v>0</v>
      </c>
      <c r="BH85" s="249"/>
      <c r="BI85" s="310">
        <f t="shared" si="66"/>
        <v>0</v>
      </c>
      <c r="BJ85" s="311">
        <f t="shared" si="91"/>
        <v>0</v>
      </c>
      <c r="BK85" s="311">
        <f t="shared" si="68"/>
        <v>0</v>
      </c>
      <c r="BL85" s="312">
        <f t="shared" si="69"/>
        <v>0</v>
      </c>
      <c r="BM85" s="249"/>
      <c r="BN85" s="313">
        <f t="shared" si="70"/>
        <v>0</v>
      </c>
      <c r="BO85" s="314">
        <f t="shared" si="92"/>
        <v>0</v>
      </c>
      <c r="BP85" s="314">
        <f t="shared" si="72"/>
        <v>0</v>
      </c>
      <c r="BQ85" s="315">
        <f t="shared" si="73"/>
        <v>0</v>
      </c>
      <c r="BR85" s="249"/>
      <c r="BS85" s="307">
        <f t="shared" si="74"/>
        <v>0</v>
      </c>
      <c r="BT85" s="308">
        <f t="shared" si="75"/>
        <v>0</v>
      </c>
      <c r="BU85" s="308">
        <f t="shared" si="76"/>
        <v>0</v>
      </c>
      <c r="BV85" s="309">
        <f t="shared" si="77"/>
        <v>0</v>
      </c>
      <c r="BW85" s="249"/>
      <c r="BX85" s="310">
        <f t="shared" si="78"/>
        <v>0</v>
      </c>
      <c r="BY85" s="311">
        <f t="shared" si="93"/>
        <v>0</v>
      </c>
      <c r="BZ85" s="311">
        <f t="shared" si="80"/>
        <v>0</v>
      </c>
      <c r="CA85" s="312">
        <f t="shared" si="81"/>
        <v>0</v>
      </c>
      <c r="CB85" s="249"/>
      <c r="CC85" s="313">
        <f t="shared" si="82"/>
        <v>0</v>
      </c>
      <c r="CD85" s="314">
        <f t="shared" si="94"/>
        <v>0</v>
      </c>
      <c r="CE85" s="314">
        <f t="shared" si="84"/>
        <v>0</v>
      </c>
      <c r="CF85" s="315">
        <f t="shared" si="85"/>
        <v>0</v>
      </c>
      <c r="CG85" s="249"/>
      <c r="CH85" s="316"/>
    </row>
    <row r="86" spans="1:86" ht="15.75" hidden="1" customHeight="1" outlineLevel="1" x14ac:dyDescent="0.2">
      <c r="A86" s="242" t="str">
        <f>IF(OR(E86&lt;&gt;FALSE,F86&lt;&gt;FALSE,G86&lt;&gt;FALSE),MAX(A$16:A85)+1,"")</f>
        <v/>
      </c>
      <c r="B86" s="284"/>
      <c r="C86" s="284" t="s">
        <v>42</v>
      </c>
      <c r="D86" s="245" t="s">
        <v>11</v>
      </c>
      <c r="E86" s="285" t="b">
        <v>0</v>
      </c>
      <c r="F86" s="286" t="b">
        <v>0</v>
      </c>
      <c r="G86" s="287" t="b">
        <v>0</v>
      </c>
      <c r="H86" s="249"/>
      <c r="I86" s="288">
        <v>1</v>
      </c>
      <c r="J86" s="249"/>
      <c r="K86" s="289"/>
      <c r="L86" s="290"/>
      <c r="M86" s="290"/>
      <c r="N86" s="290"/>
      <c r="O86" s="290"/>
      <c r="P86" s="290"/>
      <c r="Q86" s="290"/>
      <c r="R86" s="290"/>
      <c r="S86" s="290"/>
      <c r="T86" s="290"/>
      <c r="U86" s="289"/>
      <c r="V86" s="290"/>
      <c r="W86" s="290"/>
      <c r="X86" s="290"/>
      <c r="Y86" s="290"/>
      <c r="Z86" s="290"/>
      <c r="AA86" s="291"/>
      <c r="AB86" s="292"/>
      <c r="AC86" s="293"/>
      <c r="AD86" s="293"/>
      <c r="AE86" s="294"/>
      <c r="AF86" s="249"/>
      <c r="AG86" s="295">
        <f>IF(OR(AND($E86=TRUE,'[1]Pricing Summary'!$B$33=$E$2),AND($F86=TRUE,'[1]Pricing Summary'!$B$33=$F$2),AND($G86=TRUE,'[1]Pricing Summary'!$B$33=$G$2)),1,0)</f>
        <v>0</v>
      </c>
      <c r="AH86" s="295">
        <f t="shared" si="49"/>
        <v>0</v>
      </c>
      <c r="AI86" s="296">
        <f t="shared" si="50"/>
        <v>0</v>
      </c>
      <c r="AJ86" s="297">
        <f t="shared" si="51"/>
        <v>0</v>
      </c>
      <c r="AK86" s="249"/>
      <c r="AL86" s="298">
        <f t="shared" si="52"/>
        <v>0</v>
      </c>
      <c r="AM86" s="221">
        <f t="shared" si="53"/>
        <v>0</v>
      </c>
      <c r="AN86" s="221">
        <f>MROUND((1+'[1]Core Assumptions'!$D$22)*AM86,'[1]Core Assumptions'!$E$23)</f>
        <v>0</v>
      </c>
      <c r="AO86" s="299">
        <f t="shared" si="86"/>
        <v>0</v>
      </c>
      <c r="AP86" s="300">
        <f>IF(AN$7=0,0,MROUND(AN86/AN$7*AP$8/'[1]Core Assumptions'!$D$28,'[1]Core Assumptions'!$E$23))</f>
        <v>0</v>
      </c>
      <c r="AQ86" s="301">
        <f t="shared" si="54"/>
        <v>0</v>
      </c>
      <c r="AR86" s="302">
        <f t="shared" si="55"/>
        <v>0</v>
      </c>
      <c r="AS86" s="249"/>
      <c r="AT86" s="303">
        <f t="shared" si="56"/>
        <v>0</v>
      </c>
      <c r="AU86" s="267"/>
      <c r="AV86" s="295">
        <f>IF(OR(AND($E86=TRUE,'[1]Pricing Summary'!$B$33="Ultimate"),AND($F86=TRUE,'[1]Pricing Summary'!$B$33="Enhanced"),AND($G86=TRUE,'[1]Pricing Summary'!$B$33="Essential")),1,0)</f>
        <v>0</v>
      </c>
      <c r="AW86" s="304">
        <f t="shared" si="57"/>
        <v>0</v>
      </c>
      <c r="AX86" s="305">
        <f t="shared" si="58"/>
        <v>0</v>
      </c>
      <c r="AY86" s="267"/>
      <c r="AZ86" s="304">
        <f t="shared" si="87"/>
        <v>0</v>
      </c>
      <c r="BA86" s="222">
        <f t="shared" si="88"/>
        <v>0</v>
      </c>
      <c r="BB86" s="306">
        <f t="shared" si="89"/>
        <v>0</v>
      </c>
      <c r="BC86" s="272"/>
      <c r="BD86" s="307">
        <f t="shared" si="62"/>
        <v>0</v>
      </c>
      <c r="BE86" s="308">
        <f t="shared" si="90"/>
        <v>0</v>
      </c>
      <c r="BF86" s="308">
        <f t="shared" si="64"/>
        <v>0</v>
      </c>
      <c r="BG86" s="309">
        <f t="shared" si="65"/>
        <v>0</v>
      </c>
      <c r="BH86" s="249"/>
      <c r="BI86" s="310">
        <f t="shared" si="66"/>
        <v>0</v>
      </c>
      <c r="BJ86" s="311">
        <f t="shared" si="91"/>
        <v>0</v>
      </c>
      <c r="BK86" s="311">
        <f t="shared" si="68"/>
        <v>0</v>
      </c>
      <c r="BL86" s="312">
        <f t="shared" si="69"/>
        <v>0</v>
      </c>
      <c r="BM86" s="249"/>
      <c r="BN86" s="313">
        <f t="shared" si="70"/>
        <v>0</v>
      </c>
      <c r="BO86" s="314">
        <f t="shared" si="92"/>
        <v>0</v>
      </c>
      <c r="BP86" s="314">
        <f t="shared" si="72"/>
        <v>0</v>
      </c>
      <c r="BQ86" s="315">
        <f t="shared" si="73"/>
        <v>0</v>
      </c>
      <c r="BR86" s="249"/>
      <c r="BS86" s="307">
        <f t="shared" si="74"/>
        <v>0</v>
      </c>
      <c r="BT86" s="308">
        <f t="shared" si="75"/>
        <v>0</v>
      </c>
      <c r="BU86" s="308">
        <f t="shared" si="76"/>
        <v>0</v>
      </c>
      <c r="BV86" s="309">
        <f t="shared" si="77"/>
        <v>0</v>
      </c>
      <c r="BW86" s="249"/>
      <c r="BX86" s="310">
        <f t="shared" si="78"/>
        <v>0</v>
      </c>
      <c r="BY86" s="311">
        <f t="shared" si="93"/>
        <v>0</v>
      </c>
      <c r="BZ86" s="311">
        <f t="shared" si="80"/>
        <v>0</v>
      </c>
      <c r="CA86" s="312">
        <f t="shared" si="81"/>
        <v>0</v>
      </c>
      <c r="CB86" s="249"/>
      <c r="CC86" s="313">
        <f t="shared" si="82"/>
        <v>0</v>
      </c>
      <c r="CD86" s="314">
        <f t="shared" si="94"/>
        <v>0</v>
      </c>
      <c r="CE86" s="314">
        <f t="shared" si="84"/>
        <v>0</v>
      </c>
      <c r="CF86" s="315">
        <f t="shared" si="85"/>
        <v>0</v>
      </c>
      <c r="CG86" s="249"/>
      <c r="CH86" s="316"/>
    </row>
    <row r="87" spans="1:86" ht="15.75" hidden="1" customHeight="1" outlineLevel="1" x14ac:dyDescent="0.2">
      <c r="A87" s="242" t="str">
        <f>IF(OR(E87&lt;&gt;FALSE,F87&lt;&gt;FALSE,G87&lt;&gt;FALSE),MAX(A$16:A86)+1,"")</f>
        <v/>
      </c>
      <c r="B87" s="284"/>
      <c r="C87" s="284" t="s">
        <v>42</v>
      </c>
      <c r="D87" s="245" t="s">
        <v>11</v>
      </c>
      <c r="E87" s="285" t="b">
        <v>0</v>
      </c>
      <c r="F87" s="286" t="b">
        <v>0</v>
      </c>
      <c r="G87" s="287" t="b">
        <v>0</v>
      </c>
      <c r="H87" s="249"/>
      <c r="I87" s="288">
        <v>1</v>
      </c>
      <c r="J87" s="249"/>
      <c r="K87" s="289"/>
      <c r="L87" s="290"/>
      <c r="M87" s="290"/>
      <c r="N87" s="290"/>
      <c r="O87" s="290"/>
      <c r="P87" s="290"/>
      <c r="Q87" s="290"/>
      <c r="R87" s="290"/>
      <c r="S87" s="290"/>
      <c r="T87" s="290"/>
      <c r="U87" s="289"/>
      <c r="V87" s="290"/>
      <c r="W87" s="290"/>
      <c r="X87" s="290"/>
      <c r="Y87" s="290"/>
      <c r="Z87" s="290"/>
      <c r="AA87" s="291"/>
      <c r="AB87" s="292"/>
      <c r="AC87" s="293"/>
      <c r="AD87" s="293"/>
      <c r="AE87" s="294"/>
      <c r="AF87" s="249"/>
      <c r="AG87" s="295">
        <f>IF(OR(AND($E87=TRUE,'[1]Pricing Summary'!$B$33=$E$2),AND($F87=TRUE,'[1]Pricing Summary'!$B$33=$F$2),AND($G87=TRUE,'[1]Pricing Summary'!$B$33=$G$2)),1,0)</f>
        <v>0</v>
      </c>
      <c r="AH87" s="295">
        <f t="shared" si="49"/>
        <v>0</v>
      </c>
      <c r="AI87" s="296">
        <f t="shared" si="50"/>
        <v>0</v>
      </c>
      <c r="AJ87" s="297">
        <f t="shared" si="51"/>
        <v>0</v>
      </c>
      <c r="AK87" s="249"/>
      <c r="AL87" s="298">
        <f t="shared" si="52"/>
        <v>0</v>
      </c>
      <c r="AM87" s="221">
        <f t="shared" si="53"/>
        <v>0</v>
      </c>
      <c r="AN87" s="221">
        <f>MROUND((1+'[1]Core Assumptions'!$D$22)*AM87,'[1]Core Assumptions'!$E$23)</f>
        <v>0</v>
      </c>
      <c r="AO87" s="299">
        <f t="shared" si="86"/>
        <v>0</v>
      </c>
      <c r="AP87" s="300">
        <f>IF(AN$7=0,0,MROUND(AN87/AN$7*AP$8/'[1]Core Assumptions'!$D$28,'[1]Core Assumptions'!$E$23))</f>
        <v>0</v>
      </c>
      <c r="AQ87" s="301">
        <f t="shared" si="54"/>
        <v>0</v>
      </c>
      <c r="AR87" s="302">
        <f t="shared" si="55"/>
        <v>0</v>
      </c>
      <c r="AS87" s="249"/>
      <c r="AT87" s="303">
        <f t="shared" si="56"/>
        <v>0</v>
      </c>
      <c r="AU87" s="267"/>
      <c r="AV87" s="295">
        <f>IF(OR(AND($E87=TRUE,'[1]Pricing Summary'!$B$33="Ultimate"),AND($F87=TRUE,'[1]Pricing Summary'!$B$33="Enhanced"),AND($G87=TRUE,'[1]Pricing Summary'!$B$33="Essential")),1,0)</f>
        <v>0</v>
      </c>
      <c r="AW87" s="304">
        <f t="shared" si="57"/>
        <v>0</v>
      </c>
      <c r="AX87" s="305">
        <f t="shared" si="58"/>
        <v>0</v>
      </c>
      <c r="AY87" s="267"/>
      <c r="AZ87" s="304">
        <f t="shared" si="87"/>
        <v>0</v>
      </c>
      <c r="BA87" s="222">
        <f t="shared" si="88"/>
        <v>0</v>
      </c>
      <c r="BB87" s="306">
        <f t="shared" si="89"/>
        <v>0</v>
      </c>
      <c r="BC87" s="272"/>
      <c r="BD87" s="307">
        <f t="shared" si="62"/>
        <v>0</v>
      </c>
      <c r="BE87" s="308">
        <f t="shared" si="90"/>
        <v>0</v>
      </c>
      <c r="BF87" s="308">
        <f t="shared" si="64"/>
        <v>0</v>
      </c>
      <c r="BG87" s="309">
        <f t="shared" si="65"/>
        <v>0</v>
      </c>
      <c r="BH87" s="249"/>
      <c r="BI87" s="310">
        <f t="shared" si="66"/>
        <v>0</v>
      </c>
      <c r="BJ87" s="311">
        <f t="shared" si="91"/>
        <v>0</v>
      </c>
      <c r="BK87" s="311">
        <f t="shared" si="68"/>
        <v>0</v>
      </c>
      <c r="BL87" s="312">
        <f t="shared" si="69"/>
        <v>0</v>
      </c>
      <c r="BM87" s="249"/>
      <c r="BN87" s="313">
        <f t="shared" si="70"/>
        <v>0</v>
      </c>
      <c r="BO87" s="314">
        <f t="shared" si="92"/>
        <v>0</v>
      </c>
      <c r="BP87" s="314">
        <f t="shared" si="72"/>
        <v>0</v>
      </c>
      <c r="BQ87" s="315">
        <f t="shared" si="73"/>
        <v>0</v>
      </c>
      <c r="BR87" s="249"/>
      <c r="BS87" s="307">
        <f t="shared" si="74"/>
        <v>0</v>
      </c>
      <c r="BT87" s="308">
        <f t="shared" si="75"/>
        <v>0</v>
      </c>
      <c r="BU87" s="308">
        <f t="shared" si="76"/>
        <v>0</v>
      </c>
      <c r="BV87" s="309">
        <f t="shared" si="77"/>
        <v>0</v>
      </c>
      <c r="BW87" s="249"/>
      <c r="BX87" s="310">
        <f t="shared" si="78"/>
        <v>0</v>
      </c>
      <c r="BY87" s="311">
        <f t="shared" si="93"/>
        <v>0</v>
      </c>
      <c r="BZ87" s="311">
        <f t="shared" si="80"/>
        <v>0</v>
      </c>
      <c r="CA87" s="312">
        <f t="shared" si="81"/>
        <v>0</v>
      </c>
      <c r="CB87" s="249"/>
      <c r="CC87" s="313">
        <f t="shared" si="82"/>
        <v>0</v>
      </c>
      <c r="CD87" s="314">
        <f t="shared" si="94"/>
        <v>0</v>
      </c>
      <c r="CE87" s="314">
        <f t="shared" si="84"/>
        <v>0</v>
      </c>
      <c r="CF87" s="315">
        <f t="shared" si="85"/>
        <v>0</v>
      </c>
      <c r="CG87" s="249"/>
      <c r="CH87" s="316"/>
    </row>
    <row r="88" spans="1:86" ht="15.75" hidden="1" customHeight="1" outlineLevel="1" x14ac:dyDescent="0.2">
      <c r="A88" s="242" t="str">
        <f>IF(OR(E88&lt;&gt;FALSE,F88&lt;&gt;FALSE,G88&lt;&gt;FALSE),MAX(A$16:A87)+1,"")</f>
        <v/>
      </c>
      <c r="B88" s="284"/>
      <c r="C88" s="284" t="s">
        <v>42</v>
      </c>
      <c r="D88" s="245" t="s">
        <v>11</v>
      </c>
      <c r="E88" s="285" t="b">
        <v>0</v>
      </c>
      <c r="F88" s="286" t="b">
        <v>0</v>
      </c>
      <c r="G88" s="287" t="b">
        <v>0</v>
      </c>
      <c r="H88" s="249"/>
      <c r="I88" s="288">
        <v>1</v>
      </c>
      <c r="J88" s="249"/>
      <c r="K88" s="289"/>
      <c r="L88" s="290"/>
      <c r="M88" s="290"/>
      <c r="N88" s="290"/>
      <c r="O88" s="290"/>
      <c r="P88" s="290"/>
      <c r="Q88" s="290"/>
      <c r="R88" s="290"/>
      <c r="S88" s="290"/>
      <c r="T88" s="290"/>
      <c r="U88" s="289"/>
      <c r="V88" s="290"/>
      <c r="W88" s="290"/>
      <c r="X88" s="290"/>
      <c r="Y88" s="290"/>
      <c r="Z88" s="290"/>
      <c r="AA88" s="291"/>
      <c r="AB88" s="292"/>
      <c r="AC88" s="293"/>
      <c r="AD88" s="293"/>
      <c r="AE88" s="294"/>
      <c r="AF88" s="249"/>
      <c r="AG88" s="295">
        <f>IF(OR(AND($E88=TRUE,'[1]Pricing Summary'!$B$33=$E$2),AND($F88=TRUE,'[1]Pricing Summary'!$B$33=$F$2),AND($G88=TRUE,'[1]Pricing Summary'!$B$33=$G$2)),1,0)</f>
        <v>0</v>
      </c>
      <c r="AH88" s="295">
        <f t="shared" si="49"/>
        <v>0</v>
      </c>
      <c r="AI88" s="296">
        <f t="shared" si="50"/>
        <v>0</v>
      </c>
      <c r="AJ88" s="297">
        <f t="shared" si="51"/>
        <v>0</v>
      </c>
      <c r="AK88" s="249"/>
      <c r="AL88" s="298">
        <f t="shared" si="52"/>
        <v>0</v>
      </c>
      <c r="AM88" s="221">
        <f t="shared" si="53"/>
        <v>0</v>
      </c>
      <c r="AN88" s="221">
        <f>MROUND((1+'[1]Core Assumptions'!$D$22)*AM88,'[1]Core Assumptions'!$E$23)</f>
        <v>0</v>
      </c>
      <c r="AO88" s="299">
        <f t="shared" si="86"/>
        <v>0</v>
      </c>
      <c r="AP88" s="300">
        <f>IF(AN$7=0,0,MROUND(AN88/AN$7*AP$8/'[1]Core Assumptions'!$D$28,'[1]Core Assumptions'!$E$23))</f>
        <v>0</v>
      </c>
      <c r="AQ88" s="301">
        <f t="shared" si="54"/>
        <v>0</v>
      </c>
      <c r="AR88" s="302">
        <f t="shared" si="55"/>
        <v>0</v>
      </c>
      <c r="AS88" s="249"/>
      <c r="AT88" s="303">
        <f t="shared" si="56"/>
        <v>0</v>
      </c>
      <c r="AU88" s="267"/>
      <c r="AV88" s="295">
        <f>IF(OR(AND($E88=TRUE,'[1]Pricing Summary'!$B$33="Ultimate"),AND($F88=TRUE,'[1]Pricing Summary'!$B$33="Enhanced"),AND($G88=TRUE,'[1]Pricing Summary'!$B$33="Essential")),1,0)</f>
        <v>0</v>
      </c>
      <c r="AW88" s="304">
        <f t="shared" si="57"/>
        <v>0</v>
      </c>
      <c r="AX88" s="305">
        <f t="shared" si="58"/>
        <v>0</v>
      </c>
      <c r="AY88" s="267"/>
      <c r="AZ88" s="304">
        <f t="shared" si="87"/>
        <v>0</v>
      </c>
      <c r="BA88" s="222">
        <f t="shared" si="88"/>
        <v>0</v>
      </c>
      <c r="BB88" s="306">
        <f t="shared" si="89"/>
        <v>0</v>
      </c>
      <c r="BC88" s="272"/>
      <c r="BD88" s="307">
        <f t="shared" si="62"/>
        <v>0</v>
      </c>
      <c r="BE88" s="308">
        <f t="shared" si="90"/>
        <v>0</v>
      </c>
      <c r="BF88" s="308">
        <f t="shared" si="64"/>
        <v>0</v>
      </c>
      <c r="BG88" s="309">
        <f t="shared" si="65"/>
        <v>0</v>
      </c>
      <c r="BH88" s="249"/>
      <c r="BI88" s="310">
        <f t="shared" si="66"/>
        <v>0</v>
      </c>
      <c r="BJ88" s="311">
        <f t="shared" si="91"/>
        <v>0</v>
      </c>
      <c r="BK88" s="311">
        <f t="shared" si="68"/>
        <v>0</v>
      </c>
      <c r="BL88" s="312">
        <f t="shared" si="69"/>
        <v>0</v>
      </c>
      <c r="BM88" s="249"/>
      <c r="BN88" s="313">
        <f t="shared" si="70"/>
        <v>0</v>
      </c>
      <c r="BO88" s="314">
        <f t="shared" si="92"/>
        <v>0</v>
      </c>
      <c r="BP88" s="314">
        <f t="shared" si="72"/>
        <v>0</v>
      </c>
      <c r="BQ88" s="315">
        <f t="shared" si="73"/>
        <v>0</v>
      </c>
      <c r="BR88" s="249"/>
      <c r="BS88" s="307">
        <f t="shared" si="74"/>
        <v>0</v>
      </c>
      <c r="BT88" s="308">
        <f t="shared" si="75"/>
        <v>0</v>
      </c>
      <c r="BU88" s="308">
        <f t="shared" si="76"/>
        <v>0</v>
      </c>
      <c r="BV88" s="309">
        <f t="shared" si="77"/>
        <v>0</v>
      </c>
      <c r="BW88" s="249"/>
      <c r="BX88" s="310">
        <f t="shared" si="78"/>
        <v>0</v>
      </c>
      <c r="BY88" s="311">
        <f t="shared" si="93"/>
        <v>0</v>
      </c>
      <c r="BZ88" s="311">
        <f t="shared" si="80"/>
        <v>0</v>
      </c>
      <c r="CA88" s="312">
        <f t="shared" si="81"/>
        <v>0</v>
      </c>
      <c r="CB88" s="249"/>
      <c r="CC88" s="313">
        <f t="shared" si="82"/>
        <v>0</v>
      </c>
      <c r="CD88" s="314">
        <f t="shared" si="94"/>
        <v>0</v>
      </c>
      <c r="CE88" s="314">
        <f t="shared" si="84"/>
        <v>0</v>
      </c>
      <c r="CF88" s="315">
        <f t="shared" si="85"/>
        <v>0</v>
      </c>
      <c r="CG88" s="249"/>
      <c r="CH88" s="316"/>
    </row>
    <row r="89" spans="1:86" ht="15.75" hidden="1" customHeight="1" outlineLevel="1" x14ac:dyDescent="0.2">
      <c r="A89" s="242" t="str">
        <f>IF(OR(E89&lt;&gt;FALSE,F89&lt;&gt;FALSE,G89&lt;&gt;FALSE),MAX(A$16:A88)+1,"")</f>
        <v/>
      </c>
      <c r="B89" s="284"/>
      <c r="C89" s="284" t="s">
        <v>42</v>
      </c>
      <c r="D89" s="245" t="s">
        <v>11</v>
      </c>
      <c r="E89" s="285" t="b">
        <v>0</v>
      </c>
      <c r="F89" s="286" t="b">
        <v>0</v>
      </c>
      <c r="G89" s="287" t="b">
        <v>0</v>
      </c>
      <c r="H89" s="249"/>
      <c r="I89" s="288">
        <v>1</v>
      </c>
      <c r="J89" s="249"/>
      <c r="K89" s="289"/>
      <c r="L89" s="290"/>
      <c r="M89" s="290"/>
      <c r="N89" s="290"/>
      <c r="O89" s="290"/>
      <c r="P89" s="290"/>
      <c r="Q89" s="290"/>
      <c r="R89" s="290"/>
      <c r="S89" s="290"/>
      <c r="T89" s="290"/>
      <c r="U89" s="289"/>
      <c r="V89" s="290"/>
      <c r="W89" s="290"/>
      <c r="X89" s="290"/>
      <c r="Y89" s="290"/>
      <c r="Z89" s="290"/>
      <c r="AA89" s="291"/>
      <c r="AB89" s="292"/>
      <c r="AC89" s="293"/>
      <c r="AD89" s="293"/>
      <c r="AE89" s="294"/>
      <c r="AF89" s="249"/>
      <c r="AG89" s="295">
        <f>IF(OR(AND($E89=TRUE,'[1]Pricing Summary'!$B$33=$E$2),AND($F89=TRUE,'[1]Pricing Summary'!$B$33=$F$2),AND($G89=TRUE,'[1]Pricing Summary'!$B$33=$G$2)),1,0)</f>
        <v>0</v>
      </c>
      <c r="AH89" s="295">
        <f t="shared" si="49"/>
        <v>0</v>
      </c>
      <c r="AI89" s="296">
        <f t="shared" si="50"/>
        <v>0</v>
      </c>
      <c r="AJ89" s="297">
        <f t="shared" si="51"/>
        <v>0</v>
      </c>
      <c r="AK89" s="249"/>
      <c r="AL89" s="298">
        <f t="shared" si="52"/>
        <v>0</v>
      </c>
      <c r="AM89" s="221">
        <f t="shared" si="53"/>
        <v>0</v>
      </c>
      <c r="AN89" s="221">
        <f>MROUND((1+'[1]Core Assumptions'!$D$22)*AM89,'[1]Core Assumptions'!$E$23)</f>
        <v>0</v>
      </c>
      <c r="AO89" s="299">
        <f t="shared" si="86"/>
        <v>0</v>
      </c>
      <c r="AP89" s="300">
        <f>IF(AN$7=0,0,MROUND(AN89/AN$7*AP$8/'[1]Core Assumptions'!$D$28,'[1]Core Assumptions'!$E$23))</f>
        <v>0</v>
      </c>
      <c r="AQ89" s="301">
        <f t="shared" si="54"/>
        <v>0</v>
      </c>
      <c r="AR89" s="302">
        <f t="shared" si="55"/>
        <v>0</v>
      </c>
      <c r="AS89" s="249"/>
      <c r="AT89" s="303">
        <f t="shared" si="56"/>
        <v>0</v>
      </c>
      <c r="AU89" s="267"/>
      <c r="AV89" s="295">
        <f>IF(OR(AND($E89=TRUE,'[1]Pricing Summary'!$B$33="Ultimate"),AND($F89=TRUE,'[1]Pricing Summary'!$B$33="Enhanced"),AND($G89=TRUE,'[1]Pricing Summary'!$B$33="Essential")),1,0)</f>
        <v>0</v>
      </c>
      <c r="AW89" s="304">
        <f t="shared" si="57"/>
        <v>0</v>
      </c>
      <c r="AX89" s="305">
        <f t="shared" si="58"/>
        <v>0</v>
      </c>
      <c r="AY89" s="267"/>
      <c r="AZ89" s="304">
        <f t="shared" si="87"/>
        <v>0</v>
      </c>
      <c r="BA89" s="222">
        <f t="shared" si="88"/>
        <v>0</v>
      </c>
      <c r="BB89" s="306">
        <f t="shared" si="89"/>
        <v>0</v>
      </c>
      <c r="BC89" s="272"/>
      <c r="BD89" s="307">
        <f t="shared" si="62"/>
        <v>0</v>
      </c>
      <c r="BE89" s="308">
        <f t="shared" si="90"/>
        <v>0</v>
      </c>
      <c r="BF89" s="308">
        <f t="shared" si="64"/>
        <v>0</v>
      </c>
      <c r="BG89" s="309">
        <f t="shared" si="65"/>
        <v>0</v>
      </c>
      <c r="BH89" s="249"/>
      <c r="BI89" s="310">
        <f t="shared" si="66"/>
        <v>0</v>
      </c>
      <c r="BJ89" s="311">
        <f t="shared" si="91"/>
        <v>0</v>
      </c>
      <c r="BK89" s="311">
        <f t="shared" si="68"/>
        <v>0</v>
      </c>
      <c r="BL89" s="312">
        <f t="shared" si="69"/>
        <v>0</v>
      </c>
      <c r="BM89" s="249"/>
      <c r="BN89" s="313">
        <f t="shared" si="70"/>
        <v>0</v>
      </c>
      <c r="BO89" s="314">
        <f t="shared" si="92"/>
        <v>0</v>
      </c>
      <c r="BP89" s="314">
        <f t="shared" si="72"/>
        <v>0</v>
      </c>
      <c r="BQ89" s="315">
        <f t="shared" si="73"/>
        <v>0</v>
      </c>
      <c r="BR89" s="249"/>
      <c r="BS89" s="307">
        <f t="shared" si="74"/>
        <v>0</v>
      </c>
      <c r="BT89" s="308">
        <f t="shared" si="75"/>
        <v>0</v>
      </c>
      <c r="BU89" s="308">
        <f t="shared" si="76"/>
        <v>0</v>
      </c>
      <c r="BV89" s="309">
        <f t="shared" si="77"/>
        <v>0</v>
      </c>
      <c r="BW89" s="249"/>
      <c r="BX89" s="310">
        <f t="shared" si="78"/>
        <v>0</v>
      </c>
      <c r="BY89" s="311">
        <f t="shared" si="93"/>
        <v>0</v>
      </c>
      <c r="BZ89" s="311">
        <f t="shared" si="80"/>
        <v>0</v>
      </c>
      <c r="CA89" s="312">
        <f t="shared" si="81"/>
        <v>0</v>
      </c>
      <c r="CB89" s="249"/>
      <c r="CC89" s="313">
        <f t="shared" si="82"/>
        <v>0</v>
      </c>
      <c r="CD89" s="314">
        <f t="shared" si="94"/>
        <v>0</v>
      </c>
      <c r="CE89" s="314">
        <f t="shared" si="84"/>
        <v>0</v>
      </c>
      <c r="CF89" s="315">
        <f t="shared" si="85"/>
        <v>0</v>
      </c>
      <c r="CG89" s="249"/>
      <c r="CH89" s="316"/>
    </row>
    <row r="90" spans="1:86" ht="15.75" hidden="1" customHeight="1" outlineLevel="1" x14ac:dyDescent="0.2">
      <c r="A90" s="242" t="str">
        <f>IF(OR(E90&lt;&gt;FALSE,F90&lt;&gt;FALSE,G90&lt;&gt;FALSE),MAX(A$16:A89)+1,"")</f>
        <v/>
      </c>
      <c r="B90" s="284"/>
      <c r="C90" s="284" t="s">
        <v>42</v>
      </c>
      <c r="D90" s="245" t="s">
        <v>11</v>
      </c>
      <c r="E90" s="285" t="b">
        <v>0</v>
      </c>
      <c r="F90" s="286" t="b">
        <v>0</v>
      </c>
      <c r="G90" s="287" t="b">
        <v>0</v>
      </c>
      <c r="H90" s="249"/>
      <c r="I90" s="288">
        <v>1</v>
      </c>
      <c r="J90" s="249"/>
      <c r="K90" s="289"/>
      <c r="L90" s="290"/>
      <c r="M90" s="290"/>
      <c r="N90" s="290"/>
      <c r="O90" s="290"/>
      <c r="P90" s="290"/>
      <c r="Q90" s="290"/>
      <c r="R90" s="290"/>
      <c r="S90" s="290"/>
      <c r="T90" s="290"/>
      <c r="U90" s="289"/>
      <c r="V90" s="290"/>
      <c r="W90" s="290"/>
      <c r="X90" s="290"/>
      <c r="Y90" s="290"/>
      <c r="Z90" s="290"/>
      <c r="AA90" s="291"/>
      <c r="AB90" s="292"/>
      <c r="AC90" s="293"/>
      <c r="AD90" s="293"/>
      <c r="AE90" s="294"/>
      <c r="AF90" s="249"/>
      <c r="AG90" s="295">
        <f>IF(OR(AND($E90=TRUE,'[1]Pricing Summary'!$B$33=$E$2),AND($F90=TRUE,'[1]Pricing Summary'!$B$33=$F$2),AND($G90=TRUE,'[1]Pricing Summary'!$B$33=$G$2)),1,0)</f>
        <v>0</v>
      </c>
      <c r="AH90" s="295">
        <f t="shared" si="49"/>
        <v>0</v>
      </c>
      <c r="AI90" s="296">
        <f t="shared" si="50"/>
        <v>0</v>
      </c>
      <c r="AJ90" s="297">
        <f t="shared" si="51"/>
        <v>0</v>
      </c>
      <c r="AK90" s="249"/>
      <c r="AL90" s="298">
        <f t="shared" si="52"/>
        <v>0</v>
      </c>
      <c r="AM90" s="221">
        <f t="shared" si="53"/>
        <v>0</v>
      </c>
      <c r="AN90" s="221">
        <f>MROUND((1+'[1]Core Assumptions'!$D$22)*AM90,'[1]Core Assumptions'!$E$23)</f>
        <v>0</v>
      </c>
      <c r="AO90" s="299">
        <f t="shared" si="86"/>
        <v>0</v>
      </c>
      <c r="AP90" s="300">
        <f>IF(AN$7=0,0,MROUND(AN90/AN$7*AP$8/'[1]Core Assumptions'!$D$28,'[1]Core Assumptions'!$E$23))</f>
        <v>0</v>
      </c>
      <c r="AQ90" s="301">
        <f t="shared" si="54"/>
        <v>0</v>
      </c>
      <c r="AR90" s="302">
        <f t="shared" si="55"/>
        <v>0</v>
      </c>
      <c r="AS90" s="249"/>
      <c r="AT90" s="303">
        <f t="shared" si="56"/>
        <v>0</v>
      </c>
      <c r="AU90" s="267"/>
      <c r="AV90" s="295">
        <f>IF(OR(AND($E90=TRUE,'[1]Pricing Summary'!$B$33="Ultimate"),AND($F90=TRUE,'[1]Pricing Summary'!$B$33="Enhanced"),AND($G90=TRUE,'[1]Pricing Summary'!$B$33="Essential")),1,0)</f>
        <v>0</v>
      </c>
      <c r="AW90" s="304">
        <f t="shared" si="57"/>
        <v>0</v>
      </c>
      <c r="AX90" s="305">
        <f t="shared" si="58"/>
        <v>0</v>
      </c>
      <c r="AY90" s="267"/>
      <c r="AZ90" s="304">
        <f t="shared" si="87"/>
        <v>0</v>
      </c>
      <c r="BA90" s="222">
        <f t="shared" si="88"/>
        <v>0</v>
      </c>
      <c r="BB90" s="306">
        <f t="shared" si="89"/>
        <v>0</v>
      </c>
      <c r="BC90" s="272"/>
      <c r="BD90" s="307">
        <f t="shared" si="62"/>
        <v>0</v>
      </c>
      <c r="BE90" s="308">
        <f t="shared" si="90"/>
        <v>0</v>
      </c>
      <c r="BF90" s="308">
        <f t="shared" si="64"/>
        <v>0</v>
      </c>
      <c r="BG90" s="309">
        <f t="shared" si="65"/>
        <v>0</v>
      </c>
      <c r="BH90" s="249"/>
      <c r="BI90" s="310">
        <f t="shared" si="66"/>
        <v>0</v>
      </c>
      <c r="BJ90" s="311">
        <f t="shared" si="91"/>
        <v>0</v>
      </c>
      <c r="BK90" s="311">
        <f t="shared" si="68"/>
        <v>0</v>
      </c>
      <c r="BL90" s="312">
        <f t="shared" si="69"/>
        <v>0</v>
      </c>
      <c r="BM90" s="249"/>
      <c r="BN90" s="313">
        <f t="shared" si="70"/>
        <v>0</v>
      </c>
      <c r="BO90" s="314">
        <f t="shared" si="92"/>
        <v>0</v>
      </c>
      <c r="BP90" s="314">
        <f t="shared" si="72"/>
        <v>0</v>
      </c>
      <c r="BQ90" s="315">
        <f t="shared" si="73"/>
        <v>0</v>
      </c>
      <c r="BR90" s="249"/>
      <c r="BS90" s="307">
        <f t="shared" si="74"/>
        <v>0</v>
      </c>
      <c r="BT90" s="308">
        <f t="shared" si="75"/>
        <v>0</v>
      </c>
      <c r="BU90" s="308">
        <f t="shared" si="76"/>
        <v>0</v>
      </c>
      <c r="BV90" s="309">
        <f t="shared" si="77"/>
        <v>0</v>
      </c>
      <c r="BW90" s="249"/>
      <c r="BX90" s="310">
        <f t="shared" si="78"/>
        <v>0</v>
      </c>
      <c r="BY90" s="311">
        <f t="shared" si="93"/>
        <v>0</v>
      </c>
      <c r="BZ90" s="311">
        <f t="shared" si="80"/>
        <v>0</v>
      </c>
      <c r="CA90" s="312">
        <f t="shared" si="81"/>
        <v>0</v>
      </c>
      <c r="CB90" s="249"/>
      <c r="CC90" s="313">
        <f t="shared" si="82"/>
        <v>0</v>
      </c>
      <c r="CD90" s="314">
        <f t="shared" si="94"/>
        <v>0</v>
      </c>
      <c r="CE90" s="314">
        <f t="shared" si="84"/>
        <v>0</v>
      </c>
      <c r="CF90" s="315">
        <f t="shared" si="85"/>
        <v>0</v>
      </c>
      <c r="CG90" s="249"/>
      <c r="CH90" s="316"/>
    </row>
    <row r="91" spans="1:86" ht="15.75" hidden="1" customHeight="1" outlineLevel="1" x14ac:dyDescent="0.2">
      <c r="A91" s="242" t="str">
        <f>IF(OR(E91&lt;&gt;FALSE,F91&lt;&gt;FALSE,G91&lt;&gt;FALSE),MAX(A$16:A90)+1,"")</f>
        <v/>
      </c>
      <c r="B91" s="284"/>
      <c r="C91" s="284" t="s">
        <v>42</v>
      </c>
      <c r="D91" s="245" t="s">
        <v>11</v>
      </c>
      <c r="E91" s="285" t="b">
        <v>0</v>
      </c>
      <c r="F91" s="286" t="b">
        <v>0</v>
      </c>
      <c r="G91" s="287" t="b">
        <v>0</v>
      </c>
      <c r="H91" s="249"/>
      <c r="I91" s="288">
        <v>1</v>
      </c>
      <c r="J91" s="249"/>
      <c r="K91" s="289"/>
      <c r="L91" s="290"/>
      <c r="M91" s="290"/>
      <c r="N91" s="290"/>
      <c r="O91" s="290"/>
      <c r="P91" s="290"/>
      <c r="Q91" s="290"/>
      <c r="R91" s="290"/>
      <c r="S91" s="290"/>
      <c r="T91" s="290"/>
      <c r="U91" s="289"/>
      <c r="V91" s="290"/>
      <c r="W91" s="290"/>
      <c r="X91" s="290"/>
      <c r="Y91" s="290"/>
      <c r="Z91" s="290"/>
      <c r="AA91" s="291"/>
      <c r="AB91" s="292"/>
      <c r="AC91" s="293"/>
      <c r="AD91" s="293"/>
      <c r="AE91" s="294"/>
      <c r="AF91" s="249"/>
      <c r="AG91" s="295">
        <f>IF(OR(AND($E91=TRUE,'[1]Pricing Summary'!$B$33=$E$2),AND($F91=TRUE,'[1]Pricing Summary'!$B$33=$F$2),AND($G91=TRUE,'[1]Pricing Summary'!$B$33=$G$2)),1,0)</f>
        <v>0</v>
      </c>
      <c r="AH91" s="295">
        <f t="shared" si="49"/>
        <v>0</v>
      </c>
      <c r="AI91" s="296">
        <f t="shared" si="50"/>
        <v>0</v>
      </c>
      <c r="AJ91" s="297">
        <f t="shared" si="51"/>
        <v>0</v>
      </c>
      <c r="AK91" s="249"/>
      <c r="AL91" s="298">
        <f t="shared" si="52"/>
        <v>0</v>
      </c>
      <c r="AM91" s="221">
        <f t="shared" si="53"/>
        <v>0</v>
      </c>
      <c r="AN91" s="221">
        <f>MROUND((1+'[1]Core Assumptions'!$D$22)*AM91,'[1]Core Assumptions'!$E$23)</f>
        <v>0</v>
      </c>
      <c r="AO91" s="299">
        <f t="shared" si="86"/>
        <v>0</v>
      </c>
      <c r="AP91" s="300">
        <f>IF(AN$7=0,0,MROUND(AN91/AN$7*AP$8/'[1]Core Assumptions'!$D$28,'[1]Core Assumptions'!$E$23))</f>
        <v>0</v>
      </c>
      <c r="AQ91" s="301">
        <f t="shared" si="54"/>
        <v>0</v>
      </c>
      <c r="AR91" s="302">
        <f t="shared" si="55"/>
        <v>0</v>
      </c>
      <c r="AS91" s="249"/>
      <c r="AT91" s="303">
        <f t="shared" si="56"/>
        <v>0</v>
      </c>
      <c r="AU91" s="267"/>
      <c r="AV91" s="295">
        <f>IF(OR(AND($E91=TRUE,'[1]Pricing Summary'!$B$33="Ultimate"),AND($F91=TRUE,'[1]Pricing Summary'!$B$33="Enhanced"),AND($G91=TRUE,'[1]Pricing Summary'!$B$33="Essential")),1,0)</f>
        <v>0</v>
      </c>
      <c r="AW91" s="304">
        <f t="shared" si="57"/>
        <v>0</v>
      </c>
      <c r="AX91" s="305">
        <f t="shared" si="58"/>
        <v>0</v>
      </c>
      <c r="AY91" s="267"/>
      <c r="AZ91" s="304">
        <f t="shared" si="87"/>
        <v>0</v>
      </c>
      <c r="BA91" s="222">
        <f t="shared" si="88"/>
        <v>0</v>
      </c>
      <c r="BB91" s="306">
        <f t="shared" si="89"/>
        <v>0</v>
      </c>
      <c r="BC91" s="272"/>
      <c r="BD91" s="307">
        <f t="shared" si="62"/>
        <v>0</v>
      </c>
      <c r="BE91" s="308">
        <f t="shared" si="90"/>
        <v>0</v>
      </c>
      <c r="BF91" s="308">
        <f t="shared" si="64"/>
        <v>0</v>
      </c>
      <c r="BG91" s="309">
        <f t="shared" si="65"/>
        <v>0</v>
      </c>
      <c r="BH91" s="249"/>
      <c r="BI91" s="310">
        <f t="shared" si="66"/>
        <v>0</v>
      </c>
      <c r="BJ91" s="311">
        <f t="shared" si="91"/>
        <v>0</v>
      </c>
      <c r="BK91" s="311">
        <f t="shared" si="68"/>
        <v>0</v>
      </c>
      <c r="BL91" s="312">
        <f t="shared" si="69"/>
        <v>0</v>
      </c>
      <c r="BM91" s="249"/>
      <c r="BN91" s="313">
        <f t="shared" si="70"/>
        <v>0</v>
      </c>
      <c r="BO91" s="314">
        <f t="shared" si="92"/>
        <v>0</v>
      </c>
      <c r="BP91" s="314">
        <f t="shared" si="72"/>
        <v>0</v>
      </c>
      <c r="BQ91" s="315">
        <f t="shared" si="73"/>
        <v>0</v>
      </c>
      <c r="BR91" s="249"/>
      <c r="BS91" s="307">
        <f t="shared" si="74"/>
        <v>0</v>
      </c>
      <c r="BT91" s="308">
        <f t="shared" si="75"/>
        <v>0</v>
      </c>
      <c r="BU91" s="308">
        <f t="shared" si="76"/>
        <v>0</v>
      </c>
      <c r="BV91" s="309">
        <f t="shared" si="77"/>
        <v>0</v>
      </c>
      <c r="BW91" s="249"/>
      <c r="BX91" s="310">
        <f t="shared" si="78"/>
        <v>0</v>
      </c>
      <c r="BY91" s="311">
        <f t="shared" si="93"/>
        <v>0</v>
      </c>
      <c r="BZ91" s="311">
        <f t="shared" si="80"/>
        <v>0</v>
      </c>
      <c r="CA91" s="312">
        <f t="shared" si="81"/>
        <v>0</v>
      </c>
      <c r="CB91" s="249"/>
      <c r="CC91" s="313">
        <f t="shared" si="82"/>
        <v>0</v>
      </c>
      <c r="CD91" s="314">
        <f t="shared" si="94"/>
        <v>0</v>
      </c>
      <c r="CE91" s="314">
        <f t="shared" si="84"/>
        <v>0</v>
      </c>
      <c r="CF91" s="315">
        <f t="shared" si="85"/>
        <v>0</v>
      </c>
      <c r="CG91" s="249"/>
      <c r="CH91" s="316"/>
    </row>
    <row r="92" spans="1:86" ht="15.75" hidden="1" customHeight="1" outlineLevel="1" x14ac:dyDescent="0.2">
      <c r="A92" s="242" t="str">
        <f>IF(OR(E92&lt;&gt;FALSE,F92&lt;&gt;FALSE,G92&lt;&gt;FALSE),MAX(A$16:A91)+1,"")</f>
        <v/>
      </c>
      <c r="B92" s="284"/>
      <c r="C92" s="284" t="s">
        <v>42</v>
      </c>
      <c r="D92" s="245" t="s">
        <v>11</v>
      </c>
      <c r="E92" s="285" t="b">
        <v>0</v>
      </c>
      <c r="F92" s="286" t="b">
        <v>0</v>
      </c>
      <c r="G92" s="287" t="b">
        <v>0</v>
      </c>
      <c r="H92" s="249"/>
      <c r="I92" s="288">
        <v>1</v>
      </c>
      <c r="J92" s="249"/>
      <c r="K92" s="289"/>
      <c r="L92" s="290"/>
      <c r="M92" s="290"/>
      <c r="N92" s="290"/>
      <c r="O92" s="290"/>
      <c r="P92" s="290"/>
      <c r="Q92" s="290"/>
      <c r="R92" s="290"/>
      <c r="S92" s="290"/>
      <c r="T92" s="290"/>
      <c r="U92" s="289"/>
      <c r="V92" s="290"/>
      <c r="W92" s="290"/>
      <c r="X92" s="290"/>
      <c r="Y92" s="290"/>
      <c r="Z92" s="290"/>
      <c r="AA92" s="291"/>
      <c r="AB92" s="292"/>
      <c r="AC92" s="293"/>
      <c r="AD92" s="293"/>
      <c r="AE92" s="294"/>
      <c r="AF92" s="249"/>
      <c r="AG92" s="295">
        <f>IF(OR(AND($E92=TRUE,'[1]Pricing Summary'!$B$33=$E$2),AND($F92=TRUE,'[1]Pricing Summary'!$B$33=$F$2),AND($G92=TRUE,'[1]Pricing Summary'!$B$33=$G$2)),1,0)</f>
        <v>0</v>
      </c>
      <c r="AH92" s="295">
        <f t="shared" si="49"/>
        <v>0</v>
      </c>
      <c r="AI92" s="296">
        <f t="shared" si="50"/>
        <v>0</v>
      </c>
      <c r="AJ92" s="297">
        <f t="shared" si="51"/>
        <v>0</v>
      </c>
      <c r="AK92" s="249"/>
      <c r="AL92" s="298">
        <f t="shared" si="52"/>
        <v>0</v>
      </c>
      <c r="AM92" s="221">
        <f t="shared" si="53"/>
        <v>0</v>
      </c>
      <c r="AN92" s="221">
        <f>MROUND((1+'[1]Core Assumptions'!$D$22)*AM92,'[1]Core Assumptions'!$E$23)</f>
        <v>0</v>
      </c>
      <c r="AO92" s="299">
        <f t="shared" si="86"/>
        <v>0</v>
      </c>
      <c r="AP92" s="300">
        <f>IF(AN$7=0,0,MROUND(AN92/AN$7*AP$8/'[1]Core Assumptions'!$D$28,'[1]Core Assumptions'!$E$23))</f>
        <v>0</v>
      </c>
      <c r="AQ92" s="301">
        <f t="shared" si="54"/>
        <v>0</v>
      </c>
      <c r="AR92" s="302">
        <f t="shared" si="55"/>
        <v>0</v>
      </c>
      <c r="AS92" s="249"/>
      <c r="AT92" s="303">
        <f t="shared" si="56"/>
        <v>0</v>
      </c>
      <c r="AU92" s="267"/>
      <c r="AV92" s="295">
        <f>IF(OR(AND($E92=TRUE,'[1]Pricing Summary'!$B$33="Ultimate"),AND($F92=TRUE,'[1]Pricing Summary'!$B$33="Enhanced"),AND($G92=TRUE,'[1]Pricing Summary'!$B$33="Essential")),1,0)</f>
        <v>0</v>
      </c>
      <c r="AW92" s="304">
        <f t="shared" si="57"/>
        <v>0</v>
      </c>
      <c r="AX92" s="305">
        <f t="shared" si="58"/>
        <v>0</v>
      </c>
      <c r="AY92" s="267"/>
      <c r="AZ92" s="304">
        <f t="shared" si="87"/>
        <v>0</v>
      </c>
      <c r="BA92" s="222">
        <f t="shared" si="88"/>
        <v>0</v>
      </c>
      <c r="BB92" s="306">
        <f t="shared" si="89"/>
        <v>0</v>
      </c>
      <c r="BC92" s="272"/>
      <c r="BD92" s="307">
        <f t="shared" si="62"/>
        <v>0</v>
      </c>
      <c r="BE92" s="308">
        <f t="shared" si="90"/>
        <v>0</v>
      </c>
      <c r="BF92" s="308">
        <f t="shared" si="64"/>
        <v>0</v>
      </c>
      <c r="BG92" s="309">
        <f t="shared" si="65"/>
        <v>0</v>
      </c>
      <c r="BH92" s="249"/>
      <c r="BI92" s="310">
        <f t="shared" si="66"/>
        <v>0</v>
      </c>
      <c r="BJ92" s="311">
        <f t="shared" si="91"/>
        <v>0</v>
      </c>
      <c r="BK92" s="311">
        <f t="shared" si="68"/>
        <v>0</v>
      </c>
      <c r="BL92" s="312">
        <f t="shared" si="69"/>
        <v>0</v>
      </c>
      <c r="BM92" s="249"/>
      <c r="BN92" s="313">
        <f t="shared" si="70"/>
        <v>0</v>
      </c>
      <c r="BO92" s="314">
        <f t="shared" si="92"/>
        <v>0</v>
      </c>
      <c r="BP92" s="314">
        <f t="shared" si="72"/>
        <v>0</v>
      </c>
      <c r="BQ92" s="315">
        <f t="shared" si="73"/>
        <v>0</v>
      </c>
      <c r="BR92" s="249"/>
      <c r="BS92" s="307">
        <f t="shared" si="74"/>
        <v>0</v>
      </c>
      <c r="BT92" s="308">
        <f t="shared" si="75"/>
        <v>0</v>
      </c>
      <c r="BU92" s="308">
        <f t="shared" si="76"/>
        <v>0</v>
      </c>
      <c r="BV92" s="309">
        <f t="shared" si="77"/>
        <v>0</v>
      </c>
      <c r="BW92" s="249"/>
      <c r="BX92" s="310">
        <f t="shared" si="78"/>
        <v>0</v>
      </c>
      <c r="BY92" s="311">
        <f t="shared" si="93"/>
        <v>0</v>
      </c>
      <c r="BZ92" s="311">
        <f t="shared" si="80"/>
        <v>0</v>
      </c>
      <c r="CA92" s="312">
        <f t="shared" si="81"/>
        <v>0</v>
      </c>
      <c r="CB92" s="249"/>
      <c r="CC92" s="313">
        <f t="shared" si="82"/>
        <v>0</v>
      </c>
      <c r="CD92" s="314">
        <f t="shared" si="94"/>
        <v>0</v>
      </c>
      <c r="CE92" s="314">
        <f t="shared" si="84"/>
        <v>0</v>
      </c>
      <c r="CF92" s="315">
        <f t="shared" si="85"/>
        <v>0</v>
      </c>
      <c r="CG92" s="249"/>
      <c r="CH92" s="316"/>
    </row>
    <row r="93" spans="1:86" ht="15.75" hidden="1" customHeight="1" outlineLevel="1" x14ac:dyDescent="0.2">
      <c r="A93" s="242" t="str">
        <f>IF(OR(E93&lt;&gt;FALSE,F93&lt;&gt;FALSE,G93&lt;&gt;FALSE),MAX(A$16:A92)+1,"")</f>
        <v/>
      </c>
      <c r="B93" s="323"/>
      <c r="C93" s="323" t="s">
        <v>42</v>
      </c>
      <c r="D93" s="245" t="s">
        <v>11</v>
      </c>
      <c r="E93" s="324" t="b">
        <v>0</v>
      </c>
      <c r="F93" s="325" t="b">
        <v>0</v>
      </c>
      <c r="G93" s="326" t="b">
        <v>0</v>
      </c>
      <c r="H93" s="249"/>
      <c r="I93" s="327">
        <v>1</v>
      </c>
      <c r="J93" s="249"/>
      <c r="K93" s="328"/>
      <c r="L93" s="329"/>
      <c r="M93" s="329"/>
      <c r="N93" s="329"/>
      <c r="O93" s="329"/>
      <c r="P93" s="329"/>
      <c r="Q93" s="329"/>
      <c r="R93" s="329"/>
      <c r="S93" s="329"/>
      <c r="T93" s="329"/>
      <c r="U93" s="328"/>
      <c r="V93" s="329"/>
      <c r="W93" s="329"/>
      <c r="X93" s="329"/>
      <c r="Y93" s="329"/>
      <c r="Z93" s="329"/>
      <c r="AA93" s="330"/>
      <c r="AB93" s="318"/>
      <c r="AC93" s="319"/>
      <c r="AD93" s="319"/>
      <c r="AE93" s="320"/>
      <c r="AF93" s="249"/>
      <c r="AG93" s="331">
        <f>IF(OR(AND($E93=TRUE,'[1]Pricing Summary'!$B$33=$E$2),AND($F93=TRUE,'[1]Pricing Summary'!$B$33=$F$2),AND($G93=TRUE,'[1]Pricing Summary'!$B$33=$G$2)),1,0)</f>
        <v>0</v>
      </c>
      <c r="AH93" s="331">
        <f t="shared" si="49"/>
        <v>0</v>
      </c>
      <c r="AI93" s="332">
        <f t="shared" si="50"/>
        <v>0</v>
      </c>
      <c r="AJ93" s="333">
        <f t="shared" si="51"/>
        <v>0</v>
      </c>
      <c r="AK93" s="249"/>
      <c r="AL93" s="334">
        <f t="shared" si="52"/>
        <v>0</v>
      </c>
      <c r="AM93" s="335">
        <f t="shared" si="53"/>
        <v>0</v>
      </c>
      <c r="AN93" s="335">
        <f>MROUND((1+'[1]Core Assumptions'!$D$22)*AM93,'[1]Core Assumptions'!$E$23)</f>
        <v>0</v>
      </c>
      <c r="AO93" s="336">
        <f t="shared" si="86"/>
        <v>0</v>
      </c>
      <c r="AP93" s="337">
        <f>IF(AN$7=0,0,MROUND(AN93/AN$7*AP$8/'[1]Core Assumptions'!$D$28,'[1]Core Assumptions'!$E$23))</f>
        <v>0</v>
      </c>
      <c r="AQ93" s="338">
        <f t="shared" si="54"/>
        <v>0</v>
      </c>
      <c r="AR93" s="339">
        <f t="shared" si="55"/>
        <v>0</v>
      </c>
      <c r="AS93" s="249"/>
      <c r="AT93" s="340">
        <f t="shared" si="56"/>
        <v>0</v>
      </c>
      <c r="AU93" s="267"/>
      <c r="AV93" s="331">
        <f>IF(OR(AND($E93=TRUE,'[1]Pricing Summary'!$B$33="Ultimate"),AND($F93=TRUE,'[1]Pricing Summary'!$B$33="Enhanced"),AND($G93=TRUE,'[1]Pricing Summary'!$B$33="Essential")),1,0)</f>
        <v>0</v>
      </c>
      <c r="AW93" s="341">
        <f t="shared" si="57"/>
        <v>0</v>
      </c>
      <c r="AX93" s="342">
        <f t="shared" si="58"/>
        <v>0</v>
      </c>
      <c r="AY93" s="267"/>
      <c r="AZ93" s="341">
        <f t="shared" si="87"/>
        <v>0</v>
      </c>
      <c r="BA93" s="343">
        <f t="shared" si="88"/>
        <v>0</v>
      </c>
      <c r="BB93" s="344">
        <f t="shared" si="89"/>
        <v>0</v>
      </c>
      <c r="BC93" s="272"/>
      <c r="BD93" s="345">
        <f t="shared" si="62"/>
        <v>0</v>
      </c>
      <c r="BE93" s="346">
        <f t="shared" si="90"/>
        <v>0</v>
      </c>
      <c r="BF93" s="346">
        <f t="shared" si="64"/>
        <v>0</v>
      </c>
      <c r="BG93" s="347">
        <f t="shared" si="65"/>
        <v>0</v>
      </c>
      <c r="BH93" s="249"/>
      <c r="BI93" s="348">
        <f t="shared" si="66"/>
        <v>0</v>
      </c>
      <c r="BJ93" s="349">
        <f t="shared" si="91"/>
        <v>0</v>
      </c>
      <c r="BK93" s="349">
        <f t="shared" si="68"/>
        <v>0</v>
      </c>
      <c r="BL93" s="350">
        <f t="shared" si="69"/>
        <v>0</v>
      </c>
      <c r="BM93" s="249"/>
      <c r="BN93" s="351">
        <f t="shared" si="70"/>
        <v>0</v>
      </c>
      <c r="BO93" s="352">
        <f t="shared" si="92"/>
        <v>0</v>
      </c>
      <c r="BP93" s="352">
        <f t="shared" si="72"/>
        <v>0</v>
      </c>
      <c r="BQ93" s="353">
        <f t="shared" si="73"/>
        <v>0</v>
      </c>
      <c r="BR93" s="249"/>
      <c r="BS93" s="345">
        <f t="shared" si="74"/>
        <v>0</v>
      </c>
      <c r="BT93" s="346">
        <f t="shared" si="75"/>
        <v>0</v>
      </c>
      <c r="BU93" s="346">
        <f t="shared" si="76"/>
        <v>0</v>
      </c>
      <c r="BV93" s="347">
        <f t="shared" si="77"/>
        <v>0</v>
      </c>
      <c r="BW93" s="249"/>
      <c r="BX93" s="348">
        <f t="shared" si="78"/>
        <v>0</v>
      </c>
      <c r="BY93" s="349">
        <f t="shared" si="93"/>
        <v>0</v>
      </c>
      <c r="BZ93" s="349">
        <f t="shared" si="80"/>
        <v>0</v>
      </c>
      <c r="CA93" s="350">
        <f t="shared" si="81"/>
        <v>0</v>
      </c>
      <c r="CB93" s="249"/>
      <c r="CC93" s="351">
        <f t="shared" si="82"/>
        <v>0</v>
      </c>
      <c r="CD93" s="352">
        <f t="shared" si="94"/>
        <v>0</v>
      </c>
      <c r="CE93" s="352">
        <f t="shared" si="84"/>
        <v>0</v>
      </c>
      <c r="CF93" s="353">
        <f t="shared" si="85"/>
        <v>0</v>
      </c>
      <c r="CG93" s="249"/>
      <c r="CH93" s="354"/>
    </row>
    <row r="94" spans="1:86" ht="15.75" customHeight="1" collapsed="1" x14ac:dyDescent="0.2">
      <c r="A94" s="39" t="s">
        <v>139</v>
      </c>
      <c r="B94" s="40"/>
      <c r="C94" s="40"/>
      <c r="D94" s="355" t="s">
        <v>11</v>
      </c>
      <c r="E94" s="40"/>
      <c r="F94" s="40"/>
      <c r="G94" s="40"/>
      <c r="I94" s="356"/>
      <c r="K94" s="357"/>
      <c r="L94" s="357"/>
      <c r="M94" s="357"/>
      <c r="N94" s="357"/>
      <c r="O94" s="357"/>
      <c r="P94" s="357"/>
      <c r="Q94" s="357"/>
      <c r="R94" s="357"/>
      <c r="S94" s="357"/>
      <c r="T94" s="357"/>
      <c r="U94" s="357"/>
      <c r="V94" s="357"/>
      <c r="W94" s="357"/>
      <c r="X94" s="357"/>
      <c r="Y94" s="357"/>
      <c r="Z94" s="357"/>
      <c r="AA94" s="357"/>
      <c r="AB94" s="357"/>
      <c r="AC94" s="357"/>
      <c r="AD94" s="357"/>
      <c r="AE94" s="357"/>
      <c r="AG94" s="358"/>
      <c r="AH94" s="358"/>
      <c r="AI94" s="357"/>
      <c r="AJ94" s="40"/>
      <c r="AL94" s="359"/>
      <c r="AM94" s="359"/>
      <c r="AN94" s="359"/>
      <c r="AO94" s="359"/>
      <c r="AP94" s="359"/>
      <c r="AQ94" s="360"/>
      <c r="AR94" s="361"/>
      <c r="AT94" s="359"/>
      <c r="AV94" s="358"/>
      <c r="AW94" s="362"/>
      <c r="AX94" s="362"/>
      <c r="AZ94" s="363"/>
      <c r="BA94" s="363"/>
      <c r="BB94" s="363"/>
      <c r="BD94" s="357"/>
      <c r="BE94" s="359"/>
      <c r="BF94" s="359"/>
      <c r="BG94" s="364"/>
      <c r="BI94" s="357"/>
      <c r="BJ94" s="359"/>
      <c r="BK94" s="359"/>
      <c r="BL94" s="364"/>
      <c r="BN94" s="357"/>
      <c r="BO94" s="359"/>
      <c r="BP94" s="359"/>
      <c r="BQ94" s="364"/>
      <c r="BS94" s="357"/>
      <c r="BT94" s="359"/>
      <c r="BU94" s="359"/>
      <c r="BV94" s="364"/>
      <c r="BX94" s="357"/>
      <c r="BY94" s="359"/>
      <c r="BZ94" s="359"/>
      <c r="CA94" s="364"/>
      <c r="CC94" s="357"/>
      <c r="CD94" s="359"/>
      <c r="CE94" s="359"/>
      <c r="CF94" s="364"/>
      <c r="CH94" s="365"/>
    </row>
    <row r="95" spans="1:86" ht="24" customHeight="1" thickBot="1" x14ac:dyDescent="0.3">
      <c r="A95" s="160"/>
      <c r="B95" s="234" t="s">
        <v>140</v>
      </c>
      <c r="C95" s="234"/>
      <c r="D95" s="355" t="s">
        <v>11</v>
      </c>
      <c r="E95" s="162"/>
      <c r="F95" s="162"/>
      <c r="G95" s="162"/>
      <c r="H95" s="162"/>
      <c r="I95" s="378"/>
      <c r="J95" s="162"/>
      <c r="K95" s="370"/>
      <c r="L95" s="370"/>
      <c r="M95" s="370"/>
      <c r="N95" s="370"/>
      <c r="O95" s="370"/>
      <c r="P95" s="370"/>
      <c r="Q95" s="370"/>
      <c r="R95" s="370"/>
      <c r="S95" s="370"/>
      <c r="T95" s="370"/>
      <c r="U95" s="370"/>
      <c r="V95" s="370"/>
      <c r="W95" s="370"/>
      <c r="X95" s="370"/>
      <c r="Y95" s="370"/>
      <c r="Z95" s="370"/>
      <c r="AA95" s="370"/>
      <c r="AB95" s="370"/>
      <c r="AC95" s="370"/>
      <c r="AD95" s="370"/>
      <c r="AE95" s="370"/>
      <c r="AF95" s="162"/>
      <c r="AG95" s="371"/>
      <c r="AH95" s="371"/>
      <c r="AI95" s="370"/>
      <c r="AK95" s="162"/>
      <c r="AO95" s="11"/>
      <c r="AP95" s="11"/>
      <c r="AQ95" s="163"/>
      <c r="AS95" s="162"/>
      <c r="AU95" s="164"/>
      <c r="AV95" s="371"/>
      <c r="AX95" s="157"/>
      <c r="AY95" s="164"/>
      <c r="BC95" s="166"/>
      <c r="BD95" s="370"/>
      <c r="BE95" s="379"/>
      <c r="BF95" s="379"/>
      <c r="BG95" s="380"/>
      <c r="BH95" s="162"/>
      <c r="BI95" s="370"/>
      <c r="BJ95" s="379"/>
      <c r="BK95" s="379"/>
      <c r="BL95" s="381"/>
      <c r="BM95" s="162"/>
      <c r="BN95" s="370"/>
      <c r="BO95" s="379"/>
      <c r="BP95" s="379"/>
      <c r="BQ95" s="381"/>
      <c r="BR95" s="162"/>
      <c r="BS95" s="370"/>
      <c r="BT95" s="379"/>
      <c r="BU95" s="379"/>
      <c r="BV95" s="380"/>
      <c r="BW95" s="162"/>
      <c r="BX95" s="370"/>
      <c r="BY95" s="379"/>
      <c r="BZ95" s="379"/>
      <c r="CA95" s="381"/>
      <c r="CB95" s="162"/>
      <c r="CC95" s="370"/>
      <c r="CD95" s="379"/>
      <c r="CE95" s="379"/>
      <c r="CF95" s="381"/>
      <c r="CG95" s="162"/>
    </row>
    <row r="96" spans="1:86" ht="15.75" customHeight="1" x14ac:dyDescent="0.2">
      <c r="A96" s="242" t="str">
        <f>IF(OR(E96&lt;&gt;FALSE,F96&lt;&gt;FALSE,G96&lt;&gt;FALSE),MAX(A$16:A95)+1,"")</f>
        <v/>
      </c>
      <c r="B96" s="244" t="s">
        <v>141</v>
      </c>
      <c r="C96" s="244" t="s">
        <v>42</v>
      </c>
      <c r="D96" s="245" t="s">
        <v>11</v>
      </c>
      <c r="E96" s="246" t="b">
        <v>0</v>
      </c>
      <c r="F96" s="247" t="b">
        <v>0</v>
      </c>
      <c r="G96" s="248" t="b">
        <v>0</v>
      </c>
      <c r="H96" s="249"/>
      <c r="I96" s="250">
        <v>1</v>
      </c>
      <c r="J96" s="249"/>
      <c r="K96" s="251"/>
      <c r="L96" s="252"/>
      <c r="M96" s="252"/>
      <c r="N96" s="252"/>
      <c r="O96" s="252"/>
      <c r="P96" s="252"/>
      <c r="Q96" s="252"/>
      <c r="R96" s="252"/>
      <c r="S96" s="252"/>
      <c r="T96" s="252"/>
      <c r="U96" s="251"/>
      <c r="V96" s="252"/>
      <c r="W96" s="252"/>
      <c r="X96" s="252"/>
      <c r="Y96" s="252"/>
      <c r="Z96" s="252"/>
      <c r="AA96" s="253"/>
      <c r="AB96" s="254"/>
      <c r="AC96" s="255"/>
      <c r="AD96" s="255"/>
      <c r="AE96" s="256"/>
      <c r="AF96" s="249"/>
      <c r="AG96" s="257">
        <f>IF(OR(AND($E96=TRUE,'[1]Pricing Summary'!$B$33=$E$2),AND($F96=TRUE,'[1]Pricing Summary'!$B$33=$F$2),AND($G96=TRUE,'[1]Pricing Summary'!$B$33=$G$2)),1,0)</f>
        <v>0</v>
      </c>
      <c r="AH96" s="257">
        <f t="shared" ref="AH96:AH130" si="95">IF(OR($E96=TRUE,$F96=TRUE,$G96=TRUE),1,0)</f>
        <v>0</v>
      </c>
      <c r="AI96" s="258">
        <f t="shared" ref="AI96:AI130" si="96">$I96*SUM($K96:$AE96)*$AH96</f>
        <v>0</v>
      </c>
      <c r="AJ96" s="259">
        <f t="shared" ref="AJ96:AJ130" si="97">IFERROR(SUM($U96:$AA96)/SUM($K96:$AA96)*$AH96,0)</f>
        <v>0</v>
      </c>
      <c r="AK96" s="249"/>
      <c r="AL96" s="260">
        <f t="shared" ref="AL96:AL130" si="98">SUMPRODUCT($K$11:$AE$11,$K96:$AE96)</f>
        <v>0</v>
      </c>
      <c r="AM96" s="261">
        <f t="shared" ref="AM96:AM130" si="99">SUMPRODUCT($K$13:$AE$13,$K96:$AE96)</f>
        <v>0</v>
      </c>
      <c r="AN96" s="261">
        <f>MROUND((1+'[1]Core Assumptions'!$D$22)*AM96,'[1]Core Assumptions'!$E$23)</f>
        <v>0</v>
      </c>
      <c r="AO96" s="262">
        <f t="shared" ref="AO96:AO130" si="100">AN96</f>
        <v>0</v>
      </c>
      <c r="AP96" s="263">
        <f>IF(AN$7=0,0,MROUND(AN96/AN$7*AP$8/'[1]Core Assumptions'!$D$28,'[1]Core Assumptions'!$E$23))</f>
        <v>0</v>
      </c>
      <c r="AQ96" s="264">
        <f t="shared" ref="AQ96:AQ130" si="101">IF(AL96=0,0,AO96/AL96)</f>
        <v>0</v>
      </c>
      <c r="AR96" s="265">
        <f t="shared" ref="AR96:AR130" si="102">IFERROR(AO96/SUM(K96:AE96),0)</f>
        <v>0</v>
      </c>
      <c r="AS96" s="249"/>
      <c r="AT96" s="266">
        <f t="shared" ref="AT96:AT130" si="103">SUMPRODUCT($K$14:$AE$14,$K96:$AE96)</f>
        <v>0</v>
      </c>
      <c r="AU96" s="267"/>
      <c r="AV96" s="257">
        <f>IF(OR(AND($E96=TRUE,'[1]Pricing Summary'!$B$33="Ultimate"),AND($F96=TRUE,'[1]Pricing Summary'!$B$33="Enhanced"),AND($G96=TRUE,'[1]Pricing Summary'!$B$33="Essential")),1,0)</f>
        <v>0</v>
      </c>
      <c r="AW96" s="268">
        <f t="shared" ref="AW96:AW130" si="104">$AL96*$AV96</f>
        <v>0</v>
      </c>
      <c r="AX96" s="269">
        <f t="shared" ref="AX96:AX130" si="105">$AO96*$AV96</f>
        <v>0</v>
      </c>
      <c r="AY96" s="267"/>
      <c r="AZ96" s="268">
        <f t="shared" ref="AZ96:AZ130" si="106">IF($E96=TRUE,$I96*$AL96,0)</f>
        <v>0</v>
      </c>
      <c r="BA96" s="270">
        <f t="shared" ref="BA96:BA130" si="107">IF($F96=TRUE,$I96*$AL96,0)</f>
        <v>0</v>
      </c>
      <c r="BB96" s="271">
        <f t="shared" ref="BB96:BB130" si="108">IF($G96=TRUE,$I96*$AL96,0)</f>
        <v>0</v>
      </c>
      <c r="BC96" s="272"/>
      <c r="BD96" s="273">
        <f t="shared" ref="BD96:BD130" si="109">IF($E96=TRUE,$AI96,0)</f>
        <v>0</v>
      </c>
      <c r="BE96" s="274">
        <f t="shared" ref="BE96:BE130" si="110">IF($E96=TRUE,$I96*$AM96,0)</f>
        <v>0</v>
      </c>
      <c r="BF96" s="274">
        <f t="shared" ref="BF96:BF130" si="111">IF($E96=TRUE,BE96-$I96*$AT96,0)</f>
        <v>0</v>
      </c>
      <c r="BG96" s="275">
        <f t="shared" ref="BG96:BG130" si="112">IFERROR(BF96/BE96,0)</f>
        <v>0</v>
      </c>
      <c r="BH96" s="249"/>
      <c r="BI96" s="276">
        <f t="shared" ref="BI96:BI130" si="113">IF($F96=TRUE,$AI96,0)</f>
        <v>0</v>
      </c>
      <c r="BJ96" s="277">
        <f t="shared" ref="BJ96:BJ130" si="114">IF($F96=TRUE,$I96*$AM96,0)</f>
        <v>0</v>
      </c>
      <c r="BK96" s="277">
        <f t="shared" ref="BK96:BK130" si="115">IF($F96=TRUE,BJ96-$I96*$AT96,0)</f>
        <v>0</v>
      </c>
      <c r="BL96" s="278">
        <f t="shared" ref="BL96:BL130" si="116">IFERROR(BK96/BJ96,0)</f>
        <v>0</v>
      </c>
      <c r="BM96" s="249"/>
      <c r="BN96" s="279">
        <f t="shared" ref="BN96:BN130" si="117">IF($G96=TRUE,$AI96,0)</f>
        <v>0</v>
      </c>
      <c r="BO96" s="280">
        <f t="shared" ref="BO96:BO130" si="118">IF($G96=TRUE,$I96*$AM96,0)</f>
        <v>0</v>
      </c>
      <c r="BP96" s="280">
        <f t="shared" ref="BP96:BP130" si="119">IF($G96=TRUE,BO96-$I96*$AT96,0)</f>
        <v>0</v>
      </c>
      <c r="BQ96" s="281">
        <f t="shared" ref="BQ96:BQ130" si="120">IFERROR(BP96/BO96,0)</f>
        <v>0</v>
      </c>
      <c r="BR96" s="249"/>
      <c r="BS96" s="273">
        <f t="shared" ref="BS96:BS130" si="121">IF($E96=TRUE,$AI96,0)</f>
        <v>0</v>
      </c>
      <c r="BT96" s="274">
        <f t="shared" ref="BT96:BT130" si="122">IF($E96=TRUE,$I96*$AO96,0)</f>
        <v>0</v>
      </c>
      <c r="BU96" s="274">
        <f t="shared" ref="BU96:BU130" si="123">IF($E96=TRUE,BT96-$I96*$AT96,0)</f>
        <v>0</v>
      </c>
      <c r="BV96" s="275">
        <f t="shared" ref="BV96:BV130" si="124">IFERROR(BU96/BT96,0)</f>
        <v>0</v>
      </c>
      <c r="BW96" s="249"/>
      <c r="BX96" s="276">
        <f t="shared" ref="BX96:BX130" si="125">IF($F96=TRUE,$AI96,0)</f>
        <v>0</v>
      </c>
      <c r="BY96" s="277">
        <f t="shared" ref="BY96:BY130" si="126">IF($F96=TRUE,$I96*$AO96,0)</f>
        <v>0</v>
      </c>
      <c r="BZ96" s="277">
        <f t="shared" ref="BZ96:BZ130" si="127">IF($F96=TRUE,BY96-$I96*$AT96,0)</f>
        <v>0</v>
      </c>
      <c r="CA96" s="278">
        <f t="shared" ref="CA96:CA130" si="128">IFERROR(BZ96/BY96,0)</f>
        <v>0</v>
      </c>
      <c r="CB96" s="249"/>
      <c r="CC96" s="279">
        <f t="shared" ref="CC96:CC130" si="129">IF($G96=TRUE,$AI96,0)</f>
        <v>0</v>
      </c>
      <c r="CD96" s="280">
        <f t="shared" ref="CD96:CD130" si="130">IF($G96=TRUE,$I96*$AO96,0)</f>
        <v>0</v>
      </c>
      <c r="CE96" s="280">
        <f t="shared" ref="CE96:CE130" si="131">IF($G96=TRUE,CD96-$I96*$AT96,0)</f>
        <v>0</v>
      </c>
      <c r="CF96" s="281">
        <f t="shared" ref="CF96:CF130" si="132">IFERROR(CE96/CD96,0)</f>
        <v>0</v>
      </c>
      <c r="CG96" s="249"/>
      <c r="CH96" s="282"/>
    </row>
    <row r="97" spans="1:86" ht="15.75" customHeight="1" x14ac:dyDescent="0.2">
      <c r="A97" s="242" t="str">
        <f>IF(OR(E97&lt;&gt;FALSE,F97&lt;&gt;FALSE,G97&lt;&gt;FALSE),MAX(A$16:A96)+1,"")</f>
        <v/>
      </c>
      <c r="B97" s="284" t="s">
        <v>142</v>
      </c>
      <c r="C97" s="284" t="s">
        <v>42</v>
      </c>
      <c r="D97" s="245" t="s">
        <v>11</v>
      </c>
      <c r="E97" s="285" t="b">
        <v>0</v>
      </c>
      <c r="F97" s="286" t="b">
        <v>0</v>
      </c>
      <c r="G97" s="287" t="b">
        <v>0</v>
      </c>
      <c r="H97" s="249"/>
      <c r="I97" s="288">
        <v>1</v>
      </c>
      <c r="J97" s="249"/>
      <c r="K97" s="289"/>
      <c r="L97" s="290"/>
      <c r="M97" s="290"/>
      <c r="N97" s="290"/>
      <c r="O97" s="290"/>
      <c r="P97" s="290"/>
      <c r="Q97" s="290"/>
      <c r="R97" s="290"/>
      <c r="S97" s="290"/>
      <c r="T97" s="290"/>
      <c r="U97" s="289"/>
      <c r="V97" s="290"/>
      <c r="W97" s="290"/>
      <c r="X97" s="290"/>
      <c r="Y97" s="290"/>
      <c r="Z97" s="290"/>
      <c r="AA97" s="291"/>
      <c r="AB97" s="292"/>
      <c r="AC97" s="293"/>
      <c r="AD97" s="293"/>
      <c r="AE97" s="294"/>
      <c r="AF97" s="249"/>
      <c r="AG97" s="295">
        <f>IF(OR(AND($E97=TRUE,'[1]Pricing Summary'!$B$33=$E$2),AND($F97=TRUE,'[1]Pricing Summary'!$B$33=$F$2),AND($G97=TRUE,'[1]Pricing Summary'!$B$33=$G$2)),1,0)</f>
        <v>0</v>
      </c>
      <c r="AH97" s="295">
        <f t="shared" si="95"/>
        <v>0</v>
      </c>
      <c r="AI97" s="296">
        <f t="shared" si="96"/>
        <v>0</v>
      </c>
      <c r="AJ97" s="297">
        <f t="shared" si="97"/>
        <v>0</v>
      </c>
      <c r="AK97" s="249"/>
      <c r="AL97" s="298">
        <f t="shared" si="98"/>
        <v>0</v>
      </c>
      <c r="AM97" s="221">
        <f t="shared" si="99"/>
        <v>0</v>
      </c>
      <c r="AN97" s="221">
        <f>MROUND((1+'[1]Core Assumptions'!$D$22)*AM97,'[1]Core Assumptions'!$E$23)</f>
        <v>0</v>
      </c>
      <c r="AO97" s="299">
        <f t="shared" si="100"/>
        <v>0</v>
      </c>
      <c r="AP97" s="300">
        <f>IF(AN$7=0,0,MROUND(AN97/AN$7*AP$8/'[1]Core Assumptions'!$D$28,'[1]Core Assumptions'!$E$23))</f>
        <v>0</v>
      </c>
      <c r="AQ97" s="301">
        <f t="shared" si="101"/>
        <v>0</v>
      </c>
      <c r="AR97" s="302">
        <f t="shared" si="102"/>
        <v>0</v>
      </c>
      <c r="AS97" s="249"/>
      <c r="AT97" s="303">
        <f t="shared" si="103"/>
        <v>0</v>
      </c>
      <c r="AU97" s="267"/>
      <c r="AV97" s="295">
        <f>IF(OR(AND($E97=TRUE,'[1]Pricing Summary'!$B$33="Ultimate"),AND($F97=TRUE,'[1]Pricing Summary'!$B$33="Enhanced"),AND($G97=TRUE,'[1]Pricing Summary'!$B$33="Essential")),1,0)</f>
        <v>0</v>
      </c>
      <c r="AW97" s="304">
        <f t="shared" si="104"/>
        <v>0</v>
      </c>
      <c r="AX97" s="305">
        <f t="shared" si="105"/>
        <v>0</v>
      </c>
      <c r="AY97" s="267"/>
      <c r="AZ97" s="304">
        <f t="shared" si="106"/>
        <v>0</v>
      </c>
      <c r="BA97" s="222">
        <f t="shared" si="107"/>
        <v>0</v>
      </c>
      <c r="BB97" s="306">
        <f t="shared" si="108"/>
        <v>0</v>
      </c>
      <c r="BC97" s="272"/>
      <c r="BD97" s="307">
        <f t="shared" si="109"/>
        <v>0</v>
      </c>
      <c r="BE97" s="308">
        <f t="shared" si="110"/>
        <v>0</v>
      </c>
      <c r="BF97" s="308">
        <f t="shared" si="111"/>
        <v>0</v>
      </c>
      <c r="BG97" s="309">
        <f t="shared" si="112"/>
        <v>0</v>
      </c>
      <c r="BH97" s="249"/>
      <c r="BI97" s="310">
        <f t="shared" si="113"/>
        <v>0</v>
      </c>
      <c r="BJ97" s="311">
        <f t="shared" si="114"/>
        <v>0</v>
      </c>
      <c r="BK97" s="311">
        <f t="shared" si="115"/>
        <v>0</v>
      </c>
      <c r="BL97" s="312">
        <f t="shared" si="116"/>
        <v>0</v>
      </c>
      <c r="BM97" s="249"/>
      <c r="BN97" s="313">
        <f t="shared" si="117"/>
        <v>0</v>
      </c>
      <c r="BO97" s="314">
        <f t="shared" si="118"/>
        <v>0</v>
      </c>
      <c r="BP97" s="314">
        <f t="shared" si="119"/>
        <v>0</v>
      </c>
      <c r="BQ97" s="315">
        <f t="shared" si="120"/>
        <v>0</v>
      </c>
      <c r="BR97" s="249"/>
      <c r="BS97" s="307">
        <f t="shared" si="121"/>
        <v>0</v>
      </c>
      <c r="BT97" s="308">
        <f t="shared" si="122"/>
        <v>0</v>
      </c>
      <c r="BU97" s="308">
        <f t="shared" si="123"/>
        <v>0</v>
      </c>
      <c r="BV97" s="309">
        <f t="shared" si="124"/>
        <v>0</v>
      </c>
      <c r="BW97" s="249"/>
      <c r="BX97" s="310">
        <f t="shared" si="125"/>
        <v>0</v>
      </c>
      <c r="BY97" s="311">
        <f t="shared" si="126"/>
        <v>0</v>
      </c>
      <c r="BZ97" s="311">
        <f t="shared" si="127"/>
        <v>0</v>
      </c>
      <c r="CA97" s="312">
        <f t="shared" si="128"/>
        <v>0</v>
      </c>
      <c r="CB97" s="249"/>
      <c r="CC97" s="313">
        <f t="shared" si="129"/>
        <v>0</v>
      </c>
      <c r="CD97" s="314">
        <f t="shared" si="130"/>
        <v>0</v>
      </c>
      <c r="CE97" s="314">
        <f t="shared" si="131"/>
        <v>0</v>
      </c>
      <c r="CF97" s="315">
        <f t="shared" si="132"/>
        <v>0</v>
      </c>
      <c r="CG97" s="249"/>
      <c r="CH97" s="316"/>
    </row>
    <row r="98" spans="1:86" ht="15.75" customHeight="1" x14ac:dyDescent="0.2">
      <c r="A98" s="242" t="str">
        <f>IF(OR(E98&lt;&gt;FALSE,F98&lt;&gt;FALSE,G98&lt;&gt;FALSE),MAX(A$16:A97)+1,"")</f>
        <v/>
      </c>
      <c r="B98" s="284" t="s">
        <v>143</v>
      </c>
      <c r="C98" s="284" t="s">
        <v>42</v>
      </c>
      <c r="D98" s="245" t="s">
        <v>11</v>
      </c>
      <c r="E98" s="285" t="b">
        <v>0</v>
      </c>
      <c r="F98" s="286" t="b">
        <v>0</v>
      </c>
      <c r="G98" s="287" t="b">
        <v>0</v>
      </c>
      <c r="H98" s="249"/>
      <c r="I98" s="288">
        <v>4</v>
      </c>
      <c r="J98" s="249"/>
      <c r="K98" s="289"/>
      <c r="L98" s="290"/>
      <c r="M98" s="290"/>
      <c r="N98" s="290"/>
      <c r="O98" s="290"/>
      <c r="P98" s="290"/>
      <c r="Q98" s="290"/>
      <c r="R98" s="290"/>
      <c r="S98" s="290"/>
      <c r="T98" s="290"/>
      <c r="U98" s="289"/>
      <c r="V98" s="290"/>
      <c r="W98" s="290"/>
      <c r="X98" s="290"/>
      <c r="Y98" s="290"/>
      <c r="Z98" s="290"/>
      <c r="AA98" s="291"/>
      <c r="AB98" s="292"/>
      <c r="AC98" s="293"/>
      <c r="AD98" s="293"/>
      <c r="AE98" s="294"/>
      <c r="AF98" s="249"/>
      <c r="AG98" s="295">
        <f>IF(OR(AND($E98=TRUE,'[1]Pricing Summary'!$B$33=$E$2),AND($F98=TRUE,'[1]Pricing Summary'!$B$33=$F$2),AND($G98=TRUE,'[1]Pricing Summary'!$B$33=$G$2)),1,0)</f>
        <v>0</v>
      </c>
      <c r="AH98" s="295">
        <f t="shared" si="95"/>
        <v>0</v>
      </c>
      <c r="AI98" s="296">
        <f t="shared" si="96"/>
        <v>0</v>
      </c>
      <c r="AJ98" s="297">
        <f t="shared" si="97"/>
        <v>0</v>
      </c>
      <c r="AK98" s="249"/>
      <c r="AL98" s="298">
        <f t="shared" si="98"/>
        <v>0</v>
      </c>
      <c r="AM98" s="221">
        <f t="shared" si="99"/>
        <v>0</v>
      </c>
      <c r="AN98" s="221">
        <f>MROUND((1+'[1]Core Assumptions'!$D$22)*AM98,'[1]Core Assumptions'!$E$23)</f>
        <v>0</v>
      </c>
      <c r="AO98" s="299">
        <f t="shared" si="100"/>
        <v>0</v>
      </c>
      <c r="AP98" s="300">
        <f>IF(AN$7=0,0,MROUND(AN98/AN$7*AP$8/'[1]Core Assumptions'!$D$28,'[1]Core Assumptions'!$E$23))</f>
        <v>0</v>
      </c>
      <c r="AQ98" s="301">
        <f t="shared" si="101"/>
        <v>0</v>
      </c>
      <c r="AR98" s="302">
        <f t="shared" si="102"/>
        <v>0</v>
      </c>
      <c r="AS98" s="249"/>
      <c r="AT98" s="303">
        <f t="shared" si="103"/>
        <v>0</v>
      </c>
      <c r="AU98" s="267"/>
      <c r="AV98" s="295">
        <f>IF(OR(AND($E98=TRUE,'[1]Pricing Summary'!$B$33="Ultimate"),AND($F98=TRUE,'[1]Pricing Summary'!$B$33="Enhanced"),AND($G98=TRUE,'[1]Pricing Summary'!$B$33="Essential")),1,0)</f>
        <v>0</v>
      </c>
      <c r="AW98" s="304">
        <f t="shared" si="104"/>
        <v>0</v>
      </c>
      <c r="AX98" s="305">
        <f t="shared" si="105"/>
        <v>0</v>
      </c>
      <c r="AY98" s="267"/>
      <c r="AZ98" s="304">
        <f t="shared" si="106"/>
        <v>0</v>
      </c>
      <c r="BA98" s="222">
        <f t="shared" si="107"/>
        <v>0</v>
      </c>
      <c r="BB98" s="306">
        <f t="shared" si="108"/>
        <v>0</v>
      </c>
      <c r="BC98" s="272"/>
      <c r="BD98" s="307">
        <f t="shared" si="109"/>
        <v>0</v>
      </c>
      <c r="BE98" s="308">
        <f t="shared" si="110"/>
        <v>0</v>
      </c>
      <c r="BF98" s="308">
        <f t="shared" si="111"/>
        <v>0</v>
      </c>
      <c r="BG98" s="309">
        <f t="shared" si="112"/>
        <v>0</v>
      </c>
      <c r="BH98" s="249"/>
      <c r="BI98" s="310">
        <f t="shared" si="113"/>
        <v>0</v>
      </c>
      <c r="BJ98" s="311">
        <f t="shared" si="114"/>
        <v>0</v>
      </c>
      <c r="BK98" s="311">
        <f t="shared" si="115"/>
        <v>0</v>
      </c>
      <c r="BL98" s="312">
        <f t="shared" si="116"/>
        <v>0</v>
      </c>
      <c r="BM98" s="249"/>
      <c r="BN98" s="313">
        <f t="shared" si="117"/>
        <v>0</v>
      </c>
      <c r="BO98" s="314">
        <f t="shared" si="118"/>
        <v>0</v>
      </c>
      <c r="BP98" s="314">
        <f t="shared" si="119"/>
        <v>0</v>
      </c>
      <c r="BQ98" s="315">
        <f t="shared" si="120"/>
        <v>0</v>
      </c>
      <c r="BR98" s="249"/>
      <c r="BS98" s="307">
        <f t="shared" si="121"/>
        <v>0</v>
      </c>
      <c r="BT98" s="308">
        <f t="shared" si="122"/>
        <v>0</v>
      </c>
      <c r="BU98" s="308">
        <f t="shared" si="123"/>
        <v>0</v>
      </c>
      <c r="BV98" s="309">
        <f t="shared" si="124"/>
        <v>0</v>
      </c>
      <c r="BW98" s="249"/>
      <c r="BX98" s="310">
        <f t="shared" si="125"/>
        <v>0</v>
      </c>
      <c r="BY98" s="311">
        <f t="shared" si="126"/>
        <v>0</v>
      </c>
      <c r="BZ98" s="311">
        <f t="shared" si="127"/>
        <v>0</v>
      </c>
      <c r="CA98" s="312">
        <f t="shared" si="128"/>
        <v>0</v>
      </c>
      <c r="CB98" s="249"/>
      <c r="CC98" s="313">
        <f t="shared" si="129"/>
        <v>0</v>
      </c>
      <c r="CD98" s="314">
        <f t="shared" si="130"/>
        <v>0</v>
      </c>
      <c r="CE98" s="314">
        <f t="shared" si="131"/>
        <v>0</v>
      </c>
      <c r="CF98" s="315">
        <f t="shared" si="132"/>
        <v>0</v>
      </c>
      <c r="CG98" s="249"/>
      <c r="CH98" s="316"/>
    </row>
    <row r="99" spans="1:86" ht="15.75" customHeight="1" x14ac:dyDescent="0.2">
      <c r="A99" s="242" t="str">
        <f>IF(OR(E99&lt;&gt;FALSE,F99&lt;&gt;FALSE,G99&lt;&gt;FALSE),MAX(A$16:A98)+1,"")</f>
        <v/>
      </c>
      <c r="B99" s="284" t="s">
        <v>144</v>
      </c>
      <c r="C99" s="284" t="s">
        <v>42</v>
      </c>
      <c r="D99" s="245" t="s">
        <v>11</v>
      </c>
      <c r="E99" s="285" t="b">
        <v>0</v>
      </c>
      <c r="F99" s="286" t="b">
        <v>0</v>
      </c>
      <c r="G99" s="287" t="b">
        <v>0</v>
      </c>
      <c r="H99" s="249"/>
      <c r="I99" s="288">
        <v>8</v>
      </c>
      <c r="J99" s="249"/>
      <c r="K99" s="289"/>
      <c r="L99" s="290"/>
      <c r="M99" s="290"/>
      <c r="N99" s="290"/>
      <c r="O99" s="290"/>
      <c r="P99" s="290"/>
      <c r="Q99" s="290"/>
      <c r="R99" s="290"/>
      <c r="S99" s="290"/>
      <c r="T99" s="290"/>
      <c r="U99" s="289"/>
      <c r="V99" s="290"/>
      <c r="W99" s="290"/>
      <c r="X99" s="290"/>
      <c r="Y99" s="290"/>
      <c r="Z99" s="290"/>
      <c r="AA99" s="291"/>
      <c r="AB99" s="292"/>
      <c r="AC99" s="293"/>
      <c r="AD99" s="293"/>
      <c r="AE99" s="294"/>
      <c r="AF99" s="249"/>
      <c r="AG99" s="295">
        <f>IF(OR(AND($E99=TRUE,'[1]Pricing Summary'!$B$33=$E$2),AND($F99=TRUE,'[1]Pricing Summary'!$B$33=$F$2),AND($G99=TRUE,'[1]Pricing Summary'!$B$33=$G$2)),1,0)</f>
        <v>0</v>
      </c>
      <c r="AH99" s="295">
        <f t="shared" si="95"/>
        <v>0</v>
      </c>
      <c r="AI99" s="296">
        <f t="shared" si="96"/>
        <v>0</v>
      </c>
      <c r="AJ99" s="297">
        <f t="shared" si="97"/>
        <v>0</v>
      </c>
      <c r="AK99" s="249"/>
      <c r="AL99" s="298">
        <f t="shared" si="98"/>
        <v>0</v>
      </c>
      <c r="AM99" s="221">
        <f t="shared" si="99"/>
        <v>0</v>
      </c>
      <c r="AN99" s="221">
        <f>MROUND((1+'[1]Core Assumptions'!$D$22)*AM99,'[1]Core Assumptions'!$E$23)</f>
        <v>0</v>
      </c>
      <c r="AO99" s="299">
        <f t="shared" si="100"/>
        <v>0</v>
      </c>
      <c r="AP99" s="300">
        <f>IF(AN$7=0,0,MROUND(AN99/AN$7*AP$8/'[1]Core Assumptions'!$D$28,'[1]Core Assumptions'!$E$23))</f>
        <v>0</v>
      </c>
      <c r="AQ99" s="301">
        <f t="shared" si="101"/>
        <v>0</v>
      </c>
      <c r="AR99" s="302">
        <f t="shared" si="102"/>
        <v>0</v>
      </c>
      <c r="AS99" s="249"/>
      <c r="AT99" s="303">
        <f t="shared" si="103"/>
        <v>0</v>
      </c>
      <c r="AU99" s="267"/>
      <c r="AV99" s="295">
        <f>IF(OR(AND($E99=TRUE,'[1]Pricing Summary'!$B$33="Ultimate"),AND($F99=TRUE,'[1]Pricing Summary'!$B$33="Enhanced"),AND($G99=TRUE,'[1]Pricing Summary'!$B$33="Essential")),1,0)</f>
        <v>0</v>
      </c>
      <c r="AW99" s="304">
        <f t="shared" si="104"/>
        <v>0</v>
      </c>
      <c r="AX99" s="305">
        <f t="shared" si="105"/>
        <v>0</v>
      </c>
      <c r="AY99" s="267"/>
      <c r="AZ99" s="304">
        <f t="shared" si="106"/>
        <v>0</v>
      </c>
      <c r="BA99" s="222">
        <f t="shared" si="107"/>
        <v>0</v>
      </c>
      <c r="BB99" s="306">
        <f t="shared" si="108"/>
        <v>0</v>
      </c>
      <c r="BC99" s="272"/>
      <c r="BD99" s="307">
        <f t="shared" si="109"/>
        <v>0</v>
      </c>
      <c r="BE99" s="308">
        <f t="shared" si="110"/>
        <v>0</v>
      </c>
      <c r="BF99" s="308">
        <f t="shared" si="111"/>
        <v>0</v>
      </c>
      <c r="BG99" s="309">
        <f t="shared" si="112"/>
        <v>0</v>
      </c>
      <c r="BH99" s="249"/>
      <c r="BI99" s="310">
        <f t="shared" si="113"/>
        <v>0</v>
      </c>
      <c r="BJ99" s="311">
        <f t="shared" si="114"/>
        <v>0</v>
      </c>
      <c r="BK99" s="311">
        <f t="shared" si="115"/>
        <v>0</v>
      </c>
      <c r="BL99" s="312">
        <f t="shared" si="116"/>
        <v>0</v>
      </c>
      <c r="BM99" s="249"/>
      <c r="BN99" s="313">
        <f t="shared" si="117"/>
        <v>0</v>
      </c>
      <c r="BO99" s="314">
        <f t="shared" si="118"/>
        <v>0</v>
      </c>
      <c r="BP99" s="314">
        <f t="shared" si="119"/>
        <v>0</v>
      </c>
      <c r="BQ99" s="315">
        <f t="shared" si="120"/>
        <v>0</v>
      </c>
      <c r="BR99" s="249"/>
      <c r="BS99" s="307">
        <f t="shared" si="121"/>
        <v>0</v>
      </c>
      <c r="BT99" s="308">
        <f t="shared" si="122"/>
        <v>0</v>
      </c>
      <c r="BU99" s="308">
        <f t="shared" si="123"/>
        <v>0</v>
      </c>
      <c r="BV99" s="309">
        <f t="shared" si="124"/>
        <v>0</v>
      </c>
      <c r="BW99" s="249"/>
      <c r="BX99" s="310">
        <f t="shared" si="125"/>
        <v>0</v>
      </c>
      <c r="BY99" s="311">
        <f t="shared" si="126"/>
        <v>0</v>
      </c>
      <c r="BZ99" s="311">
        <f t="shared" si="127"/>
        <v>0</v>
      </c>
      <c r="CA99" s="312">
        <f t="shared" si="128"/>
        <v>0</v>
      </c>
      <c r="CB99" s="249"/>
      <c r="CC99" s="313">
        <f t="shared" si="129"/>
        <v>0</v>
      </c>
      <c r="CD99" s="314">
        <f t="shared" si="130"/>
        <v>0</v>
      </c>
      <c r="CE99" s="314">
        <f t="shared" si="131"/>
        <v>0</v>
      </c>
      <c r="CF99" s="315">
        <f t="shared" si="132"/>
        <v>0</v>
      </c>
      <c r="CG99" s="249"/>
      <c r="CH99" s="316"/>
    </row>
    <row r="100" spans="1:86" ht="15.75" customHeight="1" x14ac:dyDescent="0.2">
      <c r="A100" s="242" t="str">
        <f>IF(OR(E100&lt;&gt;FALSE,F100&lt;&gt;FALSE,G100&lt;&gt;FALSE),MAX(A$16:A99)+1,"")</f>
        <v/>
      </c>
      <c r="B100" s="284" t="s">
        <v>145</v>
      </c>
      <c r="C100" s="284" t="s">
        <v>42</v>
      </c>
      <c r="D100" s="245" t="s">
        <v>11</v>
      </c>
      <c r="E100" s="285" t="b">
        <v>0</v>
      </c>
      <c r="F100" s="286" t="b">
        <v>0</v>
      </c>
      <c r="G100" s="287" t="b">
        <v>0</v>
      </c>
      <c r="H100" s="249"/>
      <c r="I100" s="288">
        <v>1</v>
      </c>
      <c r="J100" s="249"/>
      <c r="K100" s="289"/>
      <c r="L100" s="290"/>
      <c r="M100" s="290"/>
      <c r="N100" s="290"/>
      <c r="O100" s="290"/>
      <c r="P100" s="290"/>
      <c r="Q100" s="290"/>
      <c r="R100" s="290"/>
      <c r="S100" s="290"/>
      <c r="T100" s="290"/>
      <c r="U100" s="289"/>
      <c r="V100" s="290"/>
      <c r="W100" s="290"/>
      <c r="X100" s="290"/>
      <c r="Y100" s="290"/>
      <c r="Z100" s="290"/>
      <c r="AA100" s="291"/>
      <c r="AB100" s="292"/>
      <c r="AC100" s="293"/>
      <c r="AD100" s="293"/>
      <c r="AE100" s="294"/>
      <c r="AF100" s="249"/>
      <c r="AG100" s="295">
        <f>IF(OR(AND($E100=TRUE,'[1]Pricing Summary'!$B$33=$E$2),AND($F100=TRUE,'[1]Pricing Summary'!$B$33=$F$2),AND($G100=TRUE,'[1]Pricing Summary'!$B$33=$G$2)),1,0)</f>
        <v>0</v>
      </c>
      <c r="AH100" s="295">
        <f t="shared" si="95"/>
        <v>0</v>
      </c>
      <c r="AI100" s="296">
        <f t="shared" si="96"/>
        <v>0</v>
      </c>
      <c r="AJ100" s="297">
        <f t="shared" si="97"/>
        <v>0</v>
      </c>
      <c r="AK100" s="249"/>
      <c r="AL100" s="298">
        <f t="shared" si="98"/>
        <v>0</v>
      </c>
      <c r="AM100" s="221">
        <f t="shared" si="99"/>
        <v>0</v>
      </c>
      <c r="AN100" s="221">
        <f>MROUND((1+'[1]Core Assumptions'!$D$22)*AM100,'[1]Core Assumptions'!$E$23)</f>
        <v>0</v>
      </c>
      <c r="AO100" s="299">
        <f t="shared" si="100"/>
        <v>0</v>
      </c>
      <c r="AP100" s="300">
        <f>IF(AN$7=0,0,MROUND(AN100/AN$7*AP$8/'[1]Core Assumptions'!$D$28,'[1]Core Assumptions'!$E$23))</f>
        <v>0</v>
      </c>
      <c r="AQ100" s="301">
        <f t="shared" si="101"/>
        <v>0</v>
      </c>
      <c r="AR100" s="302">
        <f t="shared" si="102"/>
        <v>0</v>
      </c>
      <c r="AS100" s="249"/>
      <c r="AT100" s="303">
        <f t="shared" si="103"/>
        <v>0</v>
      </c>
      <c r="AU100" s="267"/>
      <c r="AV100" s="295">
        <f>IF(OR(AND($E100=TRUE,'[1]Pricing Summary'!$B$33="Ultimate"),AND($F100=TRUE,'[1]Pricing Summary'!$B$33="Enhanced"),AND($G100=TRUE,'[1]Pricing Summary'!$B$33="Essential")),1,0)</f>
        <v>0</v>
      </c>
      <c r="AW100" s="304">
        <f t="shared" si="104"/>
        <v>0</v>
      </c>
      <c r="AX100" s="305">
        <f t="shared" si="105"/>
        <v>0</v>
      </c>
      <c r="AY100" s="267"/>
      <c r="AZ100" s="304">
        <f t="shared" si="106"/>
        <v>0</v>
      </c>
      <c r="BA100" s="222">
        <f t="shared" si="107"/>
        <v>0</v>
      </c>
      <c r="BB100" s="306">
        <f t="shared" si="108"/>
        <v>0</v>
      </c>
      <c r="BC100" s="272"/>
      <c r="BD100" s="307">
        <f t="shared" si="109"/>
        <v>0</v>
      </c>
      <c r="BE100" s="308">
        <f t="shared" si="110"/>
        <v>0</v>
      </c>
      <c r="BF100" s="308">
        <f t="shared" si="111"/>
        <v>0</v>
      </c>
      <c r="BG100" s="309">
        <f t="shared" si="112"/>
        <v>0</v>
      </c>
      <c r="BH100" s="249"/>
      <c r="BI100" s="310">
        <f t="shared" si="113"/>
        <v>0</v>
      </c>
      <c r="BJ100" s="311">
        <f t="shared" si="114"/>
        <v>0</v>
      </c>
      <c r="BK100" s="311">
        <f t="shared" si="115"/>
        <v>0</v>
      </c>
      <c r="BL100" s="312">
        <f t="shared" si="116"/>
        <v>0</v>
      </c>
      <c r="BM100" s="249"/>
      <c r="BN100" s="313">
        <f t="shared" si="117"/>
        <v>0</v>
      </c>
      <c r="BO100" s="314">
        <f t="shared" si="118"/>
        <v>0</v>
      </c>
      <c r="BP100" s="314">
        <f t="shared" si="119"/>
        <v>0</v>
      </c>
      <c r="BQ100" s="315">
        <f t="shared" si="120"/>
        <v>0</v>
      </c>
      <c r="BR100" s="249"/>
      <c r="BS100" s="307">
        <f t="shared" si="121"/>
        <v>0</v>
      </c>
      <c r="BT100" s="308">
        <f t="shared" si="122"/>
        <v>0</v>
      </c>
      <c r="BU100" s="308">
        <f t="shared" si="123"/>
        <v>0</v>
      </c>
      <c r="BV100" s="309">
        <f t="shared" si="124"/>
        <v>0</v>
      </c>
      <c r="BW100" s="249"/>
      <c r="BX100" s="310">
        <f t="shared" si="125"/>
        <v>0</v>
      </c>
      <c r="BY100" s="311">
        <f t="shared" si="126"/>
        <v>0</v>
      </c>
      <c r="BZ100" s="311">
        <f t="shared" si="127"/>
        <v>0</v>
      </c>
      <c r="CA100" s="312">
        <f t="shared" si="128"/>
        <v>0</v>
      </c>
      <c r="CB100" s="249"/>
      <c r="CC100" s="313">
        <f t="shared" si="129"/>
        <v>0</v>
      </c>
      <c r="CD100" s="314">
        <f t="shared" si="130"/>
        <v>0</v>
      </c>
      <c r="CE100" s="314">
        <f t="shared" si="131"/>
        <v>0</v>
      </c>
      <c r="CF100" s="315">
        <f t="shared" si="132"/>
        <v>0</v>
      </c>
      <c r="CG100" s="249"/>
      <c r="CH100" s="316"/>
    </row>
    <row r="101" spans="1:86" ht="15.75" customHeight="1" x14ac:dyDescent="0.2">
      <c r="A101" s="242" t="str">
        <f>IF(OR(E101&lt;&gt;FALSE,F101&lt;&gt;FALSE,G101&lt;&gt;FALSE),MAX(A$16:A100)+1,"")</f>
        <v/>
      </c>
      <c r="B101" s="284" t="s">
        <v>146</v>
      </c>
      <c r="C101" s="284" t="s">
        <v>42</v>
      </c>
      <c r="D101" s="245" t="s">
        <v>11</v>
      </c>
      <c r="E101" s="285" t="b">
        <v>0</v>
      </c>
      <c r="F101" s="286" t="b">
        <v>0</v>
      </c>
      <c r="G101" s="287" t="b">
        <v>0</v>
      </c>
      <c r="H101" s="249"/>
      <c r="I101" s="288">
        <v>1</v>
      </c>
      <c r="J101" s="249"/>
      <c r="K101" s="289"/>
      <c r="L101" s="290"/>
      <c r="M101" s="290"/>
      <c r="N101" s="290"/>
      <c r="O101" s="290"/>
      <c r="P101" s="290"/>
      <c r="Q101" s="290"/>
      <c r="R101" s="290"/>
      <c r="S101" s="290"/>
      <c r="T101" s="290"/>
      <c r="U101" s="289"/>
      <c r="V101" s="290"/>
      <c r="W101" s="290"/>
      <c r="X101" s="290"/>
      <c r="Y101" s="290"/>
      <c r="Z101" s="290"/>
      <c r="AA101" s="291"/>
      <c r="AB101" s="292"/>
      <c r="AC101" s="293"/>
      <c r="AD101" s="293"/>
      <c r="AE101" s="294"/>
      <c r="AF101" s="249"/>
      <c r="AG101" s="295">
        <f>IF(OR(AND($E101=TRUE,'[1]Pricing Summary'!$B$33=$E$2),AND($F101=TRUE,'[1]Pricing Summary'!$B$33=$F$2),AND($G101=TRUE,'[1]Pricing Summary'!$B$33=$G$2)),1,0)</f>
        <v>0</v>
      </c>
      <c r="AH101" s="295">
        <f t="shared" si="95"/>
        <v>0</v>
      </c>
      <c r="AI101" s="296">
        <f t="shared" si="96"/>
        <v>0</v>
      </c>
      <c r="AJ101" s="297">
        <f t="shared" si="97"/>
        <v>0</v>
      </c>
      <c r="AK101" s="249"/>
      <c r="AL101" s="298">
        <f t="shared" si="98"/>
        <v>0</v>
      </c>
      <c r="AM101" s="221">
        <f t="shared" si="99"/>
        <v>0</v>
      </c>
      <c r="AN101" s="221">
        <f>MROUND((1+'[1]Core Assumptions'!$D$22)*AM101,'[1]Core Assumptions'!$E$23)</f>
        <v>0</v>
      </c>
      <c r="AO101" s="299">
        <f t="shared" si="100"/>
        <v>0</v>
      </c>
      <c r="AP101" s="300">
        <f>IF(AN$7=0,0,MROUND(AN101/AN$7*AP$8/'[1]Core Assumptions'!$D$28,'[1]Core Assumptions'!$E$23))</f>
        <v>0</v>
      </c>
      <c r="AQ101" s="301">
        <f t="shared" si="101"/>
        <v>0</v>
      </c>
      <c r="AR101" s="302">
        <f t="shared" si="102"/>
        <v>0</v>
      </c>
      <c r="AS101" s="249"/>
      <c r="AT101" s="303">
        <f t="shared" si="103"/>
        <v>0</v>
      </c>
      <c r="AU101" s="267"/>
      <c r="AV101" s="295">
        <f>IF(OR(AND($E101=TRUE,'[1]Pricing Summary'!$B$33="Ultimate"),AND($F101=TRUE,'[1]Pricing Summary'!$B$33="Enhanced"),AND($G101=TRUE,'[1]Pricing Summary'!$B$33="Essential")),1,0)</f>
        <v>0</v>
      </c>
      <c r="AW101" s="304">
        <f t="shared" si="104"/>
        <v>0</v>
      </c>
      <c r="AX101" s="305">
        <f t="shared" si="105"/>
        <v>0</v>
      </c>
      <c r="AY101" s="267"/>
      <c r="AZ101" s="304">
        <f t="shared" si="106"/>
        <v>0</v>
      </c>
      <c r="BA101" s="222">
        <f t="shared" si="107"/>
        <v>0</v>
      </c>
      <c r="BB101" s="306">
        <f t="shared" si="108"/>
        <v>0</v>
      </c>
      <c r="BC101" s="272"/>
      <c r="BD101" s="307">
        <f t="shared" si="109"/>
        <v>0</v>
      </c>
      <c r="BE101" s="308">
        <f t="shared" si="110"/>
        <v>0</v>
      </c>
      <c r="BF101" s="308">
        <f t="shared" si="111"/>
        <v>0</v>
      </c>
      <c r="BG101" s="309">
        <f t="shared" si="112"/>
        <v>0</v>
      </c>
      <c r="BH101" s="249"/>
      <c r="BI101" s="310">
        <f t="shared" si="113"/>
        <v>0</v>
      </c>
      <c r="BJ101" s="311">
        <f t="shared" si="114"/>
        <v>0</v>
      </c>
      <c r="BK101" s="311">
        <f t="shared" si="115"/>
        <v>0</v>
      </c>
      <c r="BL101" s="312">
        <f t="shared" si="116"/>
        <v>0</v>
      </c>
      <c r="BM101" s="249"/>
      <c r="BN101" s="313">
        <f t="shared" si="117"/>
        <v>0</v>
      </c>
      <c r="BO101" s="314">
        <f t="shared" si="118"/>
        <v>0</v>
      </c>
      <c r="BP101" s="314">
        <f t="shared" si="119"/>
        <v>0</v>
      </c>
      <c r="BQ101" s="315">
        <f t="shared" si="120"/>
        <v>0</v>
      </c>
      <c r="BR101" s="249"/>
      <c r="BS101" s="307">
        <f t="shared" si="121"/>
        <v>0</v>
      </c>
      <c r="BT101" s="308">
        <f t="shared" si="122"/>
        <v>0</v>
      </c>
      <c r="BU101" s="308">
        <f t="shared" si="123"/>
        <v>0</v>
      </c>
      <c r="BV101" s="309">
        <f t="shared" si="124"/>
        <v>0</v>
      </c>
      <c r="BW101" s="249"/>
      <c r="BX101" s="310">
        <f t="shared" si="125"/>
        <v>0</v>
      </c>
      <c r="BY101" s="311">
        <f t="shared" si="126"/>
        <v>0</v>
      </c>
      <c r="BZ101" s="311">
        <f t="shared" si="127"/>
        <v>0</v>
      </c>
      <c r="CA101" s="312">
        <f t="shared" si="128"/>
        <v>0</v>
      </c>
      <c r="CB101" s="249"/>
      <c r="CC101" s="313">
        <f t="shared" si="129"/>
        <v>0</v>
      </c>
      <c r="CD101" s="314">
        <f t="shared" si="130"/>
        <v>0</v>
      </c>
      <c r="CE101" s="314">
        <f t="shared" si="131"/>
        <v>0</v>
      </c>
      <c r="CF101" s="315">
        <f t="shared" si="132"/>
        <v>0</v>
      </c>
      <c r="CG101" s="249"/>
      <c r="CH101" s="316"/>
    </row>
    <row r="102" spans="1:86" ht="15.75" customHeight="1" x14ac:dyDescent="0.2">
      <c r="A102" s="242" t="str">
        <f>IF(OR(E102&lt;&gt;FALSE,F102&lt;&gt;FALSE,G102&lt;&gt;FALSE),MAX(A$16:A101)+1,"")</f>
        <v/>
      </c>
      <c r="B102" s="284" t="s">
        <v>147</v>
      </c>
      <c r="C102" s="284" t="s">
        <v>42</v>
      </c>
      <c r="D102" s="245" t="s">
        <v>11</v>
      </c>
      <c r="E102" s="285" t="b">
        <v>0</v>
      </c>
      <c r="F102" s="286" t="b">
        <v>0</v>
      </c>
      <c r="G102" s="287" t="b">
        <v>0</v>
      </c>
      <c r="H102" s="249"/>
      <c r="I102" s="288">
        <v>1</v>
      </c>
      <c r="J102" s="249"/>
      <c r="K102" s="289"/>
      <c r="L102" s="290"/>
      <c r="M102" s="290"/>
      <c r="N102" s="290"/>
      <c r="O102" s="290"/>
      <c r="P102" s="290"/>
      <c r="Q102" s="290"/>
      <c r="R102" s="290"/>
      <c r="S102" s="290"/>
      <c r="T102" s="290"/>
      <c r="U102" s="289"/>
      <c r="V102" s="290"/>
      <c r="W102" s="290"/>
      <c r="X102" s="290"/>
      <c r="Y102" s="290"/>
      <c r="Z102" s="290"/>
      <c r="AA102" s="291"/>
      <c r="AB102" s="292"/>
      <c r="AC102" s="293"/>
      <c r="AD102" s="293"/>
      <c r="AE102" s="294"/>
      <c r="AF102" s="249"/>
      <c r="AG102" s="295">
        <f>IF(OR(AND($E102=TRUE,'[1]Pricing Summary'!$B$33=$E$2),AND($F102=TRUE,'[1]Pricing Summary'!$B$33=$F$2),AND($G102=TRUE,'[1]Pricing Summary'!$B$33=$G$2)),1,0)</f>
        <v>0</v>
      </c>
      <c r="AH102" s="295">
        <f t="shared" si="95"/>
        <v>0</v>
      </c>
      <c r="AI102" s="296">
        <f t="shared" si="96"/>
        <v>0</v>
      </c>
      <c r="AJ102" s="297">
        <f t="shared" si="97"/>
        <v>0</v>
      </c>
      <c r="AK102" s="249"/>
      <c r="AL102" s="298">
        <f t="shared" si="98"/>
        <v>0</v>
      </c>
      <c r="AM102" s="221">
        <f t="shared" si="99"/>
        <v>0</v>
      </c>
      <c r="AN102" s="221">
        <f>MROUND((1+'[1]Core Assumptions'!$D$22)*AM102,'[1]Core Assumptions'!$E$23)</f>
        <v>0</v>
      </c>
      <c r="AO102" s="299">
        <f t="shared" si="100"/>
        <v>0</v>
      </c>
      <c r="AP102" s="300">
        <f>IF(AN$7=0,0,MROUND(AN102/AN$7*AP$8/'[1]Core Assumptions'!$D$28,'[1]Core Assumptions'!$E$23))</f>
        <v>0</v>
      </c>
      <c r="AQ102" s="301">
        <f t="shared" si="101"/>
        <v>0</v>
      </c>
      <c r="AR102" s="302">
        <f t="shared" si="102"/>
        <v>0</v>
      </c>
      <c r="AS102" s="249"/>
      <c r="AT102" s="303">
        <f t="shared" si="103"/>
        <v>0</v>
      </c>
      <c r="AU102" s="267"/>
      <c r="AV102" s="295">
        <f>IF(OR(AND($E102=TRUE,'[1]Pricing Summary'!$B$33="Ultimate"),AND($F102=TRUE,'[1]Pricing Summary'!$B$33="Enhanced"),AND($G102=TRUE,'[1]Pricing Summary'!$B$33="Essential")),1,0)</f>
        <v>0</v>
      </c>
      <c r="AW102" s="304">
        <f t="shared" si="104"/>
        <v>0</v>
      </c>
      <c r="AX102" s="305">
        <f t="shared" si="105"/>
        <v>0</v>
      </c>
      <c r="AY102" s="267"/>
      <c r="AZ102" s="304">
        <f t="shared" si="106"/>
        <v>0</v>
      </c>
      <c r="BA102" s="222">
        <f t="shared" si="107"/>
        <v>0</v>
      </c>
      <c r="BB102" s="306">
        <f t="shared" si="108"/>
        <v>0</v>
      </c>
      <c r="BC102" s="272"/>
      <c r="BD102" s="307">
        <f t="shared" si="109"/>
        <v>0</v>
      </c>
      <c r="BE102" s="308">
        <f t="shared" si="110"/>
        <v>0</v>
      </c>
      <c r="BF102" s="308">
        <f t="shared" si="111"/>
        <v>0</v>
      </c>
      <c r="BG102" s="309">
        <f t="shared" si="112"/>
        <v>0</v>
      </c>
      <c r="BH102" s="249"/>
      <c r="BI102" s="310">
        <f t="shared" si="113"/>
        <v>0</v>
      </c>
      <c r="BJ102" s="311">
        <f t="shared" si="114"/>
        <v>0</v>
      </c>
      <c r="BK102" s="311">
        <f t="shared" si="115"/>
        <v>0</v>
      </c>
      <c r="BL102" s="312">
        <f t="shared" si="116"/>
        <v>0</v>
      </c>
      <c r="BM102" s="249"/>
      <c r="BN102" s="313">
        <f t="shared" si="117"/>
        <v>0</v>
      </c>
      <c r="BO102" s="314">
        <f t="shared" si="118"/>
        <v>0</v>
      </c>
      <c r="BP102" s="314">
        <f t="shared" si="119"/>
        <v>0</v>
      </c>
      <c r="BQ102" s="315">
        <f t="shared" si="120"/>
        <v>0</v>
      </c>
      <c r="BR102" s="249"/>
      <c r="BS102" s="307">
        <f t="shared" si="121"/>
        <v>0</v>
      </c>
      <c r="BT102" s="308">
        <f t="shared" si="122"/>
        <v>0</v>
      </c>
      <c r="BU102" s="308">
        <f t="shared" si="123"/>
        <v>0</v>
      </c>
      <c r="BV102" s="309">
        <f t="shared" si="124"/>
        <v>0</v>
      </c>
      <c r="BW102" s="249"/>
      <c r="BX102" s="310">
        <f t="shared" si="125"/>
        <v>0</v>
      </c>
      <c r="BY102" s="311">
        <f t="shared" si="126"/>
        <v>0</v>
      </c>
      <c r="BZ102" s="311">
        <f t="shared" si="127"/>
        <v>0</v>
      </c>
      <c r="CA102" s="312">
        <f t="shared" si="128"/>
        <v>0</v>
      </c>
      <c r="CB102" s="249"/>
      <c r="CC102" s="313">
        <f t="shared" si="129"/>
        <v>0</v>
      </c>
      <c r="CD102" s="314">
        <f t="shared" si="130"/>
        <v>0</v>
      </c>
      <c r="CE102" s="314">
        <f t="shared" si="131"/>
        <v>0</v>
      </c>
      <c r="CF102" s="315">
        <f t="shared" si="132"/>
        <v>0</v>
      </c>
      <c r="CG102" s="249"/>
      <c r="CH102" s="316"/>
    </row>
    <row r="103" spans="1:86" ht="15.75" customHeight="1" x14ac:dyDescent="0.2">
      <c r="A103" s="242" t="str">
        <f>IF(OR(E103&lt;&gt;FALSE,F103&lt;&gt;FALSE,G103&lt;&gt;FALSE),MAX(A$16:A102)+1,"")</f>
        <v/>
      </c>
      <c r="B103" s="284" t="s">
        <v>148</v>
      </c>
      <c r="C103" s="284" t="s">
        <v>42</v>
      </c>
      <c r="D103" s="245" t="s">
        <v>11</v>
      </c>
      <c r="E103" s="285" t="b">
        <v>0</v>
      </c>
      <c r="F103" s="286" t="b">
        <v>0</v>
      </c>
      <c r="G103" s="287" t="b">
        <v>0</v>
      </c>
      <c r="H103" s="249"/>
      <c r="I103" s="288">
        <v>1</v>
      </c>
      <c r="J103" s="249"/>
      <c r="K103" s="289"/>
      <c r="L103" s="290"/>
      <c r="M103" s="290"/>
      <c r="N103" s="290"/>
      <c r="O103" s="290"/>
      <c r="P103" s="290"/>
      <c r="Q103" s="290"/>
      <c r="R103" s="290"/>
      <c r="S103" s="290"/>
      <c r="T103" s="290"/>
      <c r="U103" s="289"/>
      <c r="V103" s="290"/>
      <c r="W103" s="290"/>
      <c r="X103" s="290"/>
      <c r="Y103" s="290"/>
      <c r="Z103" s="290"/>
      <c r="AA103" s="291"/>
      <c r="AB103" s="292"/>
      <c r="AC103" s="293"/>
      <c r="AD103" s="293"/>
      <c r="AE103" s="294"/>
      <c r="AF103" s="249"/>
      <c r="AG103" s="295">
        <f>IF(OR(AND($E103=TRUE,'[1]Pricing Summary'!$B$33=$E$2),AND($F103=TRUE,'[1]Pricing Summary'!$B$33=$F$2),AND($G103=TRUE,'[1]Pricing Summary'!$B$33=$G$2)),1,0)</f>
        <v>0</v>
      </c>
      <c r="AH103" s="295">
        <f t="shared" si="95"/>
        <v>0</v>
      </c>
      <c r="AI103" s="296">
        <f t="shared" si="96"/>
        <v>0</v>
      </c>
      <c r="AJ103" s="297">
        <f t="shared" si="97"/>
        <v>0</v>
      </c>
      <c r="AK103" s="249"/>
      <c r="AL103" s="298">
        <f t="shared" si="98"/>
        <v>0</v>
      </c>
      <c r="AM103" s="221">
        <f t="shared" si="99"/>
        <v>0</v>
      </c>
      <c r="AN103" s="221">
        <f>MROUND((1+'[1]Core Assumptions'!$D$22)*AM103,'[1]Core Assumptions'!$E$23)</f>
        <v>0</v>
      </c>
      <c r="AO103" s="299">
        <f t="shared" si="100"/>
        <v>0</v>
      </c>
      <c r="AP103" s="300">
        <f>IF(AN$7=0,0,MROUND(AN103/AN$7*AP$8/'[1]Core Assumptions'!$D$28,'[1]Core Assumptions'!$E$23))</f>
        <v>0</v>
      </c>
      <c r="AQ103" s="301">
        <f t="shared" si="101"/>
        <v>0</v>
      </c>
      <c r="AR103" s="302">
        <f t="shared" si="102"/>
        <v>0</v>
      </c>
      <c r="AS103" s="249"/>
      <c r="AT103" s="303">
        <f t="shared" si="103"/>
        <v>0</v>
      </c>
      <c r="AU103" s="267"/>
      <c r="AV103" s="295">
        <f>IF(OR(AND($E103=TRUE,'[1]Pricing Summary'!$B$33="Ultimate"),AND($F103=TRUE,'[1]Pricing Summary'!$B$33="Enhanced"),AND($G103=TRUE,'[1]Pricing Summary'!$B$33="Essential")),1,0)</f>
        <v>0</v>
      </c>
      <c r="AW103" s="304">
        <f t="shared" si="104"/>
        <v>0</v>
      </c>
      <c r="AX103" s="305">
        <f t="shared" si="105"/>
        <v>0</v>
      </c>
      <c r="AY103" s="267"/>
      <c r="AZ103" s="304">
        <f t="shared" si="106"/>
        <v>0</v>
      </c>
      <c r="BA103" s="222">
        <f t="shared" si="107"/>
        <v>0</v>
      </c>
      <c r="BB103" s="306">
        <f t="shared" si="108"/>
        <v>0</v>
      </c>
      <c r="BC103" s="272"/>
      <c r="BD103" s="307">
        <f t="shared" si="109"/>
        <v>0</v>
      </c>
      <c r="BE103" s="308">
        <f t="shared" si="110"/>
        <v>0</v>
      </c>
      <c r="BF103" s="308">
        <f t="shared" si="111"/>
        <v>0</v>
      </c>
      <c r="BG103" s="309">
        <f t="shared" si="112"/>
        <v>0</v>
      </c>
      <c r="BH103" s="249"/>
      <c r="BI103" s="310">
        <f t="shared" si="113"/>
        <v>0</v>
      </c>
      <c r="BJ103" s="311">
        <f t="shared" si="114"/>
        <v>0</v>
      </c>
      <c r="BK103" s="311">
        <f t="shared" si="115"/>
        <v>0</v>
      </c>
      <c r="BL103" s="312">
        <f t="shared" si="116"/>
        <v>0</v>
      </c>
      <c r="BM103" s="249"/>
      <c r="BN103" s="313">
        <f t="shared" si="117"/>
        <v>0</v>
      </c>
      <c r="BO103" s="314">
        <f t="shared" si="118"/>
        <v>0</v>
      </c>
      <c r="BP103" s="314">
        <f t="shared" si="119"/>
        <v>0</v>
      </c>
      <c r="BQ103" s="315">
        <f t="shared" si="120"/>
        <v>0</v>
      </c>
      <c r="BR103" s="249"/>
      <c r="BS103" s="307">
        <f t="shared" si="121"/>
        <v>0</v>
      </c>
      <c r="BT103" s="308">
        <f t="shared" si="122"/>
        <v>0</v>
      </c>
      <c r="BU103" s="308">
        <f t="shared" si="123"/>
        <v>0</v>
      </c>
      <c r="BV103" s="309">
        <f t="shared" si="124"/>
        <v>0</v>
      </c>
      <c r="BW103" s="249"/>
      <c r="BX103" s="310">
        <f t="shared" si="125"/>
        <v>0</v>
      </c>
      <c r="BY103" s="311">
        <f t="shared" si="126"/>
        <v>0</v>
      </c>
      <c r="BZ103" s="311">
        <f t="shared" si="127"/>
        <v>0</v>
      </c>
      <c r="CA103" s="312">
        <f t="shared" si="128"/>
        <v>0</v>
      </c>
      <c r="CB103" s="249"/>
      <c r="CC103" s="313">
        <f t="shared" si="129"/>
        <v>0</v>
      </c>
      <c r="CD103" s="314">
        <f t="shared" si="130"/>
        <v>0</v>
      </c>
      <c r="CE103" s="314">
        <f t="shared" si="131"/>
        <v>0</v>
      </c>
      <c r="CF103" s="315">
        <f t="shared" si="132"/>
        <v>0</v>
      </c>
      <c r="CG103" s="249"/>
      <c r="CH103" s="316"/>
    </row>
    <row r="104" spans="1:86" ht="15.75" customHeight="1" x14ac:dyDescent="0.2">
      <c r="A104" s="242" t="str">
        <f>IF(OR(E104&lt;&gt;FALSE,F104&lt;&gt;FALSE,G104&lt;&gt;FALSE),MAX(A$16:A103)+1,"")</f>
        <v/>
      </c>
      <c r="B104" s="284" t="s">
        <v>149</v>
      </c>
      <c r="C104" s="284" t="s">
        <v>42</v>
      </c>
      <c r="D104" s="245" t="s">
        <v>11</v>
      </c>
      <c r="E104" s="285" t="b">
        <v>0</v>
      </c>
      <c r="F104" s="286" t="b">
        <v>0</v>
      </c>
      <c r="G104" s="287" t="b">
        <v>0</v>
      </c>
      <c r="H104" s="249"/>
      <c r="I104" s="288">
        <v>1</v>
      </c>
      <c r="J104" s="249"/>
      <c r="K104" s="289"/>
      <c r="L104" s="290"/>
      <c r="M104" s="290"/>
      <c r="N104" s="290"/>
      <c r="O104" s="290"/>
      <c r="P104" s="290"/>
      <c r="Q104" s="290"/>
      <c r="R104" s="290"/>
      <c r="S104" s="290"/>
      <c r="T104" s="290"/>
      <c r="U104" s="289"/>
      <c r="V104" s="290"/>
      <c r="W104" s="290"/>
      <c r="X104" s="290"/>
      <c r="Y104" s="290"/>
      <c r="Z104" s="290"/>
      <c r="AA104" s="291"/>
      <c r="AB104" s="292"/>
      <c r="AC104" s="293"/>
      <c r="AD104" s="293"/>
      <c r="AE104" s="294"/>
      <c r="AF104" s="249"/>
      <c r="AG104" s="295">
        <f>IF(OR(AND($E104=TRUE,'[1]Pricing Summary'!$B$33=$E$2),AND($F104=TRUE,'[1]Pricing Summary'!$B$33=$F$2),AND($G104=TRUE,'[1]Pricing Summary'!$B$33=$G$2)),1,0)</f>
        <v>0</v>
      </c>
      <c r="AH104" s="295">
        <f t="shared" si="95"/>
        <v>0</v>
      </c>
      <c r="AI104" s="296">
        <f t="shared" si="96"/>
        <v>0</v>
      </c>
      <c r="AJ104" s="297">
        <f t="shared" si="97"/>
        <v>0</v>
      </c>
      <c r="AK104" s="249"/>
      <c r="AL104" s="298">
        <f t="shared" si="98"/>
        <v>0</v>
      </c>
      <c r="AM104" s="221">
        <f t="shared" si="99"/>
        <v>0</v>
      </c>
      <c r="AN104" s="221">
        <f>MROUND((1+'[1]Core Assumptions'!$D$22)*AM104,'[1]Core Assumptions'!$E$23)</f>
        <v>0</v>
      </c>
      <c r="AO104" s="299">
        <f t="shared" si="100"/>
        <v>0</v>
      </c>
      <c r="AP104" s="300">
        <f>IF(AN$7=0,0,MROUND(AN104/AN$7*AP$8/'[1]Core Assumptions'!$D$28,'[1]Core Assumptions'!$E$23))</f>
        <v>0</v>
      </c>
      <c r="AQ104" s="301">
        <f t="shared" si="101"/>
        <v>0</v>
      </c>
      <c r="AR104" s="302">
        <f t="shared" si="102"/>
        <v>0</v>
      </c>
      <c r="AS104" s="249"/>
      <c r="AT104" s="303">
        <f t="shared" si="103"/>
        <v>0</v>
      </c>
      <c r="AU104" s="267"/>
      <c r="AV104" s="295">
        <f>IF(OR(AND($E104=TRUE,'[1]Pricing Summary'!$B$33="Ultimate"),AND($F104=TRUE,'[1]Pricing Summary'!$B$33="Enhanced"),AND($G104=TRUE,'[1]Pricing Summary'!$B$33="Essential")),1,0)</f>
        <v>0</v>
      </c>
      <c r="AW104" s="304">
        <f t="shared" si="104"/>
        <v>0</v>
      </c>
      <c r="AX104" s="305">
        <f t="shared" si="105"/>
        <v>0</v>
      </c>
      <c r="AY104" s="267"/>
      <c r="AZ104" s="304">
        <f t="shared" si="106"/>
        <v>0</v>
      </c>
      <c r="BA104" s="222">
        <f t="shared" si="107"/>
        <v>0</v>
      </c>
      <c r="BB104" s="306">
        <f t="shared" si="108"/>
        <v>0</v>
      </c>
      <c r="BC104" s="272"/>
      <c r="BD104" s="307">
        <f t="shared" si="109"/>
        <v>0</v>
      </c>
      <c r="BE104" s="308">
        <f t="shared" si="110"/>
        <v>0</v>
      </c>
      <c r="BF104" s="308">
        <f t="shared" si="111"/>
        <v>0</v>
      </c>
      <c r="BG104" s="309">
        <f t="shared" si="112"/>
        <v>0</v>
      </c>
      <c r="BH104" s="249"/>
      <c r="BI104" s="310">
        <f t="shared" si="113"/>
        <v>0</v>
      </c>
      <c r="BJ104" s="311">
        <f t="shared" si="114"/>
        <v>0</v>
      </c>
      <c r="BK104" s="311">
        <f t="shared" si="115"/>
        <v>0</v>
      </c>
      <c r="BL104" s="312">
        <f t="shared" si="116"/>
        <v>0</v>
      </c>
      <c r="BM104" s="249"/>
      <c r="BN104" s="313">
        <f t="shared" si="117"/>
        <v>0</v>
      </c>
      <c r="BO104" s="314">
        <f t="shared" si="118"/>
        <v>0</v>
      </c>
      <c r="BP104" s="314">
        <f t="shared" si="119"/>
        <v>0</v>
      </c>
      <c r="BQ104" s="315">
        <f t="shared" si="120"/>
        <v>0</v>
      </c>
      <c r="BR104" s="249"/>
      <c r="BS104" s="307">
        <f t="shared" si="121"/>
        <v>0</v>
      </c>
      <c r="BT104" s="308">
        <f t="shared" si="122"/>
        <v>0</v>
      </c>
      <c r="BU104" s="308">
        <f t="shared" si="123"/>
        <v>0</v>
      </c>
      <c r="BV104" s="309">
        <f t="shared" si="124"/>
        <v>0</v>
      </c>
      <c r="BW104" s="249"/>
      <c r="BX104" s="310">
        <f t="shared" si="125"/>
        <v>0</v>
      </c>
      <c r="BY104" s="311">
        <f t="shared" si="126"/>
        <v>0</v>
      </c>
      <c r="BZ104" s="311">
        <f t="shared" si="127"/>
        <v>0</v>
      </c>
      <c r="CA104" s="312">
        <f t="shared" si="128"/>
        <v>0</v>
      </c>
      <c r="CB104" s="249"/>
      <c r="CC104" s="313">
        <f t="shared" si="129"/>
        <v>0</v>
      </c>
      <c r="CD104" s="314">
        <f t="shared" si="130"/>
        <v>0</v>
      </c>
      <c r="CE104" s="314">
        <f t="shared" si="131"/>
        <v>0</v>
      </c>
      <c r="CF104" s="315">
        <f t="shared" si="132"/>
        <v>0</v>
      </c>
      <c r="CG104" s="249"/>
      <c r="CH104" s="316"/>
    </row>
    <row r="105" spans="1:86" ht="15.75" customHeight="1" thickBot="1" x14ac:dyDescent="0.25">
      <c r="A105" s="242" t="str">
        <f>IF(OR(E105&lt;&gt;FALSE,F105&lt;&gt;FALSE,G105&lt;&gt;FALSE),MAX(A$16:A104)+1,"")</f>
        <v/>
      </c>
      <c r="B105" s="284" t="s">
        <v>150</v>
      </c>
      <c r="C105" s="284" t="s">
        <v>42</v>
      </c>
      <c r="D105" s="245" t="s">
        <v>11</v>
      </c>
      <c r="E105" s="285" t="b">
        <v>0</v>
      </c>
      <c r="F105" s="286" t="b">
        <v>0</v>
      </c>
      <c r="G105" s="287" t="b">
        <v>0</v>
      </c>
      <c r="H105" s="249"/>
      <c r="I105" s="288">
        <v>1</v>
      </c>
      <c r="J105" s="249"/>
      <c r="K105" s="289"/>
      <c r="L105" s="290"/>
      <c r="M105" s="290"/>
      <c r="N105" s="290"/>
      <c r="O105" s="290"/>
      <c r="P105" s="290"/>
      <c r="Q105" s="290"/>
      <c r="R105" s="290"/>
      <c r="S105" s="290"/>
      <c r="T105" s="290"/>
      <c r="U105" s="289"/>
      <c r="V105" s="290"/>
      <c r="W105" s="290"/>
      <c r="X105" s="290"/>
      <c r="Y105" s="290"/>
      <c r="Z105" s="290"/>
      <c r="AA105" s="291"/>
      <c r="AB105" s="292"/>
      <c r="AC105" s="293"/>
      <c r="AD105" s="293"/>
      <c r="AE105" s="294"/>
      <c r="AF105" s="249"/>
      <c r="AG105" s="295">
        <f>IF(OR(AND($E105=TRUE,'[1]Pricing Summary'!$B$33=$E$2),AND($F105=TRUE,'[1]Pricing Summary'!$B$33=$F$2),AND($G105=TRUE,'[1]Pricing Summary'!$B$33=$G$2)),1,0)</f>
        <v>0</v>
      </c>
      <c r="AH105" s="295">
        <f t="shared" si="95"/>
        <v>0</v>
      </c>
      <c r="AI105" s="296">
        <f t="shared" si="96"/>
        <v>0</v>
      </c>
      <c r="AJ105" s="297">
        <f t="shared" si="97"/>
        <v>0</v>
      </c>
      <c r="AK105" s="249"/>
      <c r="AL105" s="298">
        <f t="shared" si="98"/>
        <v>0</v>
      </c>
      <c r="AM105" s="221">
        <f t="shared" si="99"/>
        <v>0</v>
      </c>
      <c r="AN105" s="221">
        <f>MROUND((1+'[1]Core Assumptions'!$D$22)*AM105,'[1]Core Assumptions'!$E$23)</f>
        <v>0</v>
      </c>
      <c r="AO105" s="299">
        <f t="shared" si="100"/>
        <v>0</v>
      </c>
      <c r="AP105" s="300">
        <f>IF(AN$7=0,0,MROUND(AN105/AN$7*AP$8/'[1]Core Assumptions'!$D$28,'[1]Core Assumptions'!$E$23))</f>
        <v>0</v>
      </c>
      <c r="AQ105" s="301">
        <f t="shared" si="101"/>
        <v>0</v>
      </c>
      <c r="AR105" s="302">
        <f t="shared" si="102"/>
        <v>0</v>
      </c>
      <c r="AS105" s="249"/>
      <c r="AT105" s="303">
        <f t="shared" si="103"/>
        <v>0</v>
      </c>
      <c r="AU105" s="267"/>
      <c r="AV105" s="295">
        <f>IF(OR(AND($E105=TRUE,'[1]Pricing Summary'!$B$33="Ultimate"),AND($F105=TRUE,'[1]Pricing Summary'!$B$33="Enhanced"),AND($G105=TRUE,'[1]Pricing Summary'!$B$33="Essential")),1,0)</f>
        <v>0</v>
      </c>
      <c r="AW105" s="304">
        <f t="shared" si="104"/>
        <v>0</v>
      </c>
      <c r="AX105" s="305">
        <f t="shared" si="105"/>
        <v>0</v>
      </c>
      <c r="AY105" s="267"/>
      <c r="AZ105" s="304">
        <f t="shared" si="106"/>
        <v>0</v>
      </c>
      <c r="BA105" s="222">
        <f t="shared" si="107"/>
        <v>0</v>
      </c>
      <c r="BB105" s="306">
        <f t="shared" si="108"/>
        <v>0</v>
      </c>
      <c r="BC105" s="272"/>
      <c r="BD105" s="307">
        <f t="shared" si="109"/>
        <v>0</v>
      </c>
      <c r="BE105" s="308">
        <f t="shared" si="110"/>
        <v>0</v>
      </c>
      <c r="BF105" s="308">
        <f t="shared" si="111"/>
        <v>0</v>
      </c>
      <c r="BG105" s="309">
        <f t="shared" si="112"/>
        <v>0</v>
      </c>
      <c r="BH105" s="249"/>
      <c r="BI105" s="310">
        <f t="shared" si="113"/>
        <v>0</v>
      </c>
      <c r="BJ105" s="311">
        <f t="shared" si="114"/>
        <v>0</v>
      </c>
      <c r="BK105" s="311">
        <f t="shared" si="115"/>
        <v>0</v>
      </c>
      <c r="BL105" s="312">
        <f t="shared" si="116"/>
        <v>0</v>
      </c>
      <c r="BM105" s="249"/>
      <c r="BN105" s="313">
        <f t="shared" si="117"/>
        <v>0</v>
      </c>
      <c r="BO105" s="314">
        <f t="shared" si="118"/>
        <v>0</v>
      </c>
      <c r="BP105" s="314">
        <f t="shared" si="119"/>
        <v>0</v>
      </c>
      <c r="BQ105" s="315">
        <f t="shared" si="120"/>
        <v>0</v>
      </c>
      <c r="BR105" s="249"/>
      <c r="BS105" s="307">
        <f t="shared" si="121"/>
        <v>0</v>
      </c>
      <c r="BT105" s="308">
        <f t="shared" si="122"/>
        <v>0</v>
      </c>
      <c r="BU105" s="308">
        <f t="shared" si="123"/>
        <v>0</v>
      </c>
      <c r="BV105" s="309">
        <f t="shared" si="124"/>
        <v>0</v>
      </c>
      <c r="BW105" s="249"/>
      <c r="BX105" s="310">
        <f t="shared" si="125"/>
        <v>0</v>
      </c>
      <c r="BY105" s="311">
        <f t="shared" si="126"/>
        <v>0</v>
      </c>
      <c r="BZ105" s="311">
        <f t="shared" si="127"/>
        <v>0</v>
      </c>
      <c r="CA105" s="312">
        <f t="shared" si="128"/>
        <v>0</v>
      </c>
      <c r="CB105" s="249"/>
      <c r="CC105" s="313">
        <f t="shared" si="129"/>
        <v>0</v>
      </c>
      <c r="CD105" s="314">
        <f t="shared" si="130"/>
        <v>0</v>
      </c>
      <c r="CE105" s="314">
        <f t="shared" si="131"/>
        <v>0</v>
      </c>
      <c r="CF105" s="315">
        <f t="shared" si="132"/>
        <v>0</v>
      </c>
      <c r="CG105" s="249"/>
      <c r="CH105" s="316"/>
    </row>
    <row r="106" spans="1:86" ht="15.75" hidden="1" customHeight="1" outlineLevel="1" x14ac:dyDescent="0.2">
      <c r="A106" s="242" t="str">
        <f>IF(OR(E106&lt;&gt;FALSE,F106&lt;&gt;FALSE,G106&lt;&gt;FALSE),MAX(A$16:A105)+1,"")</f>
        <v/>
      </c>
      <c r="B106" s="284"/>
      <c r="C106" s="284" t="s">
        <v>42</v>
      </c>
      <c r="D106" s="245" t="s">
        <v>11</v>
      </c>
      <c r="E106" s="285" t="b">
        <v>0</v>
      </c>
      <c r="F106" s="286" t="b">
        <v>0</v>
      </c>
      <c r="G106" s="287" t="b">
        <v>0</v>
      </c>
      <c r="H106" s="249"/>
      <c r="I106" s="288">
        <v>1</v>
      </c>
      <c r="J106" s="249"/>
      <c r="K106" s="289"/>
      <c r="L106" s="290"/>
      <c r="M106" s="290"/>
      <c r="N106" s="290"/>
      <c r="O106" s="290"/>
      <c r="P106" s="290"/>
      <c r="Q106" s="290"/>
      <c r="R106" s="290"/>
      <c r="S106" s="290"/>
      <c r="T106" s="290"/>
      <c r="U106" s="289"/>
      <c r="V106" s="290"/>
      <c r="W106" s="290"/>
      <c r="X106" s="290"/>
      <c r="Y106" s="290"/>
      <c r="Z106" s="290"/>
      <c r="AA106" s="291"/>
      <c r="AB106" s="292"/>
      <c r="AC106" s="293"/>
      <c r="AD106" s="293"/>
      <c r="AE106" s="294"/>
      <c r="AF106" s="249"/>
      <c r="AG106" s="295">
        <f>IF(OR(AND($E106=TRUE,'[1]Pricing Summary'!$B$33=$E$2),AND($F106=TRUE,'[1]Pricing Summary'!$B$33=$F$2),AND($G106=TRUE,'[1]Pricing Summary'!$B$33=$G$2)),1,0)</f>
        <v>0</v>
      </c>
      <c r="AH106" s="295">
        <f t="shared" si="95"/>
        <v>0</v>
      </c>
      <c r="AI106" s="296">
        <f t="shared" si="96"/>
        <v>0</v>
      </c>
      <c r="AJ106" s="297">
        <f t="shared" si="97"/>
        <v>0</v>
      </c>
      <c r="AK106" s="249"/>
      <c r="AL106" s="298">
        <f t="shared" si="98"/>
        <v>0</v>
      </c>
      <c r="AM106" s="221">
        <f t="shared" si="99"/>
        <v>0</v>
      </c>
      <c r="AN106" s="221">
        <f>MROUND((1+'[1]Core Assumptions'!$D$22)*AM106,'[1]Core Assumptions'!$E$23)</f>
        <v>0</v>
      </c>
      <c r="AO106" s="299">
        <f t="shared" si="100"/>
        <v>0</v>
      </c>
      <c r="AP106" s="300">
        <f>IF(AN$7=0,0,MROUND(AN106/AN$7*AP$8/'[1]Core Assumptions'!$D$28,'[1]Core Assumptions'!$E$23))</f>
        <v>0</v>
      </c>
      <c r="AQ106" s="301">
        <f t="shared" si="101"/>
        <v>0</v>
      </c>
      <c r="AR106" s="302">
        <f t="shared" si="102"/>
        <v>0</v>
      </c>
      <c r="AS106" s="249"/>
      <c r="AT106" s="303">
        <f t="shared" si="103"/>
        <v>0</v>
      </c>
      <c r="AU106" s="267"/>
      <c r="AV106" s="295">
        <f>IF(OR(AND($E106=TRUE,'[1]Pricing Summary'!$B$33="Ultimate"),AND($F106=TRUE,'[1]Pricing Summary'!$B$33="Enhanced"),AND($G106=TRUE,'[1]Pricing Summary'!$B$33="Essential")),1,0)</f>
        <v>0</v>
      </c>
      <c r="AW106" s="304">
        <f t="shared" si="104"/>
        <v>0</v>
      </c>
      <c r="AX106" s="305">
        <f t="shared" si="105"/>
        <v>0</v>
      </c>
      <c r="AY106" s="267"/>
      <c r="AZ106" s="304">
        <f t="shared" si="106"/>
        <v>0</v>
      </c>
      <c r="BA106" s="222">
        <f t="shared" si="107"/>
        <v>0</v>
      </c>
      <c r="BB106" s="306">
        <f t="shared" si="108"/>
        <v>0</v>
      </c>
      <c r="BC106" s="272"/>
      <c r="BD106" s="307">
        <f t="shared" si="109"/>
        <v>0</v>
      </c>
      <c r="BE106" s="308">
        <f t="shared" si="110"/>
        <v>0</v>
      </c>
      <c r="BF106" s="308">
        <f t="shared" si="111"/>
        <v>0</v>
      </c>
      <c r="BG106" s="309">
        <f t="shared" si="112"/>
        <v>0</v>
      </c>
      <c r="BH106" s="249"/>
      <c r="BI106" s="310">
        <f t="shared" si="113"/>
        <v>0</v>
      </c>
      <c r="BJ106" s="311">
        <f t="shared" si="114"/>
        <v>0</v>
      </c>
      <c r="BK106" s="311">
        <f t="shared" si="115"/>
        <v>0</v>
      </c>
      <c r="BL106" s="312">
        <f t="shared" si="116"/>
        <v>0</v>
      </c>
      <c r="BM106" s="249"/>
      <c r="BN106" s="313">
        <f t="shared" si="117"/>
        <v>0</v>
      </c>
      <c r="BO106" s="314">
        <f t="shared" si="118"/>
        <v>0</v>
      </c>
      <c r="BP106" s="314">
        <f t="shared" si="119"/>
        <v>0</v>
      </c>
      <c r="BQ106" s="315">
        <f t="shared" si="120"/>
        <v>0</v>
      </c>
      <c r="BR106" s="249"/>
      <c r="BS106" s="307">
        <f t="shared" si="121"/>
        <v>0</v>
      </c>
      <c r="BT106" s="308">
        <f t="shared" si="122"/>
        <v>0</v>
      </c>
      <c r="BU106" s="308">
        <f t="shared" si="123"/>
        <v>0</v>
      </c>
      <c r="BV106" s="309">
        <f t="shared" si="124"/>
        <v>0</v>
      </c>
      <c r="BW106" s="249"/>
      <c r="BX106" s="310">
        <f t="shared" si="125"/>
        <v>0</v>
      </c>
      <c r="BY106" s="311">
        <f t="shared" si="126"/>
        <v>0</v>
      </c>
      <c r="BZ106" s="311">
        <f t="shared" si="127"/>
        <v>0</v>
      </c>
      <c r="CA106" s="312">
        <f t="shared" si="128"/>
        <v>0</v>
      </c>
      <c r="CB106" s="249"/>
      <c r="CC106" s="313">
        <f t="shared" si="129"/>
        <v>0</v>
      </c>
      <c r="CD106" s="314">
        <f t="shared" si="130"/>
        <v>0</v>
      </c>
      <c r="CE106" s="314">
        <f t="shared" si="131"/>
        <v>0</v>
      </c>
      <c r="CF106" s="315">
        <f t="shared" si="132"/>
        <v>0</v>
      </c>
      <c r="CG106" s="249"/>
      <c r="CH106" s="316"/>
    </row>
    <row r="107" spans="1:86" ht="15.75" hidden="1" customHeight="1" outlineLevel="1" x14ac:dyDescent="0.2">
      <c r="A107" s="242" t="str">
        <f>IF(OR(E107&lt;&gt;FALSE,F107&lt;&gt;FALSE,G107&lt;&gt;FALSE),MAX(A$16:A106)+1,"")</f>
        <v/>
      </c>
      <c r="B107" s="284"/>
      <c r="C107" s="284" t="s">
        <v>42</v>
      </c>
      <c r="D107" s="245" t="s">
        <v>11</v>
      </c>
      <c r="E107" s="285" t="b">
        <v>0</v>
      </c>
      <c r="F107" s="286" t="b">
        <v>0</v>
      </c>
      <c r="G107" s="287" t="b">
        <v>0</v>
      </c>
      <c r="H107" s="249"/>
      <c r="I107" s="288">
        <v>1</v>
      </c>
      <c r="J107" s="249"/>
      <c r="K107" s="289"/>
      <c r="L107" s="290"/>
      <c r="M107" s="290"/>
      <c r="N107" s="290"/>
      <c r="O107" s="290"/>
      <c r="P107" s="290"/>
      <c r="Q107" s="290"/>
      <c r="R107" s="290"/>
      <c r="S107" s="290"/>
      <c r="T107" s="290"/>
      <c r="U107" s="289"/>
      <c r="V107" s="290"/>
      <c r="W107" s="290"/>
      <c r="X107" s="290"/>
      <c r="Y107" s="290"/>
      <c r="Z107" s="290"/>
      <c r="AA107" s="291"/>
      <c r="AB107" s="292"/>
      <c r="AC107" s="293"/>
      <c r="AD107" s="293"/>
      <c r="AE107" s="294"/>
      <c r="AF107" s="249"/>
      <c r="AG107" s="295">
        <f>IF(OR(AND($E107=TRUE,'[1]Pricing Summary'!$B$33=$E$2),AND($F107=TRUE,'[1]Pricing Summary'!$B$33=$F$2),AND($G107=TRUE,'[1]Pricing Summary'!$B$33=$G$2)),1,0)</f>
        <v>0</v>
      </c>
      <c r="AH107" s="295">
        <f t="shared" si="95"/>
        <v>0</v>
      </c>
      <c r="AI107" s="296">
        <f t="shared" si="96"/>
        <v>0</v>
      </c>
      <c r="AJ107" s="297">
        <f t="shared" si="97"/>
        <v>0</v>
      </c>
      <c r="AK107" s="249"/>
      <c r="AL107" s="298">
        <f t="shared" si="98"/>
        <v>0</v>
      </c>
      <c r="AM107" s="221">
        <f t="shared" si="99"/>
        <v>0</v>
      </c>
      <c r="AN107" s="221">
        <f>MROUND((1+'[1]Core Assumptions'!$D$22)*AM107,'[1]Core Assumptions'!$E$23)</f>
        <v>0</v>
      </c>
      <c r="AO107" s="299">
        <f t="shared" si="100"/>
        <v>0</v>
      </c>
      <c r="AP107" s="300">
        <f>IF(AN$7=0,0,MROUND(AN107/AN$7*AP$8/'[1]Core Assumptions'!$D$28,'[1]Core Assumptions'!$E$23))</f>
        <v>0</v>
      </c>
      <c r="AQ107" s="301">
        <f t="shared" si="101"/>
        <v>0</v>
      </c>
      <c r="AR107" s="302">
        <f t="shared" si="102"/>
        <v>0</v>
      </c>
      <c r="AS107" s="249"/>
      <c r="AT107" s="303">
        <f t="shared" si="103"/>
        <v>0</v>
      </c>
      <c r="AU107" s="267"/>
      <c r="AV107" s="295">
        <f>IF(OR(AND($E107=TRUE,'[1]Pricing Summary'!$B$33="Ultimate"),AND($F107=TRUE,'[1]Pricing Summary'!$B$33="Enhanced"),AND($G107=TRUE,'[1]Pricing Summary'!$B$33="Essential")),1,0)</f>
        <v>0</v>
      </c>
      <c r="AW107" s="304">
        <f t="shared" si="104"/>
        <v>0</v>
      </c>
      <c r="AX107" s="305">
        <f t="shared" si="105"/>
        <v>0</v>
      </c>
      <c r="AY107" s="267"/>
      <c r="AZ107" s="304">
        <f t="shared" si="106"/>
        <v>0</v>
      </c>
      <c r="BA107" s="222">
        <f t="shared" si="107"/>
        <v>0</v>
      </c>
      <c r="BB107" s="306">
        <f t="shared" si="108"/>
        <v>0</v>
      </c>
      <c r="BC107" s="272"/>
      <c r="BD107" s="307">
        <f t="shared" si="109"/>
        <v>0</v>
      </c>
      <c r="BE107" s="308">
        <f t="shared" si="110"/>
        <v>0</v>
      </c>
      <c r="BF107" s="308">
        <f t="shared" si="111"/>
        <v>0</v>
      </c>
      <c r="BG107" s="309">
        <f t="shared" si="112"/>
        <v>0</v>
      </c>
      <c r="BH107" s="249"/>
      <c r="BI107" s="310">
        <f t="shared" si="113"/>
        <v>0</v>
      </c>
      <c r="BJ107" s="311">
        <f t="shared" si="114"/>
        <v>0</v>
      </c>
      <c r="BK107" s="311">
        <f t="shared" si="115"/>
        <v>0</v>
      </c>
      <c r="BL107" s="312">
        <f t="shared" si="116"/>
        <v>0</v>
      </c>
      <c r="BM107" s="249"/>
      <c r="BN107" s="313">
        <f t="shared" si="117"/>
        <v>0</v>
      </c>
      <c r="BO107" s="314">
        <f t="shared" si="118"/>
        <v>0</v>
      </c>
      <c r="BP107" s="314">
        <f t="shared" si="119"/>
        <v>0</v>
      </c>
      <c r="BQ107" s="315">
        <f t="shared" si="120"/>
        <v>0</v>
      </c>
      <c r="BR107" s="249"/>
      <c r="BS107" s="307">
        <f t="shared" si="121"/>
        <v>0</v>
      </c>
      <c r="BT107" s="308">
        <f t="shared" si="122"/>
        <v>0</v>
      </c>
      <c r="BU107" s="308">
        <f t="shared" si="123"/>
        <v>0</v>
      </c>
      <c r="BV107" s="309">
        <f t="shared" si="124"/>
        <v>0</v>
      </c>
      <c r="BW107" s="249"/>
      <c r="BX107" s="310">
        <f t="shared" si="125"/>
        <v>0</v>
      </c>
      <c r="BY107" s="311">
        <f t="shared" si="126"/>
        <v>0</v>
      </c>
      <c r="BZ107" s="311">
        <f t="shared" si="127"/>
        <v>0</v>
      </c>
      <c r="CA107" s="312">
        <f t="shared" si="128"/>
        <v>0</v>
      </c>
      <c r="CB107" s="249"/>
      <c r="CC107" s="313">
        <f t="shared" si="129"/>
        <v>0</v>
      </c>
      <c r="CD107" s="314">
        <f t="shared" si="130"/>
        <v>0</v>
      </c>
      <c r="CE107" s="314">
        <f t="shared" si="131"/>
        <v>0</v>
      </c>
      <c r="CF107" s="315">
        <f t="shared" si="132"/>
        <v>0</v>
      </c>
      <c r="CG107" s="249"/>
      <c r="CH107" s="316"/>
    </row>
    <row r="108" spans="1:86" ht="15.75" hidden="1" customHeight="1" outlineLevel="1" x14ac:dyDescent="0.2">
      <c r="A108" s="242" t="str">
        <f>IF(OR(E108&lt;&gt;FALSE,F108&lt;&gt;FALSE,G108&lt;&gt;FALSE),MAX(A$16:A107)+1,"")</f>
        <v/>
      </c>
      <c r="B108" s="284"/>
      <c r="C108" s="284" t="s">
        <v>42</v>
      </c>
      <c r="D108" s="245" t="s">
        <v>11</v>
      </c>
      <c r="E108" s="285" t="b">
        <v>0</v>
      </c>
      <c r="F108" s="286" t="b">
        <v>0</v>
      </c>
      <c r="G108" s="287" t="b">
        <v>0</v>
      </c>
      <c r="H108" s="249"/>
      <c r="I108" s="288">
        <v>1</v>
      </c>
      <c r="J108" s="249"/>
      <c r="K108" s="289"/>
      <c r="L108" s="290"/>
      <c r="M108" s="290"/>
      <c r="N108" s="290"/>
      <c r="O108" s="290"/>
      <c r="P108" s="290"/>
      <c r="Q108" s="290"/>
      <c r="R108" s="290"/>
      <c r="S108" s="290"/>
      <c r="T108" s="290"/>
      <c r="U108" s="289"/>
      <c r="V108" s="290"/>
      <c r="W108" s="290"/>
      <c r="X108" s="290"/>
      <c r="Y108" s="290"/>
      <c r="Z108" s="290"/>
      <c r="AA108" s="291"/>
      <c r="AB108" s="292"/>
      <c r="AC108" s="293"/>
      <c r="AD108" s="293"/>
      <c r="AE108" s="294"/>
      <c r="AF108" s="249"/>
      <c r="AG108" s="295">
        <f>IF(OR(AND($E108=TRUE,'[1]Pricing Summary'!$B$33=$E$2),AND($F108=TRUE,'[1]Pricing Summary'!$B$33=$F$2),AND($G108=TRUE,'[1]Pricing Summary'!$B$33=$G$2)),1,0)</f>
        <v>0</v>
      </c>
      <c r="AH108" s="295">
        <f t="shared" si="95"/>
        <v>0</v>
      </c>
      <c r="AI108" s="296">
        <f t="shared" si="96"/>
        <v>0</v>
      </c>
      <c r="AJ108" s="297">
        <f t="shared" si="97"/>
        <v>0</v>
      </c>
      <c r="AK108" s="249"/>
      <c r="AL108" s="298">
        <f t="shared" si="98"/>
        <v>0</v>
      </c>
      <c r="AM108" s="221">
        <f t="shared" si="99"/>
        <v>0</v>
      </c>
      <c r="AN108" s="221">
        <f>MROUND((1+'[1]Core Assumptions'!$D$22)*AM108,'[1]Core Assumptions'!$E$23)</f>
        <v>0</v>
      </c>
      <c r="AO108" s="299">
        <f t="shared" si="100"/>
        <v>0</v>
      </c>
      <c r="AP108" s="300">
        <f>IF(AN$7=0,0,MROUND(AN108/AN$7*AP$8/'[1]Core Assumptions'!$D$28,'[1]Core Assumptions'!$E$23))</f>
        <v>0</v>
      </c>
      <c r="AQ108" s="301">
        <f t="shared" si="101"/>
        <v>0</v>
      </c>
      <c r="AR108" s="302">
        <f t="shared" si="102"/>
        <v>0</v>
      </c>
      <c r="AS108" s="249"/>
      <c r="AT108" s="303">
        <f t="shared" si="103"/>
        <v>0</v>
      </c>
      <c r="AU108" s="267"/>
      <c r="AV108" s="295">
        <f>IF(OR(AND($E108=TRUE,'[1]Pricing Summary'!$B$33="Ultimate"),AND($F108=TRUE,'[1]Pricing Summary'!$B$33="Enhanced"),AND($G108=TRUE,'[1]Pricing Summary'!$B$33="Essential")),1,0)</f>
        <v>0</v>
      </c>
      <c r="AW108" s="304">
        <f t="shared" si="104"/>
        <v>0</v>
      </c>
      <c r="AX108" s="305">
        <f t="shared" si="105"/>
        <v>0</v>
      </c>
      <c r="AY108" s="267"/>
      <c r="AZ108" s="304">
        <f t="shared" si="106"/>
        <v>0</v>
      </c>
      <c r="BA108" s="222">
        <f t="shared" si="107"/>
        <v>0</v>
      </c>
      <c r="BB108" s="306">
        <f t="shared" si="108"/>
        <v>0</v>
      </c>
      <c r="BC108" s="272"/>
      <c r="BD108" s="307">
        <f t="shared" si="109"/>
        <v>0</v>
      </c>
      <c r="BE108" s="308">
        <f t="shared" si="110"/>
        <v>0</v>
      </c>
      <c r="BF108" s="308">
        <f t="shared" si="111"/>
        <v>0</v>
      </c>
      <c r="BG108" s="309">
        <f t="shared" si="112"/>
        <v>0</v>
      </c>
      <c r="BH108" s="249"/>
      <c r="BI108" s="310">
        <f t="shared" si="113"/>
        <v>0</v>
      </c>
      <c r="BJ108" s="311">
        <f t="shared" si="114"/>
        <v>0</v>
      </c>
      <c r="BK108" s="311">
        <f t="shared" si="115"/>
        <v>0</v>
      </c>
      <c r="BL108" s="312">
        <f t="shared" si="116"/>
        <v>0</v>
      </c>
      <c r="BM108" s="249"/>
      <c r="BN108" s="313">
        <f t="shared" si="117"/>
        <v>0</v>
      </c>
      <c r="BO108" s="314">
        <f t="shared" si="118"/>
        <v>0</v>
      </c>
      <c r="BP108" s="314">
        <f t="shared" si="119"/>
        <v>0</v>
      </c>
      <c r="BQ108" s="315">
        <f t="shared" si="120"/>
        <v>0</v>
      </c>
      <c r="BR108" s="249"/>
      <c r="BS108" s="307">
        <f t="shared" si="121"/>
        <v>0</v>
      </c>
      <c r="BT108" s="308">
        <f t="shared" si="122"/>
        <v>0</v>
      </c>
      <c r="BU108" s="308">
        <f t="shared" si="123"/>
        <v>0</v>
      </c>
      <c r="BV108" s="309">
        <f t="shared" si="124"/>
        <v>0</v>
      </c>
      <c r="BW108" s="249"/>
      <c r="BX108" s="310">
        <f t="shared" si="125"/>
        <v>0</v>
      </c>
      <c r="BY108" s="311">
        <f t="shared" si="126"/>
        <v>0</v>
      </c>
      <c r="BZ108" s="311">
        <f t="shared" si="127"/>
        <v>0</v>
      </c>
      <c r="CA108" s="312">
        <f t="shared" si="128"/>
        <v>0</v>
      </c>
      <c r="CB108" s="249"/>
      <c r="CC108" s="313">
        <f t="shared" si="129"/>
        <v>0</v>
      </c>
      <c r="CD108" s="314">
        <f t="shared" si="130"/>
        <v>0</v>
      </c>
      <c r="CE108" s="314">
        <f t="shared" si="131"/>
        <v>0</v>
      </c>
      <c r="CF108" s="315">
        <f t="shared" si="132"/>
        <v>0</v>
      </c>
      <c r="CG108" s="249"/>
      <c r="CH108" s="316"/>
    </row>
    <row r="109" spans="1:86" ht="15.75" hidden="1" customHeight="1" outlineLevel="1" x14ac:dyDescent="0.2">
      <c r="A109" s="242" t="str">
        <f>IF(OR(E109&lt;&gt;FALSE,F109&lt;&gt;FALSE,G109&lt;&gt;FALSE),MAX(A$16:A108)+1,"")</f>
        <v/>
      </c>
      <c r="B109" s="284"/>
      <c r="C109" s="284" t="s">
        <v>42</v>
      </c>
      <c r="D109" s="245" t="s">
        <v>11</v>
      </c>
      <c r="E109" s="285" t="b">
        <v>0</v>
      </c>
      <c r="F109" s="286" t="b">
        <v>0</v>
      </c>
      <c r="G109" s="287" t="b">
        <v>0</v>
      </c>
      <c r="H109" s="249"/>
      <c r="I109" s="288">
        <v>1</v>
      </c>
      <c r="J109" s="249"/>
      <c r="K109" s="289"/>
      <c r="L109" s="290"/>
      <c r="M109" s="290"/>
      <c r="N109" s="290"/>
      <c r="O109" s="290"/>
      <c r="P109" s="290"/>
      <c r="Q109" s="290"/>
      <c r="R109" s="290"/>
      <c r="S109" s="290"/>
      <c r="T109" s="290"/>
      <c r="U109" s="289"/>
      <c r="V109" s="290"/>
      <c r="W109" s="290"/>
      <c r="X109" s="290"/>
      <c r="Y109" s="290"/>
      <c r="Z109" s="290"/>
      <c r="AA109" s="291"/>
      <c r="AB109" s="292"/>
      <c r="AC109" s="293"/>
      <c r="AD109" s="293"/>
      <c r="AE109" s="294"/>
      <c r="AF109" s="249"/>
      <c r="AG109" s="295">
        <f>IF(OR(AND($E109=TRUE,'[1]Pricing Summary'!$B$33=$E$2),AND($F109=TRUE,'[1]Pricing Summary'!$B$33=$F$2),AND($G109=TRUE,'[1]Pricing Summary'!$B$33=$G$2)),1,0)</f>
        <v>0</v>
      </c>
      <c r="AH109" s="295">
        <f t="shared" si="95"/>
        <v>0</v>
      </c>
      <c r="AI109" s="296">
        <f t="shared" si="96"/>
        <v>0</v>
      </c>
      <c r="AJ109" s="297">
        <f t="shared" si="97"/>
        <v>0</v>
      </c>
      <c r="AK109" s="249"/>
      <c r="AL109" s="298">
        <f t="shared" si="98"/>
        <v>0</v>
      </c>
      <c r="AM109" s="221">
        <f t="shared" si="99"/>
        <v>0</v>
      </c>
      <c r="AN109" s="221">
        <f>MROUND((1+'[1]Core Assumptions'!$D$22)*AM109,'[1]Core Assumptions'!$E$23)</f>
        <v>0</v>
      </c>
      <c r="AO109" s="299">
        <f t="shared" si="100"/>
        <v>0</v>
      </c>
      <c r="AP109" s="300">
        <f>IF(AN$7=0,0,MROUND(AN109/AN$7*AP$8/'[1]Core Assumptions'!$D$28,'[1]Core Assumptions'!$E$23))</f>
        <v>0</v>
      </c>
      <c r="AQ109" s="301">
        <f t="shared" si="101"/>
        <v>0</v>
      </c>
      <c r="AR109" s="302">
        <f t="shared" si="102"/>
        <v>0</v>
      </c>
      <c r="AS109" s="249"/>
      <c r="AT109" s="303">
        <f t="shared" si="103"/>
        <v>0</v>
      </c>
      <c r="AU109" s="267"/>
      <c r="AV109" s="295">
        <f>IF(OR(AND($E109=TRUE,'[1]Pricing Summary'!$B$33="Ultimate"),AND($F109=TRUE,'[1]Pricing Summary'!$B$33="Enhanced"),AND($G109=TRUE,'[1]Pricing Summary'!$B$33="Essential")),1,0)</f>
        <v>0</v>
      </c>
      <c r="AW109" s="304">
        <f t="shared" si="104"/>
        <v>0</v>
      </c>
      <c r="AX109" s="305">
        <f t="shared" si="105"/>
        <v>0</v>
      </c>
      <c r="AY109" s="267"/>
      <c r="AZ109" s="304">
        <f t="shared" si="106"/>
        <v>0</v>
      </c>
      <c r="BA109" s="222">
        <f t="shared" si="107"/>
        <v>0</v>
      </c>
      <c r="BB109" s="306">
        <f t="shared" si="108"/>
        <v>0</v>
      </c>
      <c r="BC109" s="272"/>
      <c r="BD109" s="307">
        <f t="shared" si="109"/>
        <v>0</v>
      </c>
      <c r="BE109" s="308">
        <f t="shared" si="110"/>
        <v>0</v>
      </c>
      <c r="BF109" s="308">
        <f t="shared" si="111"/>
        <v>0</v>
      </c>
      <c r="BG109" s="309">
        <f t="shared" si="112"/>
        <v>0</v>
      </c>
      <c r="BH109" s="249"/>
      <c r="BI109" s="310">
        <f t="shared" si="113"/>
        <v>0</v>
      </c>
      <c r="BJ109" s="311">
        <f t="shared" si="114"/>
        <v>0</v>
      </c>
      <c r="BK109" s="311">
        <f t="shared" si="115"/>
        <v>0</v>
      </c>
      <c r="BL109" s="312">
        <f t="shared" si="116"/>
        <v>0</v>
      </c>
      <c r="BM109" s="249"/>
      <c r="BN109" s="313">
        <f t="shared" si="117"/>
        <v>0</v>
      </c>
      <c r="BO109" s="314">
        <f t="shared" si="118"/>
        <v>0</v>
      </c>
      <c r="BP109" s="314">
        <f t="shared" si="119"/>
        <v>0</v>
      </c>
      <c r="BQ109" s="315">
        <f t="shared" si="120"/>
        <v>0</v>
      </c>
      <c r="BR109" s="249"/>
      <c r="BS109" s="307">
        <f t="shared" si="121"/>
        <v>0</v>
      </c>
      <c r="BT109" s="308">
        <f t="shared" si="122"/>
        <v>0</v>
      </c>
      <c r="BU109" s="308">
        <f t="shared" si="123"/>
        <v>0</v>
      </c>
      <c r="BV109" s="309">
        <f t="shared" si="124"/>
        <v>0</v>
      </c>
      <c r="BW109" s="249"/>
      <c r="BX109" s="310">
        <f t="shared" si="125"/>
        <v>0</v>
      </c>
      <c r="BY109" s="311">
        <f t="shared" si="126"/>
        <v>0</v>
      </c>
      <c r="BZ109" s="311">
        <f t="shared" si="127"/>
        <v>0</v>
      </c>
      <c r="CA109" s="312">
        <f t="shared" si="128"/>
        <v>0</v>
      </c>
      <c r="CB109" s="249"/>
      <c r="CC109" s="313">
        <f t="shared" si="129"/>
        <v>0</v>
      </c>
      <c r="CD109" s="314">
        <f t="shared" si="130"/>
        <v>0</v>
      </c>
      <c r="CE109" s="314">
        <f t="shared" si="131"/>
        <v>0</v>
      </c>
      <c r="CF109" s="315">
        <f t="shared" si="132"/>
        <v>0</v>
      </c>
      <c r="CG109" s="249"/>
      <c r="CH109" s="316"/>
    </row>
    <row r="110" spans="1:86" ht="15.75" hidden="1" customHeight="1" outlineLevel="1" x14ac:dyDescent="0.2">
      <c r="A110" s="242" t="str">
        <f>IF(OR(E110&lt;&gt;FALSE,F110&lt;&gt;FALSE,G110&lt;&gt;FALSE),MAX(A$16:A109)+1,"")</f>
        <v/>
      </c>
      <c r="B110" s="284"/>
      <c r="C110" s="284" t="s">
        <v>42</v>
      </c>
      <c r="D110" s="245" t="s">
        <v>11</v>
      </c>
      <c r="E110" s="285" t="b">
        <v>0</v>
      </c>
      <c r="F110" s="286" t="b">
        <v>0</v>
      </c>
      <c r="G110" s="287" t="b">
        <v>0</v>
      </c>
      <c r="H110" s="249"/>
      <c r="I110" s="288">
        <v>1</v>
      </c>
      <c r="J110" s="249"/>
      <c r="K110" s="289"/>
      <c r="L110" s="290"/>
      <c r="M110" s="290"/>
      <c r="N110" s="290"/>
      <c r="O110" s="290"/>
      <c r="P110" s="290"/>
      <c r="Q110" s="290"/>
      <c r="R110" s="290"/>
      <c r="S110" s="290"/>
      <c r="T110" s="290"/>
      <c r="U110" s="289"/>
      <c r="V110" s="290"/>
      <c r="W110" s="290"/>
      <c r="X110" s="290"/>
      <c r="Y110" s="290"/>
      <c r="Z110" s="290"/>
      <c r="AA110" s="291"/>
      <c r="AB110" s="292"/>
      <c r="AC110" s="293"/>
      <c r="AD110" s="293"/>
      <c r="AE110" s="294"/>
      <c r="AF110" s="249"/>
      <c r="AG110" s="295">
        <f>IF(OR(AND($E110=TRUE,'[1]Pricing Summary'!$B$33=$E$2),AND($F110=TRUE,'[1]Pricing Summary'!$B$33=$F$2),AND($G110=TRUE,'[1]Pricing Summary'!$B$33=$G$2)),1,0)</f>
        <v>0</v>
      </c>
      <c r="AH110" s="295">
        <f t="shared" si="95"/>
        <v>0</v>
      </c>
      <c r="AI110" s="296">
        <f t="shared" si="96"/>
        <v>0</v>
      </c>
      <c r="AJ110" s="297">
        <f t="shared" si="97"/>
        <v>0</v>
      </c>
      <c r="AK110" s="249"/>
      <c r="AL110" s="298">
        <f t="shared" si="98"/>
        <v>0</v>
      </c>
      <c r="AM110" s="221">
        <f t="shared" si="99"/>
        <v>0</v>
      </c>
      <c r="AN110" s="221">
        <f>MROUND((1+'[1]Core Assumptions'!$D$22)*AM110,'[1]Core Assumptions'!$E$23)</f>
        <v>0</v>
      </c>
      <c r="AO110" s="299">
        <f t="shared" si="100"/>
        <v>0</v>
      </c>
      <c r="AP110" s="300">
        <f>IF(AN$7=0,0,MROUND(AN110/AN$7*AP$8/'[1]Core Assumptions'!$D$28,'[1]Core Assumptions'!$E$23))</f>
        <v>0</v>
      </c>
      <c r="AQ110" s="301">
        <f t="shared" si="101"/>
        <v>0</v>
      </c>
      <c r="AR110" s="302">
        <f t="shared" si="102"/>
        <v>0</v>
      </c>
      <c r="AS110" s="249"/>
      <c r="AT110" s="303">
        <f t="shared" si="103"/>
        <v>0</v>
      </c>
      <c r="AU110" s="267"/>
      <c r="AV110" s="295">
        <f>IF(OR(AND($E110=TRUE,'[1]Pricing Summary'!$B$33="Ultimate"),AND($F110=TRUE,'[1]Pricing Summary'!$B$33="Enhanced"),AND($G110=TRUE,'[1]Pricing Summary'!$B$33="Essential")),1,0)</f>
        <v>0</v>
      </c>
      <c r="AW110" s="304">
        <f t="shared" si="104"/>
        <v>0</v>
      </c>
      <c r="AX110" s="305">
        <f t="shared" si="105"/>
        <v>0</v>
      </c>
      <c r="AY110" s="267"/>
      <c r="AZ110" s="304">
        <f t="shared" si="106"/>
        <v>0</v>
      </c>
      <c r="BA110" s="222">
        <f t="shared" si="107"/>
        <v>0</v>
      </c>
      <c r="BB110" s="306">
        <f t="shared" si="108"/>
        <v>0</v>
      </c>
      <c r="BC110" s="272"/>
      <c r="BD110" s="307">
        <f t="shared" si="109"/>
        <v>0</v>
      </c>
      <c r="BE110" s="308">
        <f t="shared" si="110"/>
        <v>0</v>
      </c>
      <c r="BF110" s="308">
        <f t="shared" si="111"/>
        <v>0</v>
      </c>
      <c r="BG110" s="309">
        <f t="shared" si="112"/>
        <v>0</v>
      </c>
      <c r="BH110" s="249"/>
      <c r="BI110" s="310">
        <f t="shared" si="113"/>
        <v>0</v>
      </c>
      <c r="BJ110" s="311">
        <f t="shared" si="114"/>
        <v>0</v>
      </c>
      <c r="BK110" s="311">
        <f t="shared" si="115"/>
        <v>0</v>
      </c>
      <c r="BL110" s="312">
        <f t="shared" si="116"/>
        <v>0</v>
      </c>
      <c r="BM110" s="249"/>
      <c r="BN110" s="313">
        <f t="shared" si="117"/>
        <v>0</v>
      </c>
      <c r="BO110" s="314">
        <f t="shared" si="118"/>
        <v>0</v>
      </c>
      <c r="BP110" s="314">
        <f t="shared" si="119"/>
        <v>0</v>
      </c>
      <c r="BQ110" s="315">
        <f t="shared" si="120"/>
        <v>0</v>
      </c>
      <c r="BR110" s="249"/>
      <c r="BS110" s="307">
        <f t="shared" si="121"/>
        <v>0</v>
      </c>
      <c r="BT110" s="308">
        <f t="shared" si="122"/>
        <v>0</v>
      </c>
      <c r="BU110" s="308">
        <f t="shared" si="123"/>
        <v>0</v>
      </c>
      <c r="BV110" s="309">
        <f t="shared" si="124"/>
        <v>0</v>
      </c>
      <c r="BW110" s="249"/>
      <c r="BX110" s="310">
        <f t="shared" si="125"/>
        <v>0</v>
      </c>
      <c r="BY110" s="311">
        <f t="shared" si="126"/>
        <v>0</v>
      </c>
      <c r="BZ110" s="311">
        <f t="shared" si="127"/>
        <v>0</v>
      </c>
      <c r="CA110" s="312">
        <f t="shared" si="128"/>
        <v>0</v>
      </c>
      <c r="CB110" s="249"/>
      <c r="CC110" s="313">
        <f t="shared" si="129"/>
        <v>0</v>
      </c>
      <c r="CD110" s="314">
        <f t="shared" si="130"/>
        <v>0</v>
      </c>
      <c r="CE110" s="314">
        <f t="shared" si="131"/>
        <v>0</v>
      </c>
      <c r="CF110" s="315">
        <f t="shared" si="132"/>
        <v>0</v>
      </c>
      <c r="CG110" s="249"/>
      <c r="CH110" s="316"/>
    </row>
    <row r="111" spans="1:86" ht="15.75" hidden="1" customHeight="1" outlineLevel="1" x14ac:dyDescent="0.2">
      <c r="A111" s="242" t="str">
        <f>IF(OR(E111&lt;&gt;FALSE,F111&lt;&gt;FALSE,G111&lt;&gt;FALSE),MAX(A$16:A110)+1,"")</f>
        <v/>
      </c>
      <c r="B111" s="284"/>
      <c r="C111" s="284" t="s">
        <v>42</v>
      </c>
      <c r="D111" s="245" t="s">
        <v>11</v>
      </c>
      <c r="E111" s="285" t="b">
        <v>0</v>
      </c>
      <c r="F111" s="286" t="b">
        <v>0</v>
      </c>
      <c r="G111" s="287" t="b">
        <v>0</v>
      </c>
      <c r="H111" s="249"/>
      <c r="I111" s="288">
        <v>1</v>
      </c>
      <c r="J111" s="249"/>
      <c r="K111" s="289"/>
      <c r="L111" s="290"/>
      <c r="M111" s="290"/>
      <c r="N111" s="290"/>
      <c r="O111" s="290"/>
      <c r="P111" s="290"/>
      <c r="Q111" s="290"/>
      <c r="R111" s="290"/>
      <c r="S111" s="290"/>
      <c r="T111" s="290"/>
      <c r="U111" s="289"/>
      <c r="V111" s="290"/>
      <c r="W111" s="290"/>
      <c r="X111" s="290"/>
      <c r="Y111" s="290"/>
      <c r="Z111" s="290"/>
      <c r="AA111" s="291"/>
      <c r="AB111" s="292"/>
      <c r="AC111" s="293"/>
      <c r="AD111" s="293"/>
      <c r="AE111" s="294"/>
      <c r="AF111" s="249"/>
      <c r="AG111" s="295">
        <f>IF(OR(AND($E111=TRUE,'[1]Pricing Summary'!$B$33=$E$2),AND($F111=TRUE,'[1]Pricing Summary'!$B$33=$F$2),AND($G111=TRUE,'[1]Pricing Summary'!$B$33=$G$2)),1,0)</f>
        <v>0</v>
      </c>
      <c r="AH111" s="295">
        <f t="shared" si="95"/>
        <v>0</v>
      </c>
      <c r="AI111" s="296">
        <f t="shared" si="96"/>
        <v>0</v>
      </c>
      <c r="AJ111" s="297">
        <f t="shared" si="97"/>
        <v>0</v>
      </c>
      <c r="AK111" s="249"/>
      <c r="AL111" s="298">
        <f t="shared" si="98"/>
        <v>0</v>
      </c>
      <c r="AM111" s="221">
        <f t="shared" si="99"/>
        <v>0</v>
      </c>
      <c r="AN111" s="221">
        <f>MROUND((1+'[1]Core Assumptions'!$D$22)*AM111,'[1]Core Assumptions'!$E$23)</f>
        <v>0</v>
      </c>
      <c r="AO111" s="299">
        <f t="shared" si="100"/>
        <v>0</v>
      </c>
      <c r="AP111" s="300">
        <f>IF(AN$7=0,0,MROUND(AN111/AN$7*AP$8/'[1]Core Assumptions'!$D$28,'[1]Core Assumptions'!$E$23))</f>
        <v>0</v>
      </c>
      <c r="AQ111" s="301">
        <f t="shared" si="101"/>
        <v>0</v>
      </c>
      <c r="AR111" s="302">
        <f t="shared" si="102"/>
        <v>0</v>
      </c>
      <c r="AS111" s="249"/>
      <c r="AT111" s="303">
        <f t="shared" si="103"/>
        <v>0</v>
      </c>
      <c r="AU111" s="267"/>
      <c r="AV111" s="295">
        <f>IF(OR(AND($E111=TRUE,'[1]Pricing Summary'!$B$33="Ultimate"),AND($F111=TRUE,'[1]Pricing Summary'!$B$33="Enhanced"),AND($G111=TRUE,'[1]Pricing Summary'!$B$33="Essential")),1,0)</f>
        <v>0</v>
      </c>
      <c r="AW111" s="304">
        <f t="shared" si="104"/>
        <v>0</v>
      </c>
      <c r="AX111" s="305">
        <f t="shared" si="105"/>
        <v>0</v>
      </c>
      <c r="AY111" s="267"/>
      <c r="AZ111" s="304">
        <f t="shared" si="106"/>
        <v>0</v>
      </c>
      <c r="BA111" s="222">
        <f t="shared" si="107"/>
        <v>0</v>
      </c>
      <c r="BB111" s="306">
        <f t="shared" si="108"/>
        <v>0</v>
      </c>
      <c r="BC111" s="272"/>
      <c r="BD111" s="307">
        <f t="shared" si="109"/>
        <v>0</v>
      </c>
      <c r="BE111" s="308">
        <f t="shared" si="110"/>
        <v>0</v>
      </c>
      <c r="BF111" s="308">
        <f t="shared" si="111"/>
        <v>0</v>
      </c>
      <c r="BG111" s="309">
        <f t="shared" si="112"/>
        <v>0</v>
      </c>
      <c r="BH111" s="249"/>
      <c r="BI111" s="310">
        <f t="shared" si="113"/>
        <v>0</v>
      </c>
      <c r="BJ111" s="311">
        <f t="shared" si="114"/>
        <v>0</v>
      </c>
      <c r="BK111" s="311">
        <f t="shared" si="115"/>
        <v>0</v>
      </c>
      <c r="BL111" s="312">
        <f t="shared" si="116"/>
        <v>0</v>
      </c>
      <c r="BM111" s="249"/>
      <c r="BN111" s="313">
        <f t="shared" si="117"/>
        <v>0</v>
      </c>
      <c r="BO111" s="314">
        <f t="shared" si="118"/>
        <v>0</v>
      </c>
      <c r="BP111" s="314">
        <f t="shared" si="119"/>
        <v>0</v>
      </c>
      <c r="BQ111" s="315">
        <f t="shared" si="120"/>
        <v>0</v>
      </c>
      <c r="BR111" s="249"/>
      <c r="BS111" s="307">
        <f t="shared" si="121"/>
        <v>0</v>
      </c>
      <c r="BT111" s="308">
        <f t="shared" si="122"/>
        <v>0</v>
      </c>
      <c r="BU111" s="308">
        <f t="shared" si="123"/>
        <v>0</v>
      </c>
      <c r="BV111" s="309">
        <f t="shared" si="124"/>
        <v>0</v>
      </c>
      <c r="BW111" s="249"/>
      <c r="BX111" s="310">
        <f t="shared" si="125"/>
        <v>0</v>
      </c>
      <c r="BY111" s="311">
        <f t="shared" si="126"/>
        <v>0</v>
      </c>
      <c r="BZ111" s="311">
        <f t="shared" si="127"/>
        <v>0</v>
      </c>
      <c r="CA111" s="312">
        <f t="shared" si="128"/>
        <v>0</v>
      </c>
      <c r="CB111" s="249"/>
      <c r="CC111" s="313">
        <f t="shared" si="129"/>
        <v>0</v>
      </c>
      <c r="CD111" s="314">
        <f t="shared" si="130"/>
        <v>0</v>
      </c>
      <c r="CE111" s="314">
        <f t="shared" si="131"/>
        <v>0</v>
      </c>
      <c r="CF111" s="315">
        <f t="shared" si="132"/>
        <v>0</v>
      </c>
      <c r="CG111" s="249"/>
      <c r="CH111" s="316"/>
    </row>
    <row r="112" spans="1:86" ht="15.75" hidden="1" customHeight="1" outlineLevel="1" x14ac:dyDescent="0.2">
      <c r="A112" s="242" t="str">
        <f>IF(OR(E112&lt;&gt;FALSE,F112&lt;&gt;FALSE,G112&lt;&gt;FALSE),MAX(A$16:A111)+1,"")</f>
        <v/>
      </c>
      <c r="B112" s="284"/>
      <c r="C112" s="284" t="s">
        <v>42</v>
      </c>
      <c r="D112" s="245" t="s">
        <v>11</v>
      </c>
      <c r="E112" s="285" t="b">
        <v>0</v>
      </c>
      <c r="F112" s="286" t="b">
        <v>0</v>
      </c>
      <c r="G112" s="287" t="b">
        <v>0</v>
      </c>
      <c r="H112" s="249"/>
      <c r="I112" s="288">
        <v>1</v>
      </c>
      <c r="J112" s="249"/>
      <c r="K112" s="289"/>
      <c r="L112" s="290"/>
      <c r="M112" s="290"/>
      <c r="N112" s="290"/>
      <c r="O112" s="290"/>
      <c r="P112" s="290"/>
      <c r="Q112" s="290"/>
      <c r="R112" s="290"/>
      <c r="S112" s="290"/>
      <c r="T112" s="290"/>
      <c r="U112" s="289"/>
      <c r="V112" s="290"/>
      <c r="W112" s="290"/>
      <c r="X112" s="290"/>
      <c r="Y112" s="290"/>
      <c r="Z112" s="290"/>
      <c r="AA112" s="291"/>
      <c r="AB112" s="292"/>
      <c r="AC112" s="293"/>
      <c r="AD112" s="293"/>
      <c r="AE112" s="294"/>
      <c r="AF112" s="249"/>
      <c r="AG112" s="295">
        <f>IF(OR(AND($E112=TRUE,'[1]Pricing Summary'!$B$33=$E$2),AND($F112=TRUE,'[1]Pricing Summary'!$B$33=$F$2),AND($G112=TRUE,'[1]Pricing Summary'!$B$33=$G$2)),1,0)</f>
        <v>0</v>
      </c>
      <c r="AH112" s="295">
        <f t="shared" si="95"/>
        <v>0</v>
      </c>
      <c r="AI112" s="296">
        <f t="shared" si="96"/>
        <v>0</v>
      </c>
      <c r="AJ112" s="297">
        <f t="shared" si="97"/>
        <v>0</v>
      </c>
      <c r="AK112" s="249"/>
      <c r="AL112" s="298">
        <f t="shared" si="98"/>
        <v>0</v>
      </c>
      <c r="AM112" s="221">
        <f t="shared" si="99"/>
        <v>0</v>
      </c>
      <c r="AN112" s="221">
        <f>MROUND((1+'[1]Core Assumptions'!$D$22)*AM112,'[1]Core Assumptions'!$E$23)</f>
        <v>0</v>
      </c>
      <c r="AO112" s="299">
        <f t="shared" si="100"/>
        <v>0</v>
      </c>
      <c r="AP112" s="300">
        <f>IF(AN$7=0,0,MROUND(AN112/AN$7*AP$8/'[1]Core Assumptions'!$D$28,'[1]Core Assumptions'!$E$23))</f>
        <v>0</v>
      </c>
      <c r="AQ112" s="301">
        <f t="shared" si="101"/>
        <v>0</v>
      </c>
      <c r="AR112" s="302">
        <f t="shared" si="102"/>
        <v>0</v>
      </c>
      <c r="AS112" s="249"/>
      <c r="AT112" s="303">
        <f t="shared" si="103"/>
        <v>0</v>
      </c>
      <c r="AU112" s="267"/>
      <c r="AV112" s="295">
        <f>IF(OR(AND($E112=TRUE,'[1]Pricing Summary'!$B$33="Ultimate"),AND($F112=TRUE,'[1]Pricing Summary'!$B$33="Enhanced"),AND($G112=TRUE,'[1]Pricing Summary'!$B$33="Essential")),1,0)</f>
        <v>0</v>
      </c>
      <c r="AW112" s="304">
        <f t="shared" si="104"/>
        <v>0</v>
      </c>
      <c r="AX112" s="305">
        <f t="shared" si="105"/>
        <v>0</v>
      </c>
      <c r="AY112" s="267"/>
      <c r="AZ112" s="304">
        <f t="shared" si="106"/>
        <v>0</v>
      </c>
      <c r="BA112" s="222">
        <f t="shared" si="107"/>
        <v>0</v>
      </c>
      <c r="BB112" s="306">
        <f t="shared" si="108"/>
        <v>0</v>
      </c>
      <c r="BC112" s="272"/>
      <c r="BD112" s="307">
        <f t="shared" si="109"/>
        <v>0</v>
      </c>
      <c r="BE112" s="308">
        <f t="shared" si="110"/>
        <v>0</v>
      </c>
      <c r="BF112" s="308">
        <f t="shared" si="111"/>
        <v>0</v>
      </c>
      <c r="BG112" s="309">
        <f t="shared" si="112"/>
        <v>0</v>
      </c>
      <c r="BH112" s="249"/>
      <c r="BI112" s="310">
        <f t="shared" si="113"/>
        <v>0</v>
      </c>
      <c r="BJ112" s="311">
        <f t="shared" si="114"/>
        <v>0</v>
      </c>
      <c r="BK112" s="311">
        <f t="shared" si="115"/>
        <v>0</v>
      </c>
      <c r="BL112" s="312">
        <f t="shared" si="116"/>
        <v>0</v>
      </c>
      <c r="BM112" s="249"/>
      <c r="BN112" s="313">
        <f t="shared" si="117"/>
        <v>0</v>
      </c>
      <c r="BO112" s="314">
        <f t="shared" si="118"/>
        <v>0</v>
      </c>
      <c r="BP112" s="314">
        <f t="shared" si="119"/>
        <v>0</v>
      </c>
      <c r="BQ112" s="315">
        <f t="shared" si="120"/>
        <v>0</v>
      </c>
      <c r="BR112" s="249"/>
      <c r="BS112" s="307">
        <f t="shared" si="121"/>
        <v>0</v>
      </c>
      <c r="BT112" s="308">
        <f t="shared" si="122"/>
        <v>0</v>
      </c>
      <c r="BU112" s="308">
        <f t="shared" si="123"/>
        <v>0</v>
      </c>
      <c r="BV112" s="309">
        <f t="shared" si="124"/>
        <v>0</v>
      </c>
      <c r="BW112" s="249"/>
      <c r="BX112" s="310">
        <f t="shared" si="125"/>
        <v>0</v>
      </c>
      <c r="BY112" s="311">
        <f t="shared" si="126"/>
        <v>0</v>
      </c>
      <c r="BZ112" s="311">
        <f t="shared" si="127"/>
        <v>0</v>
      </c>
      <c r="CA112" s="312">
        <f t="shared" si="128"/>
        <v>0</v>
      </c>
      <c r="CB112" s="249"/>
      <c r="CC112" s="313">
        <f t="shared" si="129"/>
        <v>0</v>
      </c>
      <c r="CD112" s="314">
        <f t="shared" si="130"/>
        <v>0</v>
      </c>
      <c r="CE112" s="314">
        <f t="shared" si="131"/>
        <v>0</v>
      </c>
      <c r="CF112" s="315">
        <f t="shared" si="132"/>
        <v>0</v>
      </c>
      <c r="CG112" s="249"/>
      <c r="CH112" s="316"/>
    </row>
    <row r="113" spans="1:86" ht="15.75" hidden="1" customHeight="1" outlineLevel="1" x14ac:dyDescent="0.2">
      <c r="A113" s="242" t="str">
        <f>IF(OR(E113&lt;&gt;FALSE,F113&lt;&gt;FALSE,G113&lt;&gt;FALSE),MAX(A$16:A112)+1,"")</f>
        <v/>
      </c>
      <c r="B113" s="284"/>
      <c r="C113" s="284" t="s">
        <v>42</v>
      </c>
      <c r="D113" s="245" t="s">
        <v>11</v>
      </c>
      <c r="E113" s="285" t="b">
        <v>0</v>
      </c>
      <c r="F113" s="286" t="b">
        <v>0</v>
      </c>
      <c r="G113" s="287" t="b">
        <v>0</v>
      </c>
      <c r="H113" s="249"/>
      <c r="I113" s="288">
        <v>1</v>
      </c>
      <c r="J113" s="249"/>
      <c r="K113" s="289"/>
      <c r="L113" s="290"/>
      <c r="M113" s="290"/>
      <c r="N113" s="290"/>
      <c r="O113" s="290"/>
      <c r="P113" s="290"/>
      <c r="Q113" s="290"/>
      <c r="R113" s="290"/>
      <c r="S113" s="290"/>
      <c r="T113" s="290"/>
      <c r="U113" s="289"/>
      <c r="V113" s="290"/>
      <c r="W113" s="290"/>
      <c r="X113" s="290"/>
      <c r="Y113" s="290"/>
      <c r="Z113" s="290"/>
      <c r="AA113" s="291"/>
      <c r="AB113" s="292"/>
      <c r="AC113" s="293"/>
      <c r="AD113" s="293"/>
      <c r="AE113" s="294"/>
      <c r="AF113" s="249"/>
      <c r="AG113" s="295">
        <f>IF(OR(AND($E113=TRUE,'[1]Pricing Summary'!$B$33=$E$2),AND($F113=TRUE,'[1]Pricing Summary'!$B$33=$F$2),AND($G113=TRUE,'[1]Pricing Summary'!$B$33=$G$2)),1,0)</f>
        <v>0</v>
      </c>
      <c r="AH113" s="295">
        <f t="shared" si="95"/>
        <v>0</v>
      </c>
      <c r="AI113" s="296">
        <f t="shared" si="96"/>
        <v>0</v>
      </c>
      <c r="AJ113" s="297">
        <f t="shared" si="97"/>
        <v>0</v>
      </c>
      <c r="AK113" s="249"/>
      <c r="AL113" s="298">
        <f t="shared" si="98"/>
        <v>0</v>
      </c>
      <c r="AM113" s="221">
        <f t="shared" si="99"/>
        <v>0</v>
      </c>
      <c r="AN113" s="221">
        <f>MROUND((1+'[1]Core Assumptions'!$D$22)*AM113,'[1]Core Assumptions'!$E$23)</f>
        <v>0</v>
      </c>
      <c r="AO113" s="299">
        <f t="shared" si="100"/>
        <v>0</v>
      </c>
      <c r="AP113" s="300">
        <f>IF(AN$7=0,0,MROUND(AN113/AN$7*AP$8/'[1]Core Assumptions'!$D$28,'[1]Core Assumptions'!$E$23))</f>
        <v>0</v>
      </c>
      <c r="AQ113" s="301">
        <f t="shared" si="101"/>
        <v>0</v>
      </c>
      <c r="AR113" s="302">
        <f t="shared" si="102"/>
        <v>0</v>
      </c>
      <c r="AS113" s="249"/>
      <c r="AT113" s="303">
        <f t="shared" si="103"/>
        <v>0</v>
      </c>
      <c r="AU113" s="267"/>
      <c r="AV113" s="295">
        <f>IF(OR(AND($E113=TRUE,'[1]Pricing Summary'!$B$33="Ultimate"),AND($F113=TRUE,'[1]Pricing Summary'!$B$33="Enhanced"),AND($G113=TRUE,'[1]Pricing Summary'!$B$33="Essential")),1,0)</f>
        <v>0</v>
      </c>
      <c r="AW113" s="304">
        <f t="shared" si="104"/>
        <v>0</v>
      </c>
      <c r="AX113" s="305">
        <f t="shared" si="105"/>
        <v>0</v>
      </c>
      <c r="AY113" s="267"/>
      <c r="AZ113" s="304">
        <f t="shared" si="106"/>
        <v>0</v>
      </c>
      <c r="BA113" s="222">
        <f t="shared" si="107"/>
        <v>0</v>
      </c>
      <c r="BB113" s="306">
        <f t="shared" si="108"/>
        <v>0</v>
      </c>
      <c r="BC113" s="272"/>
      <c r="BD113" s="307">
        <f t="shared" si="109"/>
        <v>0</v>
      </c>
      <c r="BE113" s="308">
        <f t="shared" si="110"/>
        <v>0</v>
      </c>
      <c r="BF113" s="308">
        <f t="shared" si="111"/>
        <v>0</v>
      </c>
      <c r="BG113" s="309">
        <f t="shared" si="112"/>
        <v>0</v>
      </c>
      <c r="BH113" s="249"/>
      <c r="BI113" s="310">
        <f t="shared" si="113"/>
        <v>0</v>
      </c>
      <c r="BJ113" s="311">
        <f t="shared" si="114"/>
        <v>0</v>
      </c>
      <c r="BK113" s="311">
        <f t="shared" si="115"/>
        <v>0</v>
      </c>
      <c r="BL113" s="312">
        <f t="shared" si="116"/>
        <v>0</v>
      </c>
      <c r="BM113" s="249"/>
      <c r="BN113" s="313">
        <f t="shared" si="117"/>
        <v>0</v>
      </c>
      <c r="BO113" s="314">
        <f t="shared" si="118"/>
        <v>0</v>
      </c>
      <c r="BP113" s="314">
        <f t="shared" si="119"/>
        <v>0</v>
      </c>
      <c r="BQ113" s="315">
        <f t="shared" si="120"/>
        <v>0</v>
      </c>
      <c r="BR113" s="249"/>
      <c r="BS113" s="307">
        <f t="shared" si="121"/>
        <v>0</v>
      </c>
      <c r="BT113" s="308">
        <f t="shared" si="122"/>
        <v>0</v>
      </c>
      <c r="BU113" s="308">
        <f t="shared" si="123"/>
        <v>0</v>
      </c>
      <c r="BV113" s="309">
        <f t="shared" si="124"/>
        <v>0</v>
      </c>
      <c r="BW113" s="249"/>
      <c r="BX113" s="310">
        <f t="shared" si="125"/>
        <v>0</v>
      </c>
      <c r="BY113" s="311">
        <f t="shared" si="126"/>
        <v>0</v>
      </c>
      <c r="BZ113" s="311">
        <f t="shared" si="127"/>
        <v>0</v>
      </c>
      <c r="CA113" s="312">
        <f t="shared" si="128"/>
        <v>0</v>
      </c>
      <c r="CB113" s="249"/>
      <c r="CC113" s="313">
        <f t="shared" si="129"/>
        <v>0</v>
      </c>
      <c r="CD113" s="314">
        <f t="shared" si="130"/>
        <v>0</v>
      </c>
      <c r="CE113" s="314">
        <f t="shared" si="131"/>
        <v>0</v>
      </c>
      <c r="CF113" s="315">
        <f t="shared" si="132"/>
        <v>0</v>
      </c>
      <c r="CG113" s="249"/>
      <c r="CH113" s="316"/>
    </row>
    <row r="114" spans="1:86" ht="15.75" hidden="1" customHeight="1" outlineLevel="1" x14ac:dyDescent="0.2">
      <c r="A114" s="242" t="str">
        <f>IF(OR(E114&lt;&gt;FALSE,F114&lt;&gt;FALSE,G114&lt;&gt;FALSE),MAX(A$16:A113)+1,"")</f>
        <v/>
      </c>
      <c r="B114" s="284"/>
      <c r="C114" s="284" t="s">
        <v>42</v>
      </c>
      <c r="D114" s="245" t="s">
        <v>11</v>
      </c>
      <c r="E114" s="285" t="b">
        <v>0</v>
      </c>
      <c r="F114" s="286" t="b">
        <v>0</v>
      </c>
      <c r="G114" s="287" t="b">
        <v>0</v>
      </c>
      <c r="H114" s="249"/>
      <c r="I114" s="288">
        <v>1</v>
      </c>
      <c r="J114" s="249"/>
      <c r="K114" s="289"/>
      <c r="L114" s="290"/>
      <c r="M114" s="290"/>
      <c r="N114" s="290"/>
      <c r="O114" s="290"/>
      <c r="P114" s="290"/>
      <c r="Q114" s="290"/>
      <c r="R114" s="290"/>
      <c r="S114" s="290"/>
      <c r="T114" s="290"/>
      <c r="U114" s="289"/>
      <c r="V114" s="290"/>
      <c r="W114" s="290"/>
      <c r="X114" s="290"/>
      <c r="Y114" s="290"/>
      <c r="Z114" s="290"/>
      <c r="AA114" s="291"/>
      <c r="AB114" s="292"/>
      <c r="AC114" s="293"/>
      <c r="AD114" s="293"/>
      <c r="AE114" s="294"/>
      <c r="AF114" s="249"/>
      <c r="AG114" s="295">
        <f>IF(OR(AND($E114=TRUE,'[1]Pricing Summary'!$B$33=$E$2),AND($F114=TRUE,'[1]Pricing Summary'!$B$33=$F$2),AND($G114=TRUE,'[1]Pricing Summary'!$B$33=$G$2)),1,0)</f>
        <v>0</v>
      </c>
      <c r="AH114" s="295">
        <f t="shared" si="95"/>
        <v>0</v>
      </c>
      <c r="AI114" s="296">
        <f t="shared" si="96"/>
        <v>0</v>
      </c>
      <c r="AJ114" s="297">
        <f t="shared" si="97"/>
        <v>0</v>
      </c>
      <c r="AK114" s="249"/>
      <c r="AL114" s="298">
        <f t="shared" si="98"/>
        <v>0</v>
      </c>
      <c r="AM114" s="221">
        <f t="shared" si="99"/>
        <v>0</v>
      </c>
      <c r="AN114" s="221">
        <f>MROUND((1+'[1]Core Assumptions'!$D$22)*AM114,'[1]Core Assumptions'!$E$23)</f>
        <v>0</v>
      </c>
      <c r="AO114" s="299">
        <f t="shared" si="100"/>
        <v>0</v>
      </c>
      <c r="AP114" s="300">
        <f>IF(AN$7=0,0,MROUND(AN114/AN$7*AP$8/'[1]Core Assumptions'!$D$28,'[1]Core Assumptions'!$E$23))</f>
        <v>0</v>
      </c>
      <c r="AQ114" s="301">
        <f t="shared" si="101"/>
        <v>0</v>
      </c>
      <c r="AR114" s="302">
        <f t="shared" si="102"/>
        <v>0</v>
      </c>
      <c r="AS114" s="249"/>
      <c r="AT114" s="303">
        <f t="shared" si="103"/>
        <v>0</v>
      </c>
      <c r="AU114" s="267"/>
      <c r="AV114" s="295">
        <f>IF(OR(AND($E114=TRUE,'[1]Pricing Summary'!$B$33="Ultimate"),AND($F114=TRUE,'[1]Pricing Summary'!$B$33="Enhanced"),AND($G114=TRUE,'[1]Pricing Summary'!$B$33="Essential")),1,0)</f>
        <v>0</v>
      </c>
      <c r="AW114" s="304">
        <f t="shared" si="104"/>
        <v>0</v>
      </c>
      <c r="AX114" s="305">
        <f t="shared" si="105"/>
        <v>0</v>
      </c>
      <c r="AY114" s="267"/>
      <c r="AZ114" s="304">
        <f t="shared" si="106"/>
        <v>0</v>
      </c>
      <c r="BA114" s="222">
        <f t="shared" si="107"/>
        <v>0</v>
      </c>
      <c r="BB114" s="306">
        <f t="shared" si="108"/>
        <v>0</v>
      </c>
      <c r="BC114" s="272"/>
      <c r="BD114" s="307">
        <f t="shared" si="109"/>
        <v>0</v>
      </c>
      <c r="BE114" s="308">
        <f t="shared" si="110"/>
        <v>0</v>
      </c>
      <c r="BF114" s="308">
        <f t="shared" si="111"/>
        <v>0</v>
      </c>
      <c r="BG114" s="309">
        <f t="shared" si="112"/>
        <v>0</v>
      </c>
      <c r="BH114" s="249"/>
      <c r="BI114" s="310">
        <f t="shared" si="113"/>
        <v>0</v>
      </c>
      <c r="BJ114" s="311">
        <f t="shared" si="114"/>
        <v>0</v>
      </c>
      <c r="BK114" s="311">
        <f t="shared" si="115"/>
        <v>0</v>
      </c>
      <c r="BL114" s="312">
        <f t="shared" si="116"/>
        <v>0</v>
      </c>
      <c r="BM114" s="249"/>
      <c r="BN114" s="313">
        <f t="shared" si="117"/>
        <v>0</v>
      </c>
      <c r="BO114" s="314">
        <f t="shared" si="118"/>
        <v>0</v>
      </c>
      <c r="BP114" s="314">
        <f t="shared" si="119"/>
        <v>0</v>
      </c>
      <c r="BQ114" s="315">
        <f t="shared" si="120"/>
        <v>0</v>
      </c>
      <c r="BR114" s="249"/>
      <c r="BS114" s="307">
        <f t="shared" si="121"/>
        <v>0</v>
      </c>
      <c r="BT114" s="308">
        <f t="shared" si="122"/>
        <v>0</v>
      </c>
      <c r="BU114" s="308">
        <f t="shared" si="123"/>
        <v>0</v>
      </c>
      <c r="BV114" s="309">
        <f t="shared" si="124"/>
        <v>0</v>
      </c>
      <c r="BW114" s="249"/>
      <c r="BX114" s="310">
        <f t="shared" si="125"/>
        <v>0</v>
      </c>
      <c r="BY114" s="311">
        <f t="shared" si="126"/>
        <v>0</v>
      </c>
      <c r="BZ114" s="311">
        <f t="shared" si="127"/>
        <v>0</v>
      </c>
      <c r="CA114" s="312">
        <f t="shared" si="128"/>
        <v>0</v>
      </c>
      <c r="CB114" s="249"/>
      <c r="CC114" s="313">
        <f t="shared" si="129"/>
        <v>0</v>
      </c>
      <c r="CD114" s="314">
        <f t="shared" si="130"/>
        <v>0</v>
      </c>
      <c r="CE114" s="314">
        <f t="shared" si="131"/>
        <v>0</v>
      </c>
      <c r="CF114" s="315">
        <f t="shared" si="132"/>
        <v>0</v>
      </c>
      <c r="CG114" s="249"/>
      <c r="CH114" s="316"/>
    </row>
    <row r="115" spans="1:86" ht="15.75" hidden="1" customHeight="1" outlineLevel="1" x14ac:dyDescent="0.2">
      <c r="A115" s="242" t="str">
        <f>IF(OR(E115&lt;&gt;FALSE,F115&lt;&gt;FALSE,G115&lt;&gt;FALSE),MAX(A$16:A114)+1,"")</f>
        <v/>
      </c>
      <c r="B115" s="284"/>
      <c r="C115" s="284" t="s">
        <v>42</v>
      </c>
      <c r="D115" s="245" t="s">
        <v>11</v>
      </c>
      <c r="E115" s="285" t="b">
        <v>0</v>
      </c>
      <c r="F115" s="286" t="b">
        <v>0</v>
      </c>
      <c r="G115" s="287" t="b">
        <v>0</v>
      </c>
      <c r="H115" s="249"/>
      <c r="I115" s="288">
        <v>1</v>
      </c>
      <c r="J115" s="249"/>
      <c r="K115" s="289"/>
      <c r="L115" s="290"/>
      <c r="M115" s="290"/>
      <c r="N115" s="290"/>
      <c r="O115" s="290"/>
      <c r="P115" s="290"/>
      <c r="Q115" s="290"/>
      <c r="R115" s="290"/>
      <c r="S115" s="290"/>
      <c r="T115" s="290"/>
      <c r="U115" s="289"/>
      <c r="V115" s="290"/>
      <c r="W115" s="290"/>
      <c r="X115" s="290"/>
      <c r="Y115" s="290"/>
      <c r="Z115" s="290"/>
      <c r="AA115" s="291"/>
      <c r="AB115" s="292"/>
      <c r="AC115" s="293"/>
      <c r="AD115" s="293"/>
      <c r="AE115" s="294"/>
      <c r="AF115" s="249"/>
      <c r="AG115" s="295">
        <f>IF(OR(AND($E115=TRUE,'[1]Pricing Summary'!$B$33=$E$2),AND($F115=TRUE,'[1]Pricing Summary'!$B$33=$F$2),AND($G115=TRUE,'[1]Pricing Summary'!$B$33=$G$2)),1,0)</f>
        <v>0</v>
      </c>
      <c r="AH115" s="295">
        <f t="shared" si="95"/>
        <v>0</v>
      </c>
      <c r="AI115" s="296">
        <f t="shared" si="96"/>
        <v>0</v>
      </c>
      <c r="AJ115" s="297">
        <f t="shared" si="97"/>
        <v>0</v>
      </c>
      <c r="AK115" s="249"/>
      <c r="AL115" s="298">
        <f t="shared" si="98"/>
        <v>0</v>
      </c>
      <c r="AM115" s="221">
        <f t="shared" si="99"/>
        <v>0</v>
      </c>
      <c r="AN115" s="221">
        <f>MROUND((1+'[1]Core Assumptions'!$D$22)*AM115,'[1]Core Assumptions'!$E$23)</f>
        <v>0</v>
      </c>
      <c r="AO115" s="299">
        <f t="shared" si="100"/>
        <v>0</v>
      </c>
      <c r="AP115" s="300">
        <f>IF(AN$7=0,0,MROUND(AN115/AN$7*AP$8/'[1]Core Assumptions'!$D$28,'[1]Core Assumptions'!$E$23))</f>
        <v>0</v>
      </c>
      <c r="AQ115" s="301">
        <f t="shared" si="101"/>
        <v>0</v>
      </c>
      <c r="AR115" s="302">
        <f t="shared" si="102"/>
        <v>0</v>
      </c>
      <c r="AS115" s="249"/>
      <c r="AT115" s="303">
        <f t="shared" si="103"/>
        <v>0</v>
      </c>
      <c r="AU115" s="267"/>
      <c r="AV115" s="295">
        <f>IF(OR(AND($E115=TRUE,'[1]Pricing Summary'!$B$33="Ultimate"),AND($F115=TRUE,'[1]Pricing Summary'!$B$33="Enhanced"),AND($G115=TRUE,'[1]Pricing Summary'!$B$33="Essential")),1,0)</f>
        <v>0</v>
      </c>
      <c r="AW115" s="304">
        <f t="shared" si="104"/>
        <v>0</v>
      </c>
      <c r="AX115" s="305">
        <f t="shared" si="105"/>
        <v>0</v>
      </c>
      <c r="AY115" s="267"/>
      <c r="AZ115" s="304">
        <f t="shared" si="106"/>
        <v>0</v>
      </c>
      <c r="BA115" s="222">
        <f t="shared" si="107"/>
        <v>0</v>
      </c>
      <c r="BB115" s="306">
        <f t="shared" si="108"/>
        <v>0</v>
      </c>
      <c r="BC115" s="272"/>
      <c r="BD115" s="307">
        <f t="shared" si="109"/>
        <v>0</v>
      </c>
      <c r="BE115" s="308">
        <f t="shared" si="110"/>
        <v>0</v>
      </c>
      <c r="BF115" s="308">
        <f t="shared" si="111"/>
        <v>0</v>
      </c>
      <c r="BG115" s="309">
        <f t="shared" si="112"/>
        <v>0</v>
      </c>
      <c r="BH115" s="249"/>
      <c r="BI115" s="310">
        <f t="shared" si="113"/>
        <v>0</v>
      </c>
      <c r="BJ115" s="311">
        <f t="shared" si="114"/>
        <v>0</v>
      </c>
      <c r="BK115" s="311">
        <f t="shared" si="115"/>
        <v>0</v>
      </c>
      <c r="BL115" s="312">
        <f t="shared" si="116"/>
        <v>0</v>
      </c>
      <c r="BM115" s="249"/>
      <c r="BN115" s="313">
        <f t="shared" si="117"/>
        <v>0</v>
      </c>
      <c r="BO115" s="314">
        <f t="shared" si="118"/>
        <v>0</v>
      </c>
      <c r="BP115" s="314">
        <f t="shared" si="119"/>
        <v>0</v>
      </c>
      <c r="BQ115" s="315">
        <f t="shared" si="120"/>
        <v>0</v>
      </c>
      <c r="BR115" s="249"/>
      <c r="BS115" s="307">
        <f t="shared" si="121"/>
        <v>0</v>
      </c>
      <c r="BT115" s="308">
        <f t="shared" si="122"/>
        <v>0</v>
      </c>
      <c r="BU115" s="308">
        <f t="shared" si="123"/>
        <v>0</v>
      </c>
      <c r="BV115" s="309">
        <f t="shared" si="124"/>
        <v>0</v>
      </c>
      <c r="BW115" s="249"/>
      <c r="BX115" s="310">
        <f t="shared" si="125"/>
        <v>0</v>
      </c>
      <c r="BY115" s="311">
        <f t="shared" si="126"/>
        <v>0</v>
      </c>
      <c r="BZ115" s="311">
        <f t="shared" si="127"/>
        <v>0</v>
      </c>
      <c r="CA115" s="312">
        <f t="shared" si="128"/>
        <v>0</v>
      </c>
      <c r="CB115" s="249"/>
      <c r="CC115" s="313">
        <f t="shared" si="129"/>
        <v>0</v>
      </c>
      <c r="CD115" s="314">
        <f t="shared" si="130"/>
        <v>0</v>
      </c>
      <c r="CE115" s="314">
        <f t="shared" si="131"/>
        <v>0</v>
      </c>
      <c r="CF115" s="315">
        <f t="shared" si="132"/>
        <v>0</v>
      </c>
      <c r="CG115" s="249"/>
      <c r="CH115" s="316"/>
    </row>
    <row r="116" spans="1:86" ht="15.75" hidden="1" customHeight="1" outlineLevel="1" x14ac:dyDescent="0.2">
      <c r="A116" s="242" t="str">
        <f>IF(OR(E116&lt;&gt;FALSE,F116&lt;&gt;FALSE,G116&lt;&gt;FALSE),MAX(A$16:A115)+1,"")</f>
        <v/>
      </c>
      <c r="B116" s="284"/>
      <c r="C116" s="284" t="s">
        <v>42</v>
      </c>
      <c r="D116" s="245" t="s">
        <v>11</v>
      </c>
      <c r="E116" s="285" t="b">
        <v>0</v>
      </c>
      <c r="F116" s="286" t="b">
        <v>0</v>
      </c>
      <c r="G116" s="287" t="b">
        <v>0</v>
      </c>
      <c r="H116" s="249"/>
      <c r="I116" s="288">
        <v>1</v>
      </c>
      <c r="J116" s="249"/>
      <c r="K116" s="289"/>
      <c r="L116" s="290"/>
      <c r="M116" s="290"/>
      <c r="N116" s="290"/>
      <c r="O116" s="290"/>
      <c r="P116" s="290"/>
      <c r="Q116" s="290"/>
      <c r="R116" s="290"/>
      <c r="S116" s="290"/>
      <c r="T116" s="290"/>
      <c r="U116" s="289"/>
      <c r="V116" s="290"/>
      <c r="W116" s="290"/>
      <c r="X116" s="290"/>
      <c r="Y116" s="290"/>
      <c r="Z116" s="290"/>
      <c r="AA116" s="291"/>
      <c r="AB116" s="292"/>
      <c r="AC116" s="293"/>
      <c r="AD116" s="293"/>
      <c r="AE116" s="294"/>
      <c r="AF116" s="249"/>
      <c r="AG116" s="295">
        <f>IF(OR(AND($E116=TRUE,'[1]Pricing Summary'!$B$33=$E$2),AND($F116=TRUE,'[1]Pricing Summary'!$B$33=$F$2),AND($G116=TRUE,'[1]Pricing Summary'!$B$33=$G$2)),1,0)</f>
        <v>0</v>
      </c>
      <c r="AH116" s="295">
        <f t="shared" si="95"/>
        <v>0</v>
      </c>
      <c r="AI116" s="296">
        <f t="shared" si="96"/>
        <v>0</v>
      </c>
      <c r="AJ116" s="297">
        <f t="shared" si="97"/>
        <v>0</v>
      </c>
      <c r="AK116" s="249"/>
      <c r="AL116" s="298">
        <f t="shared" si="98"/>
        <v>0</v>
      </c>
      <c r="AM116" s="221">
        <f t="shared" si="99"/>
        <v>0</v>
      </c>
      <c r="AN116" s="221">
        <f>MROUND((1+'[1]Core Assumptions'!$D$22)*AM116,'[1]Core Assumptions'!$E$23)</f>
        <v>0</v>
      </c>
      <c r="AO116" s="299">
        <f t="shared" si="100"/>
        <v>0</v>
      </c>
      <c r="AP116" s="300">
        <f>IF(AN$7=0,0,MROUND(AN116/AN$7*AP$8/'[1]Core Assumptions'!$D$28,'[1]Core Assumptions'!$E$23))</f>
        <v>0</v>
      </c>
      <c r="AQ116" s="301">
        <f t="shared" si="101"/>
        <v>0</v>
      </c>
      <c r="AR116" s="302">
        <f t="shared" si="102"/>
        <v>0</v>
      </c>
      <c r="AS116" s="249"/>
      <c r="AT116" s="303">
        <f t="shared" si="103"/>
        <v>0</v>
      </c>
      <c r="AU116" s="267"/>
      <c r="AV116" s="295">
        <f>IF(OR(AND($E116=TRUE,'[1]Pricing Summary'!$B$33="Ultimate"),AND($F116=TRUE,'[1]Pricing Summary'!$B$33="Enhanced"),AND($G116=TRUE,'[1]Pricing Summary'!$B$33="Essential")),1,0)</f>
        <v>0</v>
      </c>
      <c r="AW116" s="304">
        <f t="shared" si="104"/>
        <v>0</v>
      </c>
      <c r="AX116" s="305">
        <f t="shared" si="105"/>
        <v>0</v>
      </c>
      <c r="AY116" s="267"/>
      <c r="AZ116" s="304">
        <f t="shared" si="106"/>
        <v>0</v>
      </c>
      <c r="BA116" s="222">
        <f t="shared" si="107"/>
        <v>0</v>
      </c>
      <c r="BB116" s="306">
        <f t="shared" si="108"/>
        <v>0</v>
      </c>
      <c r="BC116" s="272"/>
      <c r="BD116" s="307">
        <f t="shared" si="109"/>
        <v>0</v>
      </c>
      <c r="BE116" s="308">
        <f t="shared" si="110"/>
        <v>0</v>
      </c>
      <c r="BF116" s="308">
        <f t="shared" si="111"/>
        <v>0</v>
      </c>
      <c r="BG116" s="309">
        <f t="shared" si="112"/>
        <v>0</v>
      </c>
      <c r="BH116" s="249"/>
      <c r="BI116" s="310">
        <f t="shared" si="113"/>
        <v>0</v>
      </c>
      <c r="BJ116" s="311">
        <f t="shared" si="114"/>
        <v>0</v>
      </c>
      <c r="BK116" s="311">
        <f t="shared" si="115"/>
        <v>0</v>
      </c>
      <c r="BL116" s="312">
        <f t="shared" si="116"/>
        <v>0</v>
      </c>
      <c r="BM116" s="249"/>
      <c r="BN116" s="313">
        <f t="shared" si="117"/>
        <v>0</v>
      </c>
      <c r="BO116" s="314">
        <f t="shared" si="118"/>
        <v>0</v>
      </c>
      <c r="BP116" s="314">
        <f t="shared" si="119"/>
        <v>0</v>
      </c>
      <c r="BQ116" s="315">
        <f t="shared" si="120"/>
        <v>0</v>
      </c>
      <c r="BR116" s="249"/>
      <c r="BS116" s="307">
        <f t="shared" si="121"/>
        <v>0</v>
      </c>
      <c r="BT116" s="308">
        <f t="shared" si="122"/>
        <v>0</v>
      </c>
      <c r="BU116" s="308">
        <f t="shared" si="123"/>
        <v>0</v>
      </c>
      <c r="BV116" s="309">
        <f t="shared" si="124"/>
        <v>0</v>
      </c>
      <c r="BW116" s="249"/>
      <c r="BX116" s="310">
        <f t="shared" si="125"/>
        <v>0</v>
      </c>
      <c r="BY116" s="311">
        <f t="shared" si="126"/>
        <v>0</v>
      </c>
      <c r="BZ116" s="311">
        <f t="shared" si="127"/>
        <v>0</v>
      </c>
      <c r="CA116" s="312">
        <f t="shared" si="128"/>
        <v>0</v>
      </c>
      <c r="CB116" s="249"/>
      <c r="CC116" s="313">
        <f t="shared" si="129"/>
        <v>0</v>
      </c>
      <c r="CD116" s="314">
        <f t="shared" si="130"/>
        <v>0</v>
      </c>
      <c r="CE116" s="314">
        <f t="shared" si="131"/>
        <v>0</v>
      </c>
      <c r="CF116" s="315">
        <f t="shared" si="132"/>
        <v>0</v>
      </c>
      <c r="CG116" s="249"/>
      <c r="CH116" s="316"/>
    </row>
    <row r="117" spans="1:86" ht="15.75" hidden="1" customHeight="1" outlineLevel="1" x14ac:dyDescent="0.2">
      <c r="A117" s="242" t="str">
        <f>IF(OR(E117&lt;&gt;FALSE,F117&lt;&gt;FALSE,G117&lt;&gt;FALSE),MAX(A$16:A116)+1,"")</f>
        <v/>
      </c>
      <c r="B117" s="284"/>
      <c r="C117" s="284" t="s">
        <v>42</v>
      </c>
      <c r="D117" s="245" t="s">
        <v>11</v>
      </c>
      <c r="E117" s="285" t="b">
        <v>0</v>
      </c>
      <c r="F117" s="286" t="b">
        <v>0</v>
      </c>
      <c r="G117" s="287" t="b">
        <v>0</v>
      </c>
      <c r="H117" s="249"/>
      <c r="I117" s="288">
        <v>1</v>
      </c>
      <c r="J117" s="249"/>
      <c r="K117" s="289"/>
      <c r="L117" s="290"/>
      <c r="M117" s="290"/>
      <c r="N117" s="290"/>
      <c r="O117" s="290"/>
      <c r="P117" s="290"/>
      <c r="Q117" s="290"/>
      <c r="R117" s="290"/>
      <c r="S117" s="290"/>
      <c r="T117" s="290"/>
      <c r="U117" s="289"/>
      <c r="V117" s="290"/>
      <c r="W117" s="290"/>
      <c r="X117" s="290"/>
      <c r="Y117" s="290"/>
      <c r="Z117" s="290"/>
      <c r="AA117" s="291"/>
      <c r="AB117" s="292"/>
      <c r="AC117" s="293"/>
      <c r="AD117" s="293"/>
      <c r="AE117" s="294"/>
      <c r="AF117" s="249"/>
      <c r="AG117" s="295">
        <f>IF(OR(AND($E117=TRUE,'[1]Pricing Summary'!$B$33=$E$2),AND($F117=TRUE,'[1]Pricing Summary'!$B$33=$F$2),AND($G117=TRUE,'[1]Pricing Summary'!$B$33=$G$2)),1,0)</f>
        <v>0</v>
      </c>
      <c r="AH117" s="295">
        <f t="shared" si="95"/>
        <v>0</v>
      </c>
      <c r="AI117" s="296">
        <f t="shared" si="96"/>
        <v>0</v>
      </c>
      <c r="AJ117" s="297">
        <f t="shared" si="97"/>
        <v>0</v>
      </c>
      <c r="AK117" s="249"/>
      <c r="AL117" s="298">
        <f t="shared" si="98"/>
        <v>0</v>
      </c>
      <c r="AM117" s="221">
        <f t="shared" si="99"/>
        <v>0</v>
      </c>
      <c r="AN117" s="221">
        <f>MROUND((1+'[1]Core Assumptions'!$D$22)*AM117,'[1]Core Assumptions'!$E$23)</f>
        <v>0</v>
      </c>
      <c r="AO117" s="299">
        <f t="shared" si="100"/>
        <v>0</v>
      </c>
      <c r="AP117" s="300">
        <f>IF(AN$7=0,0,MROUND(AN117/AN$7*AP$8/'[1]Core Assumptions'!$D$28,'[1]Core Assumptions'!$E$23))</f>
        <v>0</v>
      </c>
      <c r="AQ117" s="301">
        <f t="shared" si="101"/>
        <v>0</v>
      </c>
      <c r="AR117" s="302">
        <f t="shared" si="102"/>
        <v>0</v>
      </c>
      <c r="AS117" s="249"/>
      <c r="AT117" s="303">
        <f t="shared" si="103"/>
        <v>0</v>
      </c>
      <c r="AU117" s="267"/>
      <c r="AV117" s="295">
        <f>IF(OR(AND($E117=TRUE,'[1]Pricing Summary'!$B$33="Ultimate"),AND($F117=TRUE,'[1]Pricing Summary'!$B$33="Enhanced"),AND($G117=TRUE,'[1]Pricing Summary'!$B$33="Essential")),1,0)</f>
        <v>0</v>
      </c>
      <c r="AW117" s="304">
        <f t="shared" si="104"/>
        <v>0</v>
      </c>
      <c r="AX117" s="305">
        <f t="shared" si="105"/>
        <v>0</v>
      </c>
      <c r="AY117" s="267"/>
      <c r="AZ117" s="304">
        <f t="shared" si="106"/>
        <v>0</v>
      </c>
      <c r="BA117" s="222">
        <f t="shared" si="107"/>
        <v>0</v>
      </c>
      <c r="BB117" s="306">
        <f t="shared" si="108"/>
        <v>0</v>
      </c>
      <c r="BC117" s="272"/>
      <c r="BD117" s="307">
        <f t="shared" si="109"/>
        <v>0</v>
      </c>
      <c r="BE117" s="308">
        <f t="shared" si="110"/>
        <v>0</v>
      </c>
      <c r="BF117" s="308">
        <f t="shared" si="111"/>
        <v>0</v>
      </c>
      <c r="BG117" s="309">
        <f t="shared" si="112"/>
        <v>0</v>
      </c>
      <c r="BH117" s="249"/>
      <c r="BI117" s="310">
        <f t="shared" si="113"/>
        <v>0</v>
      </c>
      <c r="BJ117" s="311">
        <f t="shared" si="114"/>
        <v>0</v>
      </c>
      <c r="BK117" s="311">
        <f t="shared" si="115"/>
        <v>0</v>
      </c>
      <c r="BL117" s="312">
        <f t="shared" si="116"/>
        <v>0</v>
      </c>
      <c r="BM117" s="249"/>
      <c r="BN117" s="313">
        <f t="shared" si="117"/>
        <v>0</v>
      </c>
      <c r="BO117" s="314">
        <f t="shared" si="118"/>
        <v>0</v>
      </c>
      <c r="BP117" s="314">
        <f t="shared" si="119"/>
        <v>0</v>
      </c>
      <c r="BQ117" s="315">
        <f t="shared" si="120"/>
        <v>0</v>
      </c>
      <c r="BR117" s="249"/>
      <c r="BS117" s="307">
        <f t="shared" si="121"/>
        <v>0</v>
      </c>
      <c r="BT117" s="308">
        <f t="shared" si="122"/>
        <v>0</v>
      </c>
      <c r="BU117" s="308">
        <f t="shared" si="123"/>
        <v>0</v>
      </c>
      <c r="BV117" s="309">
        <f t="shared" si="124"/>
        <v>0</v>
      </c>
      <c r="BW117" s="249"/>
      <c r="BX117" s="310">
        <f t="shared" si="125"/>
        <v>0</v>
      </c>
      <c r="BY117" s="311">
        <f t="shared" si="126"/>
        <v>0</v>
      </c>
      <c r="BZ117" s="311">
        <f t="shared" si="127"/>
        <v>0</v>
      </c>
      <c r="CA117" s="312">
        <f t="shared" si="128"/>
        <v>0</v>
      </c>
      <c r="CB117" s="249"/>
      <c r="CC117" s="313">
        <f t="shared" si="129"/>
        <v>0</v>
      </c>
      <c r="CD117" s="314">
        <f t="shared" si="130"/>
        <v>0</v>
      </c>
      <c r="CE117" s="314">
        <f t="shared" si="131"/>
        <v>0</v>
      </c>
      <c r="CF117" s="315">
        <f t="shared" si="132"/>
        <v>0</v>
      </c>
      <c r="CG117" s="249"/>
      <c r="CH117" s="316"/>
    </row>
    <row r="118" spans="1:86" ht="15.75" hidden="1" customHeight="1" outlineLevel="1" x14ac:dyDescent="0.2">
      <c r="A118" s="242" t="str">
        <f>IF(OR(E118&lt;&gt;FALSE,F118&lt;&gt;FALSE,G118&lt;&gt;FALSE),MAX(A$16:A117)+1,"")</f>
        <v/>
      </c>
      <c r="B118" s="284"/>
      <c r="C118" s="284" t="s">
        <v>42</v>
      </c>
      <c r="D118" s="245" t="s">
        <v>11</v>
      </c>
      <c r="E118" s="285" t="b">
        <v>0</v>
      </c>
      <c r="F118" s="286" t="b">
        <v>0</v>
      </c>
      <c r="G118" s="287" t="b">
        <v>0</v>
      </c>
      <c r="H118" s="249"/>
      <c r="I118" s="288">
        <v>1</v>
      </c>
      <c r="J118" s="249"/>
      <c r="K118" s="289"/>
      <c r="L118" s="290"/>
      <c r="M118" s="290"/>
      <c r="N118" s="290"/>
      <c r="O118" s="290"/>
      <c r="P118" s="290"/>
      <c r="Q118" s="290"/>
      <c r="R118" s="290"/>
      <c r="S118" s="290"/>
      <c r="T118" s="290"/>
      <c r="U118" s="289"/>
      <c r="V118" s="290"/>
      <c r="W118" s="290"/>
      <c r="X118" s="290"/>
      <c r="Y118" s="290"/>
      <c r="Z118" s="290"/>
      <c r="AA118" s="291"/>
      <c r="AB118" s="292"/>
      <c r="AC118" s="293"/>
      <c r="AD118" s="293"/>
      <c r="AE118" s="294"/>
      <c r="AF118" s="249"/>
      <c r="AG118" s="295">
        <f>IF(OR(AND($E118=TRUE,'[1]Pricing Summary'!$B$33=$E$2),AND($F118=TRUE,'[1]Pricing Summary'!$B$33=$F$2),AND($G118=TRUE,'[1]Pricing Summary'!$B$33=$G$2)),1,0)</f>
        <v>0</v>
      </c>
      <c r="AH118" s="295">
        <f t="shared" si="95"/>
        <v>0</v>
      </c>
      <c r="AI118" s="296">
        <f t="shared" si="96"/>
        <v>0</v>
      </c>
      <c r="AJ118" s="297">
        <f t="shared" si="97"/>
        <v>0</v>
      </c>
      <c r="AK118" s="249"/>
      <c r="AL118" s="298">
        <f t="shared" si="98"/>
        <v>0</v>
      </c>
      <c r="AM118" s="221">
        <f t="shared" si="99"/>
        <v>0</v>
      </c>
      <c r="AN118" s="221">
        <f>MROUND((1+'[1]Core Assumptions'!$D$22)*AM118,'[1]Core Assumptions'!$E$23)</f>
        <v>0</v>
      </c>
      <c r="AO118" s="299">
        <f t="shared" si="100"/>
        <v>0</v>
      </c>
      <c r="AP118" s="300">
        <f>IF(AN$7=0,0,MROUND(AN118/AN$7*AP$8/'[1]Core Assumptions'!$D$28,'[1]Core Assumptions'!$E$23))</f>
        <v>0</v>
      </c>
      <c r="AQ118" s="301">
        <f t="shared" si="101"/>
        <v>0</v>
      </c>
      <c r="AR118" s="302">
        <f t="shared" si="102"/>
        <v>0</v>
      </c>
      <c r="AS118" s="249"/>
      <c r="AT118" s="303">
        <f t="shared" si="103"/>
        <v>0</v>
      </c>
      <c r="AU118" s="267"/>
      <c r="AV118" s="295">
        <f>IF(OR(AND($E118=TRUE,'[1]Pricing Summary'!$B$33="Ultimate"),AND($F118=TRUE,'[1]Pricing Summary'!$B$33="Enhanced"),AND($G118=TRUE,'[1]Pricing Summary'!$B$33="Essential")),1,0)</f>
        <v>0</v>
      </c>
      <c r="AW118" s="304">
        <f t="shared" si="104"/>
        <v>0</v>
      </c>
      <c r="AX118" s="305">
        <f t="shared" si="105"/>
        <v>0</v>
      </c>
      <c r="AY118" s="267"/>
      <c r="AZ118" s="304">
        <f t="shared" si="106"/>
        <v>0</v>
      </c>
      <c r="BA118" s="222">
        <f t="shared" si="107"/>
        <v>0</v>
      </c>
      <c r="BB118" s="306">
        <f t="shared" si="108"/>
        <v>0</v>
      </c>
      <c r="BC118" s="272"/>
      <c r="BD118" s="307">
        <f t="shared" si="109"/>
        <v>0</v>
      </c>
      <c r="BE118" s="308">
        <f t="shared" si="110"/>
        <v>0</v>
      </c>
      <c r="BF118" s="308">
        <f t="shared" si="111"/>
        <v>0</v>
      </c>
      <c r="BG118" s="309">
        <f t="shared" si="112"/>
        <v>0</v>
      </c>
      <c r="BH118" s="249"/>
      <c r="BI118" s="310">
        <f t="shared" si="113"/>
        <v>0</v>
      </c>
      <c r="BJ118" s="311">
        <f t="shared" si="114"/>
        <v>0</v>
      </c>
      <c r="BK118" s="311">
        <f t="shared" si="115"/>
        <v>0</v>
      </c>
      <c r="BL118" s="312">
        <f t="shared" si="116"/>
        <v>0</v>
      </c>
      <c r="BM118" s="249"/>
      <c r="BN118" s="313">
        <f t="shared" si="117"/>
        <v>0</v>
      </c>
      <c r="BO118" s="314">
        <f t="shared" si="118"/>
        <v>0</v>
      </c>
      <c r="BP118" s="314">
        <f t="shared" si="119"/>
        <v>0</v>
      </c>
      <c r="BQ118" s="315">
        <f t="shared" si="120"/>
        <v>0</v>
      </c>
      <c r="BR118" s="249"/>
      <c r="BS118" s="307">
        <f t="shared" si="121"/>
        <v>0</v>
      </c>
      <c r="BT118" s="308">
        <f t="shared" si="122"/>
        <v>0</v>
      </c>
      <c r="BU118" s="308">
        <f t="shared" si="123"/>
        <v>0</v>
      </c>
      <c r="BV118" s="309">
        <f t="shared" si="124"/>
        <v>0</v>
      </c>
      <c r="BW118" s="249"/>
      <c r="BX118" s="310">
        <f t="shared" si="125"/>
        <v>0</v>
      </c>
      <c r="BY118" s="311">
        <f t="shared" si="126"/>
        <v>0</v>
      </c>
      <c r="BZ118" s="311">
        <f t="shared" si="127"/>
        <v>0</v>
      </c>
      <c r="CA118" s="312">
        <f t="shared" si="128"/>
        <v>0</v>
      </c>
      <c r="CB118" s="249"/>
      <c r="CC118" s="313">
        <f t="shared" si="129"/>
        <v>0</v>
      </c>
      <c r="CD118" s="314">
        <f t="shared" si="130"/>
        <v>0</v>
      </c>
      <c r="CE118" s="314">
        <f t="shared" si="131"/>
        <v>0</v>
      </c>
      <c r="CF118" s="315">
        <f t="shared" si="132"/>
        <v>0</v>
      </c>
      <c r="CG118" s="249"/>
      <c r="CH118" s="316"/>
    </row>
    <row r="119" spans="1:86" ht="15.75" hidden="1" customHeight="1" outlineLevel="1" x14ac:dyDescent="0.2">
      <c r="A119" s="242" t="str">
        <f>IF(OR(E119&lt;&gt;FALSE,F119&lt;&gt;FALSE,G119&lt;&gt;FALSE),MAX(A$16:A118)+1,"")</f>
        <v/>
      </c>
      <c r="B119" s="284"/>
      <c r="C119" s="284" t="s">
        <v>42</v>
      </c>
      <c r="D119" s="245" t="s">
        <v>11</v>
      </c>
      <c r="E119" s="285" t="b">
        <v>0</v>
      </c>
      <c r="F119" s="286" t="b">
        <v>0</v>
      </c>
      <c r="G119" s="287" t="b">
        <v>0</v>
      </c>
      <c r="H119" s="249"/>
      <c r="I119" s="288">
        <v>1</v>
      </c>
      <c r="J119" s="249"/>
      <c r="K119" s="289"/>
      <c r="L119" s="290"/>
      <c r="M119" s="290"/>
      <c r="N119" s="290"/>
      <c r="O119" s="290"/>
      <c r="P119" s="290"/>
      <c r="Q119" s="290"/>
      <c r="R119" s="290"/>
      <c r="S119" s="290"/>
      <c r="T119" s="290"/>
      <c r="U119" s="289"/>
      <c r="V119" s="290"/>
      <c r="W119" s="290"/>
      <c r="X119" s="290"/>
      <c r="Y119" s="290"/>
      <c r="Z119" s="290"/>
      <c r="AA119" s="291"/>
      <c r="AB119" s="292"/>
      <c r="AC119" s="293"/>
      <c r="AD119" s="293"/>
      <c r="AE119" s="294"/>
      <c r="AF119" s="249"/>
      <c r="AG119" s="295">
        <f>IF(OR(AND($E119=TRUE,'[1]Pricing Summary'!$B$33=$E$2),AND($F119=TRUE,'[1]Pricing Summary'!$B$33=$F$2),AND($G119=TRUE,'[1]Pricing Summary'!$B$33=$G$2)),1,0)</f>
        <v>0</v>
      </c>
      <c r="AH119" s="295">
        <f t="shared" si="95"/>
        <v>0</v>
      </c>
      <c r="AI119" s="296">
        <f t="shared" si="96"/>
        <v>0</v>
      </c>
      <c r="AJ119" s="297">
        <f t="shared" si="97"/>
        <v>0</v>
      </c>
      <c r="AK119" s="249"/>
      <c r="AL119" s="298">
        <f t="shared" si="98"/>
        <v>0</v>
      </c>
      <c r="AM119" s="221">
        <f t="shared" si="99"/>
        <v>0</v>
      </c>
      <c r="AN119" s="221">
        <f>MROUND((1+'[1]Core Assumptions'!$D$22)*AM119,'[1]Core Assumptions'!$E$23)</f>
        <v>0</v>
      </c>
      <c r="AO119" s="299">
        <f t="shared" si="100"/>
        <v>0</v>
      </c>
      <c r="AP119" s="300">
        <f>IF(AN$7=0,0,MROUND(AN119/AN$7*AP$8/'[1]Core Assumptions'!$D$28,'[1]Core Assumptions'!$E$23))</f>
        <v>0</v>
      </c>
      <c r="AQ119" s="301">
        <f t="shared" si="101"/>
        <v>0</v>
      </c>
      <c r="AR119" s="302">
        <f t="shared" si="102"/>
        <v>0</v>
      </c>
      <c r="AS119" s="249"/>
      <c r="AT119" s="303">
        <f t="shared" si="103"/>
        <v>0</v>
      </c>
      <c r="AU119" s="267"/>
      <c r="AV119" s="295">
        <f>IF(OR(AND($E119=TRUE,'[1]Pricing Summary'!$B$33="Ultimate"),AND($F119=TRUE,'[1]Pricing Summary'!$B$33="Enhanced"),AND($G119=TRUE,'[1]Pricing Summary'!$B$33="Essential")),1,0)</f>
        <v>0</v>
      </c>
      <c r="AW119" s="304">
        <f t="shared" si="104"/>
        <v>0</v>
      </c>
      <c r="AX119" s="305">
        <f t="shared" si="105"/>
        <v>0</v>
      </c>
      <c r="AY119" s="267"/>
      <c r="AZ119" s="304">
        <f t="shared" si="106"/>
        <v>0</v>
      </c>
      <c r="BA119" s="222">
        <f t="shared" si="107"/>
        <v>0</v>
      </c>
      <c r="BB119" s="306">
        <f t="shared" si="108"/>
        <v>0</v>
      </c>
      <c r="BC119" s="272"/>
      <c r="BD119" s="307">
        <f t="shared" si="109"/>
        <v>0</v>
      </c>
      <c r="BE119" s="308">
        <f t="shared" si="110"/>
        <v>0</v>
      </c>
      <c r="BF119" s="308">
        <f t="shared" si="111"/>
        <v>0</v>
      </c>
      <c r="BG119" s="309">
        <f t="shared" si="112"/>
        <v>0</v>
      </c>
      <c r="BH119" s="249"/>
      <c r="BI119" s="310">
        <f t="shared" si="113"/>
        <v>0</v>
      </c>
      <c r="BJ119" s="311">
        <f t="shared" si="114"/>
        <v>0</v>
      </c>
      <c r="BK119" s="311">
        <f t="shared" si="115"/>
        <v>0</v>
      </c>
      <c r="BL119" s="312">
        <f t="shared" si="116"/>
        <v>0</v>
      </c>
      <c r="BM119" s="249"/>
      <c r="BN119" s="313">
        <f t="shared" si="117"/>
        <v>0</v>
      </c>
      <c r="BO119" s="314">
        <f t="shared" si="118"/>
        <v>0</v>
      </c>
      <c r="BP119" s="314">
        <f t="shared" si="119"/>
        <v>0</v>
      </c>
      <c r="BQ119" s="315">
        <f t="shared" si="120"/>
        <v>0</v>
      </c>
      <c r="BR119" s="249"/>
      <c r="BS119" s="307">
        <f t="shared" si="121"/>
        <v>0</v>
      </c>
      <c r="BT119" s="308">
        <f t="shared" si="122"/>
        <v>0</v>
      </c>
      <c r="BU119" s="308">
        <f t="shared" si="123"/>
        <v>0</v>
      </c>
      <c r="BV119" s="309">
        <f t="shared" si="124"/>
        <v>0</v>
      </c>
      <c r="BW119" s="249"/>
      <c r="BX119" s="310">
        <f t="shared" si="125"/>
        <v>0</v>
      </c>
      <c r="BY119" s="311">
        <f t="shared" si="126"/>
        <v>0</v>
      </c>
      <c r="BZ119" s="311">
        <f t="shared" si="127"/>
        <v>0</v>
      </c>
      <c r="CA119" s="312">
        <f t="shared" si="128"/>
        <v>0</v>
      </c>
      <c r="CB119" s="249"/>
      <c r="CC119" s="313">
        <f t="shared" si="129"/>
        <v>0</v>
      </c>
      <c r="CD119" s="314">
        <f t="shared" si="130"/>
        <v>0</v>
      </c>
      <c r="CE119" s="314">
        <f t="shared" si="131"/>
        <v>0</v>
      </c>
      <c r="CF119" s="315">
        <f t="shared" si="132"/>
        <v>0</v>
      </c>
      <c r="CG119" s="249"/>
      <c r="CH119" s="316"/>
    </row>
    <row r="120" spans="1:86" ht="15.75" hidden="1" customHeight="1" outlineLevel="1" x14ac:dyDescent="0.2">
      <c r="A120" s="242" t="str">
        <f>IF(OR(E120&lt;&gt;FALSE,F120&lt;&gt;FALSE,G120&lt;&gt;FALSE),MAX(A$16:A119)+1,"")</f>
        <v/>
      </c>
      <c r="B120" s="284"/>
      <c r="C120" s="284" t="s">
        <v>42</v>
      </c>
      <c r="D120" s="245" t="s">
        <v>11</v>
      </c>
      <c r="E120" s="285" t="b">
        <v>0</v>
      </c>
      <c r="F120" s="286" t="b">
        <v>0</v>
      </c>
      <c r="G120" s="287" t="b">
        <v>0</v>
      </c>
      <c r="H120" s="249"/>
      <c r="I120" s="288">
        <v>1</v>
      </c>
      <c r="J120" s="249"/>
      <c r="K120" s="289"/>
      <c r="L120" s="290"/>
      <c r="M120" s="290"/>
      <c r="N120" s="290"/>
      <c r="O120" s="290"/>
      <c r="P120" s="290"/>
      <c r="Q120" s="290"/>
      <c r="R120" s="290"/>
      <c r="S120" s="290"/>
      <c r="T120" s="290"/>
      <c r="U120" s="289"/>
      <c r="V120" s="290"/>
      <c r="W120" s="290"/>
      <c r="X120" s="290"/>
      <c r="Y120" s="290"/>
      <c r="Z120" s="290"/>
      <c r="AA120" s="291"/>
      <c r="AB120" s="292"/>
      <c r="AC120" s="293"/>
      <c r="AD120" s="293"/>
      <c r="AE120" s="294"/>
      <c r="AF120" s="249"/>
      <c r="AG120" s="295">
        <f>IF(OR(AND($E120=TRUE,'[1]Pricing Summary'!$B$33=$E$2),AND($F120=TRUE,'[1]Pricing Summary'!$B$33=$F$2),AND($G120=TRUE,'[1]Pricing Summary'!$B$33=$G$2)),1,0)</f>
        <v>0</v>
      </c>
      <c r="AH120" s="295">
        <f t="shared" si="95"/>
        <v>0</v>
      </c>
      <c r="AI120" s="296">
        <f t="shared" si="96"/>
        <v>0</v>
      </c>
      <c r="AJ120" s="297">
        <f t="shared" si="97"/>
        <v>0</v>
      </c>
      <c r="AK120" s="249"/>
      <c r="AL120" s="298">
        <f t="shared" si="98"/>
        <v>0</v>
      </c>
      <c r="AM120" s="221">
        <f t="shared" si="99"/>
        <v>0</v>
      </c>
      <c r="AN120" s="221">
        <f>MROUND((1+'[1]Core Assumptions'!$D$22)*AM120,'[1]Core Assumptions'!$E$23)</f>
        <v>0</v>
      </c>
      <c r="AO120" s="299">
        <f t="shared" si="100"/>
        <v>0</v>
      </c>
      <c r="AP120" s="300">
        <f>IF(AN$7=0,0,MROUND(AN120/AN$7*AP$8/'[1]Core Assumptions'!$D$28,'[1]Core Assumptions'!$E$23))</f>
        <v>0</v>
      </c>
      <c r="AQ120" s="301">
        <f t="shared" si="101"/>
        <v>0</v>
      </c>
      <c r="AR120" s="302">
        <f t="shared" si="102"/>
        <v>0</v>
      </c>
      <c r="AS120" s="249"/>
      <c r="AT120" s="303">
        <f t="shared" si="103"/>
        <v>0</v>
      </c>
      <c r="AU120" s="267"/>
      <c r="AV120" s="295">
        <f>IF(OR(AND($E120=TRUE,'[1]Pricing Summary'!$B$33="Ultimate"),AND($F120=TRUE,'[1]Pricing Summary'!$B$33="Enhanced"),AND($G120=TRUE,'[1]Pricing Summary'!$B$33="Essential")),1,0)</f>
        <v>0</v>
      </c>
      <c r="AW120" s="304">
        <f t="shared" si="104"/>
        <v>0</v>
      </c>
      <c r="AX120" s="305">
        <f t="shared" si="105"/>
        <v>0</v>
      </c>
      <c r="AY120" s="267"/>
      <c r="AZ120" s="304">
        <f t="shared" si="106"/>
        <v>0</v>
      </c>
      <c r="BA120" s="222">
        <f t="shared" si="107"/>
        <v>0</v>
      </c>
      <c r="BB120" s="306">
        <f t="shared" si="108"/>
        <v>0</v>
      </c>
      <c r="BC120" s="272"/>
      <c r="BD120" s="307">
        <f t="shared" si="109"/>
        <v>0</v>
      </c>
      <c r="BE120" s="308">
        <f t="shared" si="110"/>
        <v>0</v>
      </c>
      <c r="BF120" s="308">
        <f t="shared" si="111"/>
        <v>0</v>
      </c>
      <c r="BG120" s="309">
        <f t="shared" si="112"/>
        <v>0</v>
      </c>
      <c r="BH120" s="249"/>
      <c r="BI120" s="310">
        <f t="shared" si="113"/>
        <v>0</v>
      </c>
      <c r="BJ120" s="311">
        <f t="shared" si="114"/>
        <v>0</v>
      </c>
      <c r="BK120" s="311">
        <f t="shared" si="115"/>
        <v>0</v>
      </c>
      <c r="BL120" s="312">
        <f t="shared" si="116"/>
        <v>0</v>
      </c>
      <c r="BM120" s="249"/>
      <c r="BN120" s="313">
        <f t="shared" si="117"/>
        <v>0</v>
      </c>
      <c r="BO120" s="314">
        <f t="shared" si="118"/>
        <v>0</v>
      </c>
      <c r="BP120" s="314">
        <f t="shared" si="119"/>
        <v>0</v>
      </c>
      <c r="BQ120" s="315">
        <f t="shared" si="120"/>
        <v>0</v>
      </c>
      <c r="BR120" s="249"/>
      <c r="BS120" s="307">
        <f t="shared" si="121"/>
        <v>0</v>
      </c>
      <c r="BT120" s="308">
        <f t="shared" si="122"/>
        <v>0</v>
      </c>
      <c r="BU120" s="308">
        <f t="shared" si="123"/>
        <v>0</v>
      </c>
      <c r="BV120" s="309">
        <f t="shared" si="124"/>
        <v>0</v>
      </c>
      <c r="BW120" s="249"/>
      <c r="BX120" s="310">
        <f t="shared" si="125"/>
        <v>0</v>
      </c>
      <c r="BY120" s="311">
        <f t="shared" si="126"/>
        <v>0</v>
      </c>
      <c r="BZ120" s="311">
        <f t="shared" si="127"/>
        <v>0</v>
      </c>
      <c r="CA120" s="312">
        <f t="shared" si="128"/>
        <v>0</v>
      </c>
      <c r="CB120" s="249"/>
      <c r="CC120" s="313">
        <f t="shared" si="129"/>
        <v>0</v>
      </c>
      <c r="CD120" s="314">
        <f t="shared" si="130"/>
        <v>0</v>
      </c>
      <c r="CE120" s="314">
        <f t="shared" si="131"/>
        <v>0</v>
      </c>
      <c r="CF120" s="315">
        <f t="shared" si="132"/>
        <v>0</v>
      </c>
      <c r="CG120" s="249"/>
      <c r="CH120" s="316"/>
    </row>
    <row r="121" spans="1:86" ht="15.75" hidden="1" customHeight="1" outlineLevel="1" x14ac:dyDescent="0.2">
      <c r="A121" s="242" t="str">
        <f>IF(OR(E121&lt;&gt;FALSE,F121&lt;&gt;FALSE,G121&lt;&gt;FALSE),MAX(A$16:A120)+1,"")</f>
        <v/>
      </c>
      <c r="B121" s="284"/>
      <c r="C121" s="284" t="s">
        <v>42</v>
      </c>
      <c r="D121" s="245" t="s">
        <v>11</v>
      </c>
      <c r="E121" s="285" t="b">
        <v>0</v>
      </c>
      <c r="F121" s="286" t="b">
        <v>0</v>
      </c>
      <c r="G121" s="287" t="b">
        <v>0</v>
      </c>
      <c r="H121" s="249"/>
      <c r="I121" s="288">
        <v>1</v>
      </c>
      <c r="J121" s="249"/>
      <c r="K121" s="289"/>
      <c r="L121" s="290"/>
      <c r="M121" s="290"/>
      <c r="N121" s="290"/>
      <c r="O121" s="290"/>
      <c r="P121" s="290"/>
      <c r="Q121" s="290"/>
      <c r="R121" s="290"/>
      <c r="S121" s="290"/>
      <c r="T121" s="290"/>
      <c r="U121" s="289"/>
      <c r="V121" s="290"/>
      <c r="W121" s="290"/>
      <c r="X121" s="290"/>
      <c r="Y121" s="290"/>
      <c r="Z121" s="290"/>
      <c r="AA121" s="291"/>
      <c r="AB121" s="292"/>
      <c r="AC121" s="293"/>
      <c r="AD121" s="293"/>
      <c r="AE121" s="294"/>
      <c r="AF121" s="249"/>
      <c r="AG121" s="295">
        <f>IF(OR(AND($E121=TRUE,'[1]Pricing Summary'!$B$33=$E$2),AND($F121=TRUE,'[1]Pricing Summary'!$B$33=$F$2),AND($G121=TRUE,'[1]Pricing Summary'!$B$33=$G$2)),1,0)</f>
        <v>0</v>
      </c>
      <c r="AH121" s="295">
        <f t="shared" si="95"/>
        <v>0</v>
      </c>
      <c r="AI121" s="296">
        <f t="shared" si="96"/>
        <v>0</v>
      </c>
      <c r="AJ121" s="297">
        <f t="shared" si="97"/>
        <v>0</v>
      </c>
      <c r="AK121" s="249"/>
      <c r="AL121" s="298">
        <f t="shared" si="98"/>
        <v>0</v>
      </c>
      <c r="AM121" s="221">
        <f t="shared" si="99"/>
        <v>0</v>
      </c>
      <c r="AN121" s="221">
        <f>MROUND((1+'[1]Core Assumptions'!$D$22)*AM121,'[1]Core Assumptions'!$E$23)</f>
        <v>0</v>
      </c>
      <c r="AO121" s="299">
        <f t="shared" si="100"/>
        <v>0</v>
      </c>
      <c r="AP121" s="300">
        <f>IF(AN$7=0,0,MROUND(AN121/AN$7*AP$8/'[1]Core Assumptions'!$D$28,'[1]Core Assumptions'!$E$23))</f>
        <v>0</v>
      </c>
      <c r="AQ121" s="301">
        <f t="shared" si="101"/>
        <v>0</v>
      </c>
      <c r="AR121" s="302">
        <f t="shared" si="102"/>
        <v>0</v>
      </c>
      <c r="AS121" s="249"/>
      <c r="AT121" s="303">
        <f t="shared" si="103"/>
        <v>0</v>
      </c>
      <c r="AU121" s="267"/>
      <c r="AV121" s="295">
        <f>IF(OR(AND($E121=TRUE,'[1]Pricing Summary'!$B$33="Ultimate"),AND($F121=TRUE,'[1]Pricing Summary'!$B$33="Enhanced"),AND($G121=TRUE,'[1]Pricing Summary'!$B$33="Essential")),1,0)</f>
        <v>0</v>
      </c>
      <c r="AW121" s="304">
        <f t="shared" si="104"/>
        <v>0</v>
      </c>
      <c r="AX121" s="305">
        <f t="shared" si="105"/>
        <v>0</v>
      </c>
      <c r="AY121" s="267"/>
      <c r="AZ121" s="304">
        <f t="shared" si="106"/>
        <v>0</v>
      </c>
      <c r="BA121" s="222">
        <f t="shared" si="107"/>
        <v>0</v>
      </c>
      <c r="BB121" s="306">
        <f t="shared" si="108"/>
        <v>0</v>
      </c>
      <c r="BC121" s="272"/>
      <c r="BD121" s="307">
        <f t="shared" si="109"/>
        <v>0</v>
      </c>
      <c r="BE121" s="308">
        <f t="shared" si="110"/>
        <v>0</v>
      </c>
      <c r="BF121" s="308">
        <f t="shared" si="111"/>
        <v>0</v>
      </c>
      <c r="BG121" s="309">
        <f t="shared" si="112"/>
        <v>0</v>
      </c>
      <c r="BH121" s="249"/>
      <c r="BI121" s="310">
        <f t="shared" si="113"/>
        <v>0</v>
      </c>
      <c r="BJ121" s="311">
        <f t="shared" si="114"/>
        <v>0</v>
      </c>
      <c r="BK121" s="311">
        <f t="shared" si="115"/>
        <v>0</v>
      </c>
      <c r="BL121" s="312">
        <f t="shared" si="116"/>
        <v>0</v>
      </c>
      <c r="BM121" s="249"/>
      <c r="BN121" s="313">
        <f t="shared" si="117"/>
        <v>0</v>
      </c>
      <c r="BO121" s="314">
        <f t="shared" si="118"/>
        <v>0</v>
      </c>
      <c r="BP121" s="314">
        <f t="shared" si="119"/>
        <v>0</v>
      </c>
      <c r="BQ121" s="315">
        <f t="shared" si="120"/>
        <v>0</v>
      </c>
      <c r="BR121" s="249"/>
      <c r="BS121" s="307">
        <f t="shared" si="121"/>
        <v>0</v>
      </c>
      <c r="BT121" s="308">
        <f t="shared" si="122"/>
        <v>0</v>
      </c>
      <c r="BU121" s="308">
        <f t="shared" si="123"/>
        <v>0</v>
      </c>
      <c r="BV121" s="309">
        <f t="shared" si="124"/>
        <v>0</v>
      </c>
      <c r="BW121" s="249"/>
      <c r="BX121" s="310">
        <f t="shared" si="125"/>
        <v>0</v>
      </c>
      <c r="BY121" s="311">
        <f t="shared" si="126"/>
        <v>0</v>
      </c>
      <c r="BZ121" s="311">
        <f t="shared" si="127"/>
        <v>0</v>
      </c>
      <c r="CA121" s="312">
        <f t="shared" si="128"/>
        <v>0</v>
      </c>
      <c r="CB121" s="249"/>
      <c r="CC121" s="313">
        <f t="shared" si="129"/>
        <v>0</v>
      </c>
      <c r="CD121" s="314">
        <f t="shared" si="130"/>
        <v>0</v>
      </c>
      <c r="CE121" s="314">
        <f t="shared" si="131"/>
        <v>0</v>
      </c>
      <c r="CF121" s="315">
        <f t="shared" si="132"/>
        <v>0</v>
      </c>
      <c r="CG121" s="249"/>
      <c r="CH121" s="316"/>
    </row>
    <row r="122" spans="1:86" ht="15.75" hidden="1" customHeight="1" outlineLevel="1" x14ac:dyDescent="0.2">
      <c r="A122" s="242" t="str">
        <f>IF(OR(E122&lt;&gt;FALSE,F122&lt;&gt;FALSE,G122&lt;&gt;FALSE),MAX(A$16:A121)+1,"")</f>
        <v/>
      </c>
      <c r="B122" s="284"/>
      <c r="C122" s="284" t="s">
        <v>42</v>
      </c>
      <c r="D122" s="245" t="s">
        <v>11</v>
      </c>
      <c r="E122" s="285" t="b">
        <v>0</v>
      </c>
      <c r="F122" s="286" t="b">
        <v>0</v>
      </c>
      <c r="G122" s="287" t="b">
        <v>0</v>
      </c>
      <c r="H122" s="249"/>
      <c r="I122" s="288">
        <v>1</v>
      </c>
      <c r="J122" s="249"/>
      <c r="K122" s="289"/>
      <c r="L122" s="290"/>
      <c r="M122" s="290"/>
      <c r="N122" s="290"/>
      <c r="O122" s="290"/>
      <c r="P122" s="290"/>
      <c r="Q122" s="290"/>
      <c r="R122" s="290"/>
      <c r="S122" s="290"/>
      <c r="T122" s="290"/>
      <c r="U122" s="289"/>
      <c r="V122" s="290"/>
      <c r="W122" s="290"/>
      <c r="X122" s="290"/>
      <c r="Y122" s="290"/>
      <c r="Z122" s="290"/>
      <c r="AA122" s="291"/>
      <c r="AB122" s="292"/>
      <c r="AC122" s="293"/>
      <c r="AD122" s="293"/>
      <c r="AE122" s="294"/>
      <c r="AF122" s="249"/>
      <c r="AG122" s="295">
        <f>IF(OR(AND($E122=TRUE,'[1]Pricing Summary'!$B$33=$E$2),AND($F122=TRUE,'[1]Pricing Summary'!$B$33=$F$2),AND($G122=TRUE,'[1]Pricing Summary'!$B$33=$G$2)),1,0)</f>
        <v>0</v>
      </c>
      <c r="AH122" s="295">
        <f t="shared" si="95"/>
        <v>0</v>
      </c>
      <c r="AI122" s="296">
        <f t="shared" si="96"/>
        <v>0</v>
      </c>
      <c r="AJ122" s="297">
        <f t="shared" si="97"/>
        <v>0</v>
      </c>
      <c r="AK122" s="249"/>
      <c r="AL122" s="298">
        <f t="shared" si="98"/>
        <v>0</v>
      </c>
      <c r="AM122" s="221">
        <f t="shared" si="99"/>
        <v>0</v>
      </c>
      <c r="AN122" s="221">
        <f>MROUND((1+'[1]Core Assumptions'!$D$22)*AM122,'[1]Core Assumptions'!$E$23)</f>
        <v>0</v>
      </c>
      <c r="AO122" s="299">
        <f t="shared" si="100"/>
        <v>0</v>
      </c>
      <c r="AP122" s="300">
        <f>IF(AN$7=0,0,MROUND(AN122/AN$7*AP$8/'[1]Core Assumptions'!$D$28,'[1]Core Assumptions'!$E$23))</f>
        <v>0</v>
      </c>
      <c r="AQ122" s="301">
        <f t="shared" si="101"/>
        <v>0</v>
      </c>
      <c r="AR122" s="302">
        <f t="shared" si="102"/>
        <v>0</v>
      </c>
      <c r="AS122" s="249"/>
      <c r="AT122" s="303">
        <f t="shared" si="103"/>
        <v>0</v>
      </c>
      <c r="AU122" s="267"/>
      <c r="AV122" s="295">
        <f>IF(OR(AND($E122=TRUE,'[1]Pricing Summary'!$B$33="Ultimate"),AND($F122=TRUE,'[1]Pricing Summary'!$B$33="Enhanced"),AND($G122=TRUE,'[1]Pricing Summary'!$B$33="Essential")),1,0)</f>
        <v>0</v>
      </c>
      <c r="AW122" s="304">
        <f t="shared" si="104"/>
        <v>0</v>
      </c>
      <c r="AX122" s="305">
        <f t="shared" si="105"/>
        <v>0</v>
      </c>
      <c r="AY122" s="267"/>
      <c r="AZ122" s="304">
        <f t="shared" si="106"/>
        <v>0</v>
      </c>
      <c r="BA122" s="222">
        <f t="shared" si="107"/>
        <v>0</v>
      </c>
      <c r="BB122" s="306">
        <f t="shared" si="108"/>
        <v>0</v>
      </c>
      <c r="BC122" s="272"/>
      <c r="BD122" s="307">
        <f t="shared" si="109"/>
        <v>0</v>
      </c>
      <c r="BE122" s="308">
        <f t="shared" si="110"/>
        <v>0</v>
      </c>
      <c r="BF122" s="308">
        <f t="shared" si="111"/>
        <v>0</v>
      </c>
      <c r="BG122" s="309">
        <f t="shared" si="112"/>
        <v>0</v>
      </c>
      <c r="BH122" s="249"/>
      <c r="BI122" s="310">
        <f t="shared" si="113"/>
        <v>0</v>
      </c>
      <c r="BJ122" s="311">
        <f t="shared" si="114"/>
        <v>0</v>
      </c>
      <c r="BK122" s="311">
        <f t="shared" si="115"/>
        <v>0</v>
      </c>
      <c r="BL122" s="312">
        <f t="shared" si="116"/>
        <v>0</v>
      </c>
      <c r="BM122" s="249"/>
      <c r="BN122" s="313">
        <f t="shared" si="117"/>
        <v>0</v>
      </c>
      <c r="BO122" s="314">
        <f t="shared" si="118"/>
        <v>0</v>
      </c>
      <c r="BP122" s="314">
        <f t="shared" si="119"/>
        <v>0</v>
      </c>
      <c r="BQ122" s="315">
        <f t="shared" si="120"/>
        <v>0</v>
      </c>
      <c r="BR122" s="249"/>
      <c r="BS122" s="307">
        <f t="shared" si="121"/>
        <v>0</v>
      </c>
      <c r="BT122" s="308">
        <f t="shared" si="122"/>
        <v>0</v>
      </c>
      <c r="BU122" s="308">
        <f t="shared" si="123"/>
        <v>0</v>
      </c>
      <c r="BV122" s="309">
        <f t="shared" si="124"/>
        <v>0</v>
      </c>
      <c r="BW122" s="249"/>
      <c r="BX122" s="310">
        <f t="shared" si="125"/>
        <v>0</v>
      </c>
      <c r="BY122" s="311">
        <f t="shared" si="126"/>
        <v>0</v>
      </c>
      <c r="BZ122" s="311">
        <f t="shared" si="127"/>
        <v>0</v>
      </c>
      <c r="CA122" s="312">
        <f t="shared" si="128"/>
        <v>0</v>
      </c>
      <c r="CB122" s="249"/>
      <c r="CC122" s="313">
        <f t="shared" si="129"/>
        <v>0</v>
      </c>
      <c r="CD122" s="314">
        <f t="shared" si="130"/>
        <v>0</v>
      </c>
      <c r="CE122" s="314">
        <f t="shared" si="131"/>
        <v>0</v>
      </c>
      <c r="CF122" s="315">
        <f t="shared" si="132"/>
        <v>0</v>
      </c>
      <c r="CG122" s="249"/>
      <c r="CH122" s="316"/>
    </row>
    <row r="123" spans="1:86" ht="15.75" hidden="1" customHeight="1" outlineLevel="1" x14ac:dyDescent="0.2">
      <c r="A123" s="242" t="str">
        <f>IF(OR(E123&lt;&gt;FALSE,F123&lt;&gt;FALSE,G123&lt;&gt;FALSE),MAX(A$16:A122)+1,"")</f>
        <v/>
      </c>
      <c r="B123" s="284"/>
      <c r="C123" s="284" t="s">
        <v>42</v>
      </c>
      <c r="D123" s="245" t="s">
        <v>11</v>
      </c>
      <c r="E123" s="285" t="b">
        <v>0</v>
      </c>
      <c r="F123" s="286" t="b">
        <v>0</v>
      </c>
      <c r="G123" s="287" t="b">
        <v>0</v>
      </c>
      <c r="H123" s="249"/>
      <c r="I123" s="288">
        <v>1</v>
      </c>
      <c r="J123" s="249"/>
      <c r="K123" s="289"/>
      <c r="L123" s="290"/>
      <c r="M123" s="290"/>
      <c r="N123" s="290"/>
      <c r="O123" s="290"/>
      <c r="P123" s="290"/>
      <c r="Q123" s="290"/>
      <c r="R123" s="290"/>
      <c r="S123" s="290"/>
      <c r="T123" s="290"/>
      <c r="U123" s="289"/>
      <c r="V123" s="290"/>
      <c r="W123" s="290"/>
      <c r="X123" s="290"/>
      <c r="Y123" s="290"/>
      <c r="Z123" s="290"/>
      <c r="AA123" s="291"/>
      <c r="AB123" s="292"/>
      <c r="AC123" s="293"/>
      <c r="AD123" s="293"/>
      <c r="AE123" s="294"/>
      <c r="AF123" s="249"/>
      <c r="AG123" s="295">
        <f>IF(OR(AND($E123=TRUE,'[1]Pricing Summary'!$B$33=$E$2),AND($F123=TRUE,'[1]Pricing Summary'!$B$33=$F$2),AND($G123=TRUE,'[1]Pricing Summary'!$B$33=$G$2)),1,0)</f>
        <v>0</v>
      </c>
      <c r="AH123" s="295">
        <f t="shared" si="95"/>
        <v>0</v>
      </c>
      <c r="AI123" s="296">
        <f t="shared" si="96"/>
        <v>0</v>
      </c>
      <c r="AJ123" s="297">
        <f t="shared" si="97"/>
        <v>0</v>
      </c>
      <c r="AK123" s="249"/>
      <c r="AL123" s="298">
        <f t="shared" si="98"/>
        <v>0</v>
      </c>
      <c r="AM123" s="221">
        <f t="shared" si="99"/>
        <v>0</v>
      </c>
      <c r="AN123" s="221">
        <f>MROUND((1+'[1]Core Assumptions'!$D$22)*AM123,'[1]Core Assumptions'!$E$23)</f>
        <v>0</v>
      </c>
      <c r="AO123" s="299">
        <f t="shared" si="100"/>
        <v>0</v>
      </c>
      <c r="AP123" s="300">
        <f>IF(AN$7=0,0,MROUND(AN123/AN$7*AP$8/'[1]Core Assumptions'!$D$28,'[1]Core Assumptions'!$E$23))</f>
        <v>0</v>
      </c>
      <c r="AQ123" s="301">
        <f t="shared" si="101"/>
        <v>0</v>
      </c>
      <c r="AR123" s="302">
        <f t="shared" si="102"/>
        <v>0</v>
      </c>
      <c r="AS123" s="249"/>
      <c r="AT123" s="303">
        <f t="shared" si="103"/>
        <v>0</v>
      </c>
      <c r="AU123" s="267"/>
      <c r="AV123" s="295">
        <f>IF(OR(AND($E123=TRUE,'[1]Pricing Summary'!$B$33="Ultimate"),AND($F123=TRUE,'[1]Pricing Summary'!$B$33="Enhanced"),AND($G123=TRUE,'[1]Pricing Summary'!$B$33="Essential")),1,0)</f>
        <v>0</v>
      </c>
      <c r="AW123" s="304">
        <f t="shared" si="104"/>
        <v>0</v>
      </c>
      <c r="AX123" s="305">
        <f t="shared" si="105"/>
        <v>0</v>
      </c>
      <c r="AY123" s="267"/>
      <c r="AZ123" s="304">
        <f t="shared" si="106"/>
        <v>0</v>
      </c>
      <c r="BA123" s="222">
        <f t="shared" si="107"/>
        <v>0</v>
      </c>
      <c r="BB123" s="306">
        <f t="shared" si="108"/>
        <v>0</v>
      </c>
      <c r="BC123" s="272"/>
      <c r="BD123" s="307">
        <f t="shared" si="109"/>
        <v>0</v>
      </c>
      <c r="BE123" s="308">
        <f t="shared" si="110"/>
        <v>0</v>
      </c>
      <c r="BF123" s="308">
        <f t="shared" si="111"/>
        <v>0</v>
      </c>
      <c r="BG123" s="309">
        <f t="shared" si="112"/>
        <v>0</v>
      </c>
      <c r="BH123" s="249"/>
      <c r="BI123" s="310">
        <f t="shared" si="113"/>
        <v>0</v>
      </c>
      <c r="BJ123" s="311">
        <f t="shared" si="114"/>
        <v>0</v>
      </c>
      <c r="BK123" s="311">
        <f t="shared" si="115"/>
        <v>0</v>
      </c>
      <c r="BL123" s="312">
        <f t="shared" si="116"/>
        <v>0</v>
      </c>
      <c r="BM123" s="249"/>
      <c r="BN123" s="313">
        <f t="shared" si="117"/>
        <v>0</v>
      </c>
      <c r="BO123" s="314">
        <f t="shared" si="118"/>
        <v>0</v>
      </c>
      <c r="BP123" s="314">
        <f t="shared" si="119"/>
        <v>0</v>
      </c>
      <c r="BQ123" s="315">
        <f t="shared" si="120"/>
        <v>0</v>
      </c>
      <c r="BR123" s="249"/>
      <c r="BS123" s="307">
        <f t="shared" si="121"/>
        <v>0</v>
      </c>
      <c r="BT123" s="308">
        <f t="shared" si="122"/>
        <v>0</v>
      </c>
      <c r="BU123" s="308">
        <f t="shared" si="123"/>
        <v>0</v>
      </c>
      <c r="BV123" s="309">
        <f t="shared" si="124"/>
        <v>0</v>
      </c>
      <c r="BW123" s="249"/>
      <c r="BX123" s="310">
        <f t="shared" si="125"/>
        <v>0</v>
      </c>
      <c r="BY123" s="311">
        <f t="shared" si="126"/>
        <v>0</v>
      </c>
      <c r="BZ123" s="311">
        <f t="shared" si="127"/>
        <v>0</v>
      </c>
      <c r="CA123" s="312">
        <f t="shared" si="128"/>
        <v>0</v>
      </c>
      <c r="CB123" s="249"/>
      <c r="CC123" s="313">
        <f t="shared" si="129"/>
        <v>0</v>
      </c>
      <c r="CD123" s="314">
        <f t="shared" si="130"/>
        <v>0</v>
      </c>
      <c r="CE123" s="314">
        <f t="shared" si="131"/>
        <v>0</v>
      </c>
      <c r="CF123" s="315">
        <f t="shared" si="132"/>
        <v>0</v>
      </c>
      <c r="CG123" s="249"/>
      <c r="CH123" s="316"/>
    </row>
    <row r="124" spans="1:86" ht="15.75" hidden="1" customHeight="1" outlineLevel="1" x14ac:dyDescent="0.2">
      <c r="A124" s="242" t="str">
        <f>IF(OR(E124&lt;&gt;FALSE,F124&lt;&gt;FALSE,G124&lt;&gt;FALSE),MAX(A$16:A123)+1,"")</f>
        <v/>
      </c>
      <c r="B124" s="284"/>
      <c r="C124" s="284" t="s">
        <v>42</v>
      </c>
      <c r="D124" s="245" t="s">
        <v>11</v>
      </c>
      <c r="E124" s="285" t="b">
        <v>0</v>
      </c>
      <c r="F124" s="286" t="b">
        <v>0</v>
      </c>
      <c r="G124" s="287" t="b">
        <v>0</v>
      </c>
      <c r="H124" s="249"/>
      <c r="I124" s="288">
        <v>1</v>
      </c>
      <c r="J124" s="249"/>
      <c r="K124" s="289"/>
      <c r="L124" s="290"/>
      <c r="M124" s="290"/>
      <c r="N124" s="290"/>
      <c r="O124" s="290"/>
      <c r="P124" s="290"/>
      <c r="Q124" s="290"/>
      <c r="R124" s="290"/>
      <c r="S124" s="290"/>
      <c r="T124" s="290"/>
      <c r="U124" s="289"/>
      <c r="V124" s="290"/>
      <c r="W124" s="290"/>
      <c r="X124" s="290"/>
      <c r="Y124" s="290"/>
      <c r="Z124" s="290"/>
      <c r="AA124" s="291"/>
      <c r="AB124" s="292"/>
      <c r="AC124" s="293"/>
      <c r="AD124" s="293"/>
      <c r="AE124" s="294"/>
      <c r="AF124" s="249"/>
      <c r="AG124" s="295">
        <f>IF(OR(AND($E124=TRUE,'[1]Pricing Summary'!$B$33=$E$2),AND($F124=TRUE,'[1]Pricing Summary'!$B$33=$F$2),AND($G124=TRUE,'[1]Pricing Summary'!$B$33=$G$2)),1,0)</f>
        <v>0</v>
      </c>
      <c r="AH124" s="295">
        <f t="shared" si="95"/>
        <v>0</v>
      </c>
      <c r="AI124" s="296">
        <f t="shared" si="96"/>
        <v>0</v>
      </c>
      <c r="AJ124" s="297">
        <f t="shared" si="97"/>
        <v>0</v>
      </c>
      <c r="AK124" s="249"/>
      <c r="AL124" s="298">
        <f t="shared" si="98"/>
        <v>0</v>
      </c>
      <c r="AM124" s="221">
        <f t="shared" si="99"/>
        <v>0</v>
      </c>
      <c r="AN124" s="221">
        <f>MROUND((1+'[1]Core Assumptions'!$D$22)*AM124,'[1]Core Assumptions'!$E$23)</f>
        <v>0</v>
      </c>
      <c r="AO124" s="299">
        <f t="shared" si="100"/>
        <v>0</v>
      </c>
      <c r="AP124" s="300">
        <f>IF(AN$7=0,0,MROUND(AN124/AN$7*AP$8/'[1]Core Assumptions'!$D$28,'[1]Core Assumptions'!$E$23))</f>
        <v>0</v>
      </c>
      <c r="AQ124" s="301">
        <f t="shared" si="101"/>
        <v>0</v>
      </c>
      <c r="AR124" s="302">
        <f t="shared" si="102"/>
        <v>0</v>
      </c>
      <c r="AS124" s="249"/>
      <c r="AT124" s="303">
        <f t="shared" si="103"/>
        <v>0</v>
      </c>
      <c r="AU124" s="267"/>
      <c r="AV124" s="295">
        <f>IF(OR(AND($E124=TRUE,'[1]Pricing Summary'!$B$33="Ultimate"),AND($F124=TRUE,'[1]Pricing Summary'!$B$33="Enhanced"),AND($G124=TRUE,'[1]Pricing Summary'!$B$33="Essential")),1,0)</f>
        <v>0</v>
      </c>
      <c r="AW124" s="304">
        <f t="shared" si="104"/>
        <v>0</v>
      </c>
      <c r="AX124" s="305">
        <f t="shared" si="105"/>
        <v>0</v>
      </c>
      <c r="AY124" s="267"/>
      <c r="AZ124" s="304">
        <f t="shared" si="106"/>
        <v>0</v>
      </c>
      <c r="BA124" s="222">
        <f t="shared" si="107"/>
        <v>0</v>
      </c>
      <c r="BB124" s="306">
        <f t="shared" si="108"/>
        <v>0</v>
      </c>
      <c r="BC124" s="272"/>
      <c r="BD124" s="307">
        <f t="shared" si="109"/>
        <v>0</v>
      </c>
      <c r="BE124" s="308">
        <f t="shared" si="110"/>
        <v>0</v>
      </c>
      <c r="BF124" s="308">
        <f t="shared" si="111"/>
        <v>0</v>
      </c>
      <c r="BG124" s="309">
        <f t="shared" si="112"/>
        <v>0</v>
      </c>
      <c r="BH124" s="249"/>
      <c r="BI124" s="310">
        <f t="shared" si="113"/>
        <v>0</v>
      </c>
      <c r="BJ124" s="311">
        <f t="shared" si="114"/>
        <v>0</v>
      </c>
      <c r="BK124" s="311">
        <f t="shared" si="115"/>
        <v>0</v>
      </c>
      <c r="BL124" s="312">
        <f t="shared" si="116"/>
        <v>0</v>
      </c>
      <c r="BM124" s="249"/>
      <c r="BN124" s="313">
        <f t="shared" si="117"/>
        <v>0</v>
      </c>
      <c r="BO124" s="314">
        <f t="shared" si="118"/>
        <v>0</v>
      </c>
      <c r="BP124" s="314">
        <f t="shared" si="119"/>
        <v>0</v>
      </c>
      <c r="BQ124" s="315">
        <f t="shared" si="120"/>
        <v>0</v>
      </c>
      <c r="BR124" s="249"/>
      <c r="BS124" s="307">
        <f t="shared" si="121"/>
        <v>0</v>
      </c>
      <c r="BT124" s="308">
        <f t="shared" si="122"/>
        <v>0</v>
      </c>
      <c r="BU124" s="308">
        <f t="shared" si="123"/>
        <v>0</v>
      </c>
      <c r="BV124" s="309">
        <f t="shared" si="124"/>
        <v>0</v>
      </c>
      <c r="BW124" s="249"/>
      <c r="BX124" s="310">
        <f t="shared" si="125"/>
        <v>0</v>
      </c>
      <c r="BY124" s="311">
        <f t="shared" si="126"/>
        <v>0</v>
      </c>
      <c r="BZ124" s="311">
        <f t="shared" si="127"/>
        <v>0</v>
      </c>
      <c r="CA124" s="312">
        <f t="shared" si="128"/>
        <v>0</v>
      </c>
      <c r="CB124" s="249"/>
      <c r="CC124" s="313">
        <f t="shared" si="129"/>
        <v>0</v>
      </c>
      <c r="CD124" s="314">
        <f t="shared" si="130"/>
        <v>0</v>
      </c>
      <c r="CE124" s="314">
        <f t="shared" si="131"/>
        <v>0</v>
      </c>
      <c r="CF124" s="315">
        <f t="shared" si="132"/>
        <v>0</v>
      </c>
      <c r="CG124" s="249"/>
      <c r="CH124" s="316"/>
    </row>
    <row r="125" spans="1:86" ht="15.75" hidden="1" customHeight="1" outlineLevel="1" x14ac:dyDescent="0.2">
      <c r="A125" s="242" t="str">
        <f>IF(OR(E125&lt;&gt;FALSE,F125&lt;&gt;FALSE,G125&lt;&gt;FALSE),MAX(A$16:A124)+1,"")</f>
        <v/>
      </c>
      <c r="B125" s="284"/>
      <c r="C125" s="284" t="s">
        <v>42</v>
      </c>
      <c r="D125" s="245" t="s">
        <v>11</v>
      </c>
      <c r="E125" s="285" t="b">
        <v>0</v>
      </c>
      <c r="F125" s="286" t="b">
        <v>0</v>
      </c>
      <c r="G125" s="287" t="b">
        <v>0</v>
      </c>
      <c r="H125" s="249"/>
      <c r="I125" s="288">
        <v>1</v>
      </c>
      <c r="J125" s="249"/>
      <c r="K125" s="289"/>
      <c r="L125" s="290"/>
      <c r="M125" s="290"/>
      <c r="N125" s="290"/>
      <c r="O125" s="290"/>
      <c r="P125" s="290"/>
      <c r="Q125" s="290"/>
      <c r="R125" s="290"/>
      <c r="S125" s="290"/>
      <c r="T125" s="290"/>
      <c r="U125" s="289"/>
      <c r="V125" s="290"/>
      <c r="W125" s="290"/>
      <c r="X125" s="290"/>
      <c r="Y125" s="290"/>
      <c r="Z125" s="290"/>
      <c r="AA125" s="291"/>
      <c r="AB125" s="292"/>
      <c r="AC125" s="293"/>
      <c r="AD125" s="293"/>
      <c r="AE125" s="294"/>
      <c r="AF125" s="249"/>
      <c r="AG125" s="295">
        <f>IF(OR(AND($E125=TRUE,'[1]Pricing Summary'!$B$33=$E$2),AND($F125=TRUE,'[1]Pricing Summary'!$B$33=$F$2),AND($G125=TRUE,'[1]Pricing Summary'!$B$33=$G$2)),1,0)</f>
        <v>0</v>
      </c>
      <c r="AH125" s="295">
        <f t="shared" si="95"/>
        <v>0</v>
      </c>
      <c r="AI125" s="296">
        <f t="shared" si="96"/>
        <v>0</v>
      </c>
      <c r="AJ125" s="297">
        <f t="shared" si="97"/>
        <v>0</v>
      </c>
      <c r="AK125" s="249"/>
      <c r="AL125" s="298">
        <f t="shared" si="98"/>
        <v>0</v>
      </c>
      <c r="AM125" s="221">
        <f t="shared" si="99"/>
        <v>0</v>
      </c>
      <c r="AN125" s="221">
        <f>MROUND((1+'[1]Core Assumptions'!$D$22)*AM125,'[1]Core Assumptions'!$E$23)</f>
        <v>0</v>
      </c>
      <c r="AO125" s="299">
        <f t="shared" si="100"/>
        <v>0</v>
      </c>
      <c r="AP125" s="300">
        <f>IF(AN$7=0,0,MROUND(AN125/AN$7*AP$8/'[1]Core Assumptions'!$D$28,'[1]Core Assumptions'!$E$23))</f>
        <v>0</v>
      </c>
      <c r="AQ125" s="301">
        <f t="shared" si="101"/>
        <v>0</v>
      </c>
      <c r="AR125" s="302">
        <f t="shared" si="102"/>
        <v>0</v>
      </c>
      <c r="AS125" s="249"/>
      <c r="AT125" s="303">
        <f t="shared" si="103"/>
        <v>0</v>
      </c>
      <c r="AU125" s="267"/>
      <c r="AV125" s="295">
        <f>IF(OR(AND($E125=TRUE,'[1]Pricing Summary'!$B$33="Ultimate"),AND($F125=TRUE,'[1]Pricing Summary'!$B$33="Enhanced"),AND($G125=TRUE,'[1]Pricing Summary'!$B$33="Essential")),1,0)</f>
        <v>0</v>
      </c>
      <c r="AW125" s="304">
        <f t="shared" si="104"/>
        <v>0</v>
      </c>
      <c r="AX125" s="305">
        <f t="shared" si="105"/>
        <v>0</v>
      </c>
      <c r="AY125" s="267"/>
      <c r="AZ125" s="304">
        <f t="shared" si="106"/>
        <v>0</v>
      </c>
      <c r="BA125" s="222">
        <f t="shared" si="107"/>
        <v>0</v>
      </c>
      <c r="BB125" s="306">
        <f t="shared" si="108"/>
        <v>0</v>
      </c>
      <c r="BC125" s="272"/>
      <c r="BD125" s="307">
        <f t="shared" si="109"/>
        <v>0</v>
      </c>
      <c r="BE125" s="308">
        <f t="shared" si="110"/>
        <v>0</v>
      </c>
      <c r="BF125" s="308">
        <f t="shared" si="111"/>
        <v>0</v>
      </c>
      <c r="BG125" s="309">
        <f t="shared" si="112"/>
        <v>0</v>
      </c>
      <c r="BH125" s="249"/>
      <c r="BI125" s="310">
        <f t="shared" si="113"/>
        <v>0</v>
      </c>
      <c r="BJ125" s="311">
        <f t="shared" si="114"/>
        <v>0</v>
      </c>
      <c r="BK125" s="311">
        <f t="shared" si="115"/>
        <v>0</v>
      </c>
      <c r="BL125" s="312">
        <f t="shared" si="116"/>
        <v>0</v>
      </c>
      <c r="BM125" s="249"/>
      <c r="BN125" s="313">
        <f t="shared" si="117"/>
        <v>0</v>
      </c>
      <c r="BO125" s="314">
        <f t="shared" si="118"/>
        <v>0</v>
      </c>
      <c r="BP125" s="314">
        <f t="shared" si="119"/>
        <v>0</v>
      </c>
      <c r="BQ125" s="315">
        <f t="shared" si="120"/>
        <v>0</v>
      </c>
      <c r="BR125" s="249"/>
      <c r="BS125" s="307">
        <f t="shared" si="121"/>
        <v>0</v>
      </c>
      <c r="BT125" s="308">
        <f t="shared" si="122"/>
        <v>0</v>
      </c>
      <c r="BU125" s="308">
        <f t="shared" si="123"/>
        <v>0</v>
      </c>
      <c r="BV125" s="309">
        <f t="shared" si="124"/>
        <v>0</v>
      </c>
      <c r="BW125" s="249"/>
      <c r="BX125" s="310">
        <f t="shared" si="125"/>
        <v>0</v>
      </c>
      <c r="BY125" s="311">
        <f t="shared" si="126"/>
        <v>0</v>
      </c>
      <c r="BZ125" s="311">
        <f t="shared" si="127"/>
        <v>0</v>
      </c>
      <c r="CA125" s="312">
        <f t="shared" si="128"/>
        <v>0</v>
      </c>
      <c r="CB125" s="249"/>
      <c r="CC125" s="313">
        <f t="shared" si="129"/>
        <v>0</v>
      </c>
      <c r="CD125" s="314">
        <f t="shared" si="130"/>
        <v>0</v>
      </c>
      <c r="CE125" s="314">
        <f t="shared" si="131"/>
        <v>0</v>
      </c>
      <c r="CF125" s="315">
        <f t="shared" si="132"/>
        <v>0</v>
      </c>
      <c r="CG125" s="249"/>
      <c r="CH125" s="316"/>
    </row>
    <row r="126" spans="1:86" ht="15.75" hidden="1" customHeight="1" outlineLevel="1" x14ac:dyDescent="0.2">
      <c r="A126" s="242" t="str">
        <f>IF(OR(E126&lt;&gt;FALSE,F126&lt;&gt;FALSE,G126&lt;&gt;FALSE),MAX(A$16:A125)+1,"")</f>
        <v/>
      </c>
      <c r="B126" s="284"/>
      <c r="C126" s="284" t="s">
        <v>42</v>
      </c>
      <c r="D126" s="245" t="s">
        <v>11</v>
      </c>
      <c r="E126" s="285" t="b">
        <v>0</v>
      </c>
      <c r="F126" s="286" t="b">
        <v>0</v>
      </c>
      <c r="G126" s="287" t="b">
        <v>0</v>
      </c>
      <c r="H126" s="249"/>
      <c r="I126" s="288">
        <v>1</v>
      </c>
      <c r="J126" s="249"/>
      <c r="K126" s="289"/>
      <c r="L126" s="290"/>
      <c r="M126" s="290"/>
      <c r="N126" s="290"/>
      <c r="O126" s="290"/>
      <c r="P126" s="290"/>
      <c r="Q126" s="290"/>
      <c r="R126" s="290"/>
      <c r="S126" s="290"/>
      <c r="T126" s="290"/>
      <c r="U126" s="289"/>
      <c r="V126" s="290"/>
      <c r="W126" s="290"/>
      <c r="X126" s="290"/>
      <c r="Y126" s="290"/>
      <c r="Z126" s="290"/>
      <c r="AA126" s="291"/>
      <c r="AB126" s="292"/>
      <c r="AC126" s="293"/>
      <c r="AD126" s="293"/>
      <c r="AE126" s="294"/>
      <c r="AF126" s="249"/>
      <c r="AG126" s="295">
        <f>IF(OR(AND($E126=TRUE,'[1]Pricing Summary'!$B$33=$E$2),AND($F126=TRUE,'[1]Pricing Summary'!$B$33=$F$2),AND($G126=TRUE,'[1]Pricing Summary'!$B$33=$G$2)),1,0)</f>
        <v>0</v>
      </c>
      <c r="AH126" s="295">
        <f t="shared" si="95"/>
        <v>0</v>
      </c>
      <c r="AI126" s="296">
        <f t="shared" si="96"/>
        <v>0</v>
      </c>
      <c r="AJ126" s="297">
        <f t="shared" si="97"/>
        <v>0</v>
      </c>
      <c r="AK126" s="249"/>
      <c r="AL126" s="298">
        <f t="shared" si="98"/>
        <v>0</v>
      </c>
      <c r="AM126" s="221">
        <f t="shared" si="99"/>
        <v>0</v>
      </c>
      <c r="AN126" s="221">
        <f>MROUND((1+'[1]Core Assumptions'!$D$22)*AM126,'[1]Core Assumptions'!$E$23)</f>
        <v>0</v>
      </c>
      <c r="AO126" s="299">
        <f t="shared" si="100"/>
        <v>0</v>
      </c>
      <c r="AP126" s="300">
        <f>IF(AN$7=0,0,MROUND(AN126/AN$7*AP$8/'[1]Core Assumptions'!$D$28,'[1]Core Assumptions'!$E$23))</f>
        <v>0</v>
      </c>
      <c r="AQ126" s="301">
        <f t="shared" si="101"/>
        <v>0</v>
      </c>
      <c r="AR126" s="302">
        <f t="shared" si="102"/>
        <v>0</v>
      </c>
      <c r="AS126" s="249"/>
      <c r="AT126" s="303">
        <f t="shared" si="103"/>
        <v>0</v>
      </c>
      <c r="AU126" s="267"/>
      <c r="AV126" s="295">
        <f>IF(OR(AND($E126=TRUE,'[1]Pricing Summary'!$B$33="Ultimate"),AND($F126=TRUE,'[1]Pricing Summary'!$B$33="Enhanced"),AND($G126=TRUE,'[1]Pricing Summary'!$B$33="Essential")),1,0)</f>
        <v>0</v>
      </c>
      <c r="AW126" s="304">
        <f t="shared" si="104"/>
        <v>0</v>
      </c>
      <c r="AX126" s="305">
        <f t="shared" si="105"/>
        <v>0</v>
      </c>
      <c r="AY126" s="267"/>
      <c r="AZ126" s="304">
        <f t="shared" si="106"/>
        <v>0</v>
      </c>
      <c r="BA126" s="222">
        <f t="shared" si="107"/>
        <v>0</v>
      </c>
      <c r="BB126" s="306">
        <f t="shared" si="108"/>
        <v>0</v>
      </c>
      <c r="BC126" s="272"/>
      <c r="BD126" s="307">
        <f t="shared" si="109"/>
        <v>0</v>
      </c>
      <c r="BE126" s="308">
        <f t="shared" si="110"/>
        <v>0</v>
      </c>
      <c r="BF126" s="308">
        <f t="shared" si="111"/>
        <v>0</v>
      </c>
      <c r="BG126" s="309">
        <f t="shared" si="112"/>
        <v>0</v>
      </c>
      <c r="BH126" s="249"/>
      <c r="BI126" s="310">
        <f t="shared" si="113"/>
        <v>0</v>
      </c>
      <c r="BJ126" s="311">
        <f t="shared" si="114"/>
        <v>0</v>
      </c>
      <c r="BK126" s="311">
        <f t="shared" si="115"/>
        <v>0</v>
      </c>
      <c r="BL126" s="312">
        <f t="shared" si="116"/>
        <v>0</v>
      </c>
      <c r="BM126" s="249"/>
      <c r="BN126" s="313">
        <f t="shared" si="117"/>
        <v>0</v>
      </c>
      <c r="BO126" s="314">
        <f t="shared" si="118"/>
        <v>0</v>
      </c>
      <c r="BP126" s="314">
        <f t="shared" si="119"/>
        <v>0</v>
      </c>
      <c r="BQ126" s="315">
        <f t="shared" si="120"/>
        <v>0</v>
      </c>
      <c r="BR126" s="249"/>
      <c r="BS126" s="307">
        <f t="shared" si="121"/>
        <v>0</v>
      </c>
      <c r="BT126" s="308">
        <f t="shared" si="122"/>
        <v>0</v>
      </c>
      <c r="BU126" s="308">
        <f t="shared" si="123"/>
        <v>0</v>
      </c>
      <c r="BV126" s="309">
        <f t="shared" si="124"/>
        <v>0</v>
      </c>
      <c r="BW126" s="249"/>
      <c r="BX126" s="310">
        <f t="shared" si="125"/>
        <v>0</v>
      </c>
      <c r="BY126" s="311">
        <f t="shared" si="126"/>
        <v>0</v>
      </c>
      <c r="BZ126" s="311">
        <f t="shared" si="127"/>
        <v>0</v>
      </c>
      <c r="CA126" s="312">
        <f t="shared" si="128"/>
        <v>0</v>
      </c>
      <c r="CB126" s="249"/>
      <c r="CC126" s="313">
        <f t="shared" si="129"/>
        <v>0</v>
      </c>
      <c r="CD126" s="314">
        <f t="shared" si="130"/>
        <v>0</v>
      </c>
      <c r="CE126" s="314">
        <f t="shared" si="131"/>
        <v>0</v>
      </c>
      <c r="CF126" s="315">
        <f t="shared" si="132"/>
        <v>0</v>
      </c>
      <c r="CG126" s="249"/>
      <c r="CH126" s="316"/>
    </row>
    <row r="127" spans="1:86" ht="15.75" hidden="1" customHeight="1" outlineLevel="1" x14ac:dyDescent="0.2">
      <c r="A127" s="242" t="str">
        <f>IF(OR(E127&lt;&gt;FALSE,F127&lt;&gt;FALSE,G127&lt;&gt;FALSE),MAX(A$16:A126)+1,"")</f>
        <v/>
      </c>
      <c r="B127" s="284"/>
      <c r="C127" s="284" t="s">
        <v>42</v>
      </c>
      <c r="D127" s="245" t="s">
        <v>11</v>
      </c>
      <c r="E127" s="285" t="b">
        <v>0</v>
      </c>
      <c r="F127" s="286" t="b">
        <v>0</v>
      </c>
      <c r="G127" s="287" t="b">
        <v>0</v>
      </c>
      <c r="H127" s="249"/>
      <c r="I127" s="288">
        <v>1</v>
      </c>
      <c r="J127" s="249"/>
      <c r="K127" s="289"/>
      <c r="L127" s="290"/>
      <c r="M127" s="290"/>
      <c r="N127" s="290"/>
      <c r="O127" s="290"/>
      <c r="P127" s="290"/>
      <c r="Q127" s="290"/>
      <c r="R127" s="290"/>
      <c r="S127" s="290"/>
      <c r="T127" s="290"/>
      <c r="U127" s="289"/>
      <c r="V127" s="290"/>
      <c r="W127" s="290"/>
      <c r="X127" s="290"/>
      <c r="Y127" s="290"/>
      <c r="Z127" s="290"/>
      <c r="AA127" s="291"/>
      <c r="AB127" s="292"/>
      <c r="AC127" s="293"/>
      <c r="AD127" s="293"/>
      <c r="AE127" s="294"/>
      <c r="AF127" s="249"/>
      <c r="AG127" s="295">
        <f>IF(OR(AND($E127=TRUE,'[1]Pricing Summary'!$B$33=$E$2),AND($F127=TRUE,'[1]Pricing Summary'!$B$33=$F$2),AND($G127=TRUE,'[1]Pricing Summary'!$B$33=$G$2)),1,0)</f>
        <v>0</v>
      </c>
      <c r="AH127" s="295">
        <f t="shared" si="95"/>
        <v>0</v>
      </c>
      <c r="AI127" s="296">
        <f t="shared" si="96"/>
        <v>0</v>
      </c>
      <c r="AJ127" s="297">
        <f t="shared" si="97"/>
        <v>0</v>
      </c>
      <c r="AK127" s="249"/>
      <c r="AL127" s="298">
        <f t="shared" si="98"/>
        <v>0</v>
      </c>
      <c r="AM127" s="221">
        <f t="shared" si="99"/>
        <v>0</v>
      </c>
      <c r="AN127" s="221">
        <f>MROUND((1+'[1]Core Assumptions'!$D$22)*AM127,'[1]Core Assumptions'!$E$23)</f>
        <v>0</v>
      </c>
      <c r="AO127" s="299">
        <f t="shared" si="100"/>
        <v>0</v>
      </c>
      <c r="AP127" s="300">
        <f>IF(AN$7=0,0,MROUND(AN127/AN$7*AP$8/'[1]Core Assumptions'!$D$28,'[1]Core Assumptions'!$E$23))</f>
        <v>0</v>
      </c>
      <c r="AQ127" s="301">
        <f t="shared" si="101"/>
        <v>0</v>
      </c>
      <c r="AR127" s="302">
        <f t="shared" si="102"/>
        <v>0</v>
      </c>
      <c r="AS127" s="249"/>
      <c r="AT127" s="303">
        <f t="shared" si="103"/>
        <v>0</v>
      </c>
      <c r="AU127" s="267"/>
      <c r="AV127" s="295">
        <f>IF(OR(AND($E127=TRUE,'[1]Pricing Summary'!$B$33="Ultimate"),AND($F127=TRUE,'[1]Pricing Summary'!$B$33="Enhanced"),AND($G127=TRUE,'[1]Pricing Summary'!$B$33="Essential")),1,0)</f>
        <v>0</v>
      </c>
      <c r="AW127" s="304">
        <f t="shared" si="104"/>
        <v>0</v>
      </c>
      <c r="AX127" s="305">
        <f t="shared" si="105"/>
        <v>0</v>
      </c>
      <c r="AY127" s="267"/>
      <c r="AZ127" s="304">
        <f t="shared" si="106"/>
        <v>0</v>
      </c>
      <c r="BA127" s="222">
        <f t="shared" si="107"/>
        <v>0</v>
      </c>
      <c r="BB127" s="306">
        <f t="shared" si="108"/>
        <v>0</v>
      </c>
      <c r="BC127" s="272"/>
      <c r="BD127" s="307">
        <f t="shared" si="109"/>
        <v>0</v>
      </c>
      <c r="BE127" s="308">
        <f t="shared" si="110"/>
        <v>0</v>
      </c>
      <c r="BF127" s="308">
        <f t="shared" si="111"/>
        <v>0</v>
      </c>
      <c r="BG127" s="309">
        <f t="shared" si="112"/>
        <v>0</v>
      </c>
      <c r="BH127" s="249"/>
      <c r="BI127" s="310">
        <f t="shared" si="113"/>
        <v>0</v>
      </c>
      <c r="BJ127" s="311">
        <f t="shared" si="114"/>
        <v>0</v>
      </c>
      <c r="BK127" s="311">
        <f t="shared" si="115"/>
        <v>0</v>
      </c>
      <c r="BL127" s="312">
        <f t="shared" si="116"/>
        <v>0</v>
      </c>
      <c r="BM127" s="249"/>
      <c r="BN127" s="313">
        <f t="shared" si="117"/>
        <v>0</v>
      </c>
      <c r="BO127" s="314">
        <f t="shared" si="118"/>
        <v>0</v>
      </c>
      <c r="BP127" s="314">
        <f t="shared" si="119"/>
        <v>0</v>
      </c>
      <c r="BQ127" s="315">
        <f t="shared" si="120"/>
        <v>0</v>
      </c>
      <c r="BR127" s="249"/>
      <c r="BS127" s="307">
        <f t="shared" si="121"/>
        <v>0</v>
      </c>
      <c r="BT127" s="308">
        <f t="shared" si="122"/>
        <v>0</v>
      </c>
      <c r="BU127" s="308">
        <f t="shared" si="123"/>
        <v>0</v>
      </c>
      <c r="BV127" s="309">
        <f t="shared" si="124"/>
        <v>0</v>
      </c>
      <c r="BW127" s="249"/>
      <c r="BX127" s="310">
        <f t="shared" si="125"/>
        <v>0</v>
      </c>
      <c r="BY127" s="311">
        <f t="shared" si="126"/>
        <v>0</v>
      </c>
      <c r="BZ127" s="311">
        <f t="shared" si="127"/>
        <v>0</v>
      </c>
      <c r="CA127" s="312">
        <f t="shared" si="128"/>
        <v>0</v>
      </c>
      <c r="CB127" s="249"/>
      <c r="CC127" s="313">
        <f t="shared" si="129"/>
        <v>0</v>
      </c>
      <c r="CD127" s="314">
        <f t="shared" si="130"/>
        <v>0</v>
      </c>
      <c r="CE127" s="314">
        <f t="shared" si="131"/>
        <v>0</v>
      </c>
      <c r="CF127" s="315">
        <f t="shared" si="132"/>
        <v>0</v>
      </c>
      <c r="CG127" s="249"/>
      <c r="CH127" s="316"/>
    </row>
    <row r="128" spans="1:86" ht="15.75" hidden="1" customHeight="1" outlineLevel="1" x14ac:dyDescent="0.2">
      <c r="A128" s="242" t="str">
        <f>IF(OR(E128&lt;&gt;FALSE,F128&lt;&gt;FALSE,G128&lt;&gt;FALSE),MAX(A$16:A127)+1,"")</f>
        <v/>
      </c>
      <c r="B128" s="284"/>
      <c r="C128" s="284" t="s">
        <v>42</v>
      </c>
      <c r="D128" s="245" t="s">
        <v>11</v>
      </c>
      <c r="E128" s="285" t="b">
        <v>0</v>
      </c>
      <c r="F128" s="286" t="b">
        <v>0</v>
      </c>
      <c r="G128" s="287" t="b">
        <v>0</v>
      </c>
      <c r="H128" s="249"/>
      <c r="I128" s="288">
        <v>1</v>
      </c>
      <c r="J128" s="249"/>
      <c r="K128" s="289"/>
      <c r="L128" s="290"/>
      <c r="M128" s="290"/>
      <c r="N128" s="290"/>
      <c r="O128" s="290"/>
      <c r="P128" s="290"/>
      <c r="Q128" s="290"/>
      <c r="R128" s="290"/>
      <c r="S128" s="290"/>
      <c r="T128" s="290"/>
      <c r="U128" s="289"/>
      <c r="V128" s="290"/>
      <c r="W128" s="290"/>
      <c r="X128" s="290"/>
      <c r="Y128" s="290"/>
      <c r="Z128" s="290"/>
      <c r="AA128" s="291"/>
      <c r="AB128" s="292"/>
      <c r="AC128" s="293"/>
      <c r="AD128" s="293"/>
      <c r="AE128" s="294"/>
      <c r="AF128" s="249"/>
      <c r="AG128" s="295">
        <f>IF(OR(AND($E128=TRUE,'[1]Pricing Summary'!$B$33=$E$2),AND($F128=TRUE,'[1]Pricing Summary'!$B$33=$F$2),AND($G128=TRUE,'[1]Pricing Summary'!$B$33=$G$2)),1,0)</f>
        <v>0</v>
      </c>
      <c r="AH128" s="295">
        <f t="shared" si="95"/>
        <v>0</v>
      </c>
      <c r="AI128" s="296">
        <f t="shared" si="96"/>
        <v>0</v>
      </c>
      <c r="AJ128" s="297">
        <f t="shared" si="97"/>
        <v>0</v>
      </c>
      <c r="AK128" s="249"/>
      <c r="AL128" s="298">
        <f t="shared" si="98"/>
        <v>0</v>
      </c>
      <c r="AM128" s="221">
        <f t="shared" si="99"/>
        <v>0</v>
      </c>
      <c r="AN128" s="221">
        <f>MROUND((1+'[1]Core Assumptions'!$D$22)*AM128,'[1]Core Assumptions'!$E$23)</f>
        <v>0</v>
      </c>
      <c r="AO128" s="299">
        <f t="shared" si="100"/>
        <v>0</v>
      </c>
      <c r="AP128" s="300">
        <f>IF(AN$7=0,0,MROUND(AN128/AN$7*AP$8/'[1]Core Assumptions'!$D$28,'[1]Core Assumptions'!$E$23))</f>
        <v>0</v>
      </c>
      <c r="AQ128" s="301">
        <f t="shared" si="101"/>
        <v>0</v>
      </c>
      <c r="AR128" s="302">
        <f t="shared" si="102"/>
        <v>0</v>
      </c>
      <c r="AS128" s="249"/>
      <c r="AT128" s="303">
        <f t="shared" si="103"/>
        <v>0</v>
      </c>
      <c r="AU128" s="267"/>
      <c r="AV128" s="295">
        <f>IF(OR(AND($E128=TRUE,'[1]Pricing Summary'!$B$33="Ultimate"),AND($F128=TRUE,'[1]Pricing Summary'!$B$33="Enhanced"),AND($G128=TRUE,'[1]Pricing Summary'!$B$33="Essential")),1,0)</f>
        <v>0</v>
      </c>
      <c r="AW128" s="304">
        <f t="shared" si="104"/>
        <v>0</v>
      </c>
      <c r="AX128" s="305">
        <f t="shared" si="105"/>
        <v>0</v>
      </c>
      <c r="AY128" s="267"/>
      <c r="AZ128" s="304">
        <f t="shared" si="106"/>
        <v>0</v>
      </c>
      <c r="BA128" s="222">
        <f t="shared" si="107"/>
        <v>0</v>
      </c>
      <c r="BB128" s="306">
        <f t="shared" si="108"/>
        <v>0</v>
      </c>
      <c r="BC128" s="272"/>
      <c r="BD128" s="307">
        <f t="shared" si="109"/>
        <v>0</v>
      </c>
      <c r="BE128" s="308">
        <f t="shared" si="110"/>
        <v>0</v>
      </c>
      <c r="BF128" s="308">
        <f t="shared" si="111"/>
        <v>0</v>
      </c>
      <c r="BG128" s="309">
        <f t="shared" si="112"/>
        <v>0</v>
      </c>
      <c r="BH128" s="249"/>
      <c r="BI128" s="310">
        <f t="shared" si="113"/>
        <v>0</v>
      </c>
      <c r="BJ128" s="311">
        <f t="shared" si="114"/>
        <v>0</v>
      </c>
      <c r="BK128" s="311">
        <f t="shared" si="115"/>
        <v>0</v>
      </c>
      <c r="BL128" s="312">
        <f t="shared" si="116"/>
        <v>0</v>
      </c>
      <c r="BM128" s="249"/>
      <c r="BN128" s="313">
        <f t="shared" si="117"/>
        <v>0</v>
      </c>
      <c r="BO128" s="314">
        <f t="shared" si="118"/>
        <v>0</v>
      </c>
      <c r="BP128" s="314">
        <f t="shared" si="119"/>
        <v>0</v>
      </c>
      <c r="BQ128" s="315">
        <f t="shared" si="120"/>
        <v>0</v>
      </c>
      <c r="BR128" s="249"/>
      <c r="BS128" s="307">
        <f t="shared" si="121"/>
        <v>0</v>
      </c>
      <c r="BT128" s="308">
        <f t="shared" si="122"/>
        <v>0</v>
      </c>
      <c r="BU128" s="308">
        <f t="shared" si="123"/>
        <v>0</v>
      </c>
      <c r="BV128" s="309">
        <f t="shared" si="124"/>
        <v>0</v>
      </c>
      <c r="BW128" s="249"/>
      <c r="BX128" s="310">
        <f t="shared" si="125"/>
        <v>0</v>
      </c>
      <c r="BY128" s="311">
        <f t="shared" si="126"/>
        <v>0</v>
      </c>
      <c r="BZ128" s="311">
        <f t="shared" si="127"/>
        <v>0</v>
      </c>
      <c r="CA128" s="312">
        <f t="shared" si="128"/>
        <v>0</v>
      </c>
      <c r="CB128" s="249"/>
      <c r="CC128" s="313">
        <f t="shared" si="129"/>
        <v>0</v>
      </c>
      <c r="CD128" s="314">
        <f t="shared" si="130"/>
        <v>0</v>
      </c>
      <c r="CE128" s="314">
        <f t="shared" si="131"/>
        <v>0</v>
      </c>
      <c r="CF128" s="315">
        <f t="shared" si="132"/>
        <v>0</v>
      </c>
      <c r="CG128" s="249"/>
      <c r="CH128" s="316"/>
    </row>
    <row r="129" spans="1:86" ht="15.75" hidden="1" customHeight="1" outlineLevel="1" x14ac:dyDescent="0.2">
      <c r="A129" s="242" t="str">
        <f>IF(OR(E129&lt;&gt;FALSE,F129&lt;&gt;FALSE,G129&lt;&gt;FALSE),MAX(A$16:A128)+1,"")</f>
        <v/>
      </c>
      <c r="B129" s="284"/>
      <c r="C129" s="284" t="s">
        <v>42</v>
      </c>
      <c r="D129" s="245" t="s">
        <v>11</v>
      </c>
      <c r="E129" s="285" t="b">
        <v>0</v>
      </c>
      <c r="F129" s="286" t="b">
        <v>0</v>
      </c>
      <c r="G129" s="287" t="b">
        <v>0</v>
      </c>
      <c r="H129" s="249"/>
      <c r="I129" s="288">
        <v>1</v>
      </c>
      <c r="J129" s="249"/>
      <c r="K129" s="289"/>
      <c r="L129" s="290"/>
      <c r="M129" s="290"/>
      <c r="N129" s="290"/>
      <c r="O129" s="290"/>
      <c r="P129" s="290"/>
      <c r="Q129" s="290"/>
      <c r="R129" s="290"/>
      <c r="S129" s="290"/>
      <c r="T129" s="290"/>
      <c r="U129" s="289"/>
      <c r="V129" s="290"/>
      <c r="W129" s="290"/>
      <c r="X129" s="290"/>
      <c r="Y129" s="290"/>
      <c r="Z129" s="290"/>
      <c r="AA129" s="291"/>
      <c r="AB129" s="292"/>
      <c r="AC129" s="293"/>
      <c r="AD129" s="293"/>
      <c r="AE129" s="294"/>
      <c r="AF129" s="249"/>
      <c r="AG129" s="295">
        <f>IF(OR(AND($E129=TRUE,'[1]Pricing Summary'!$B$33=$E$2),AND($F129=TRUE,'[1]Pricing Summary'!$B$33=$F$2),AND($G129=TRUE,'[1]Pricing Summary'!$B$33=$G$2)),1,0)</f>
        <v>0</v>
      </c>
      <c r="AH129" s="295">
        <f t="shared" si="95"/>
        <v>0</v>
      </c>
      <c r="AI129" s="296">
        <f t="shared" si="96"/>
        <v>0</v>
      </c>
      <c r="AJ129" s="297">
        <f t="shared" si="97"/>
        <v>0</v>
      </c>
      <c r="AK129" s="249"/>
      <c r="AL129" s="298">
        <f t="shared" si="98"/>
        <v>0</v>
      </c>
      <c r="AM129" s="221">
        <f t="shared" si="99"/>
        <v>0</v>
      </c>
      <c r="AN129" s="221">
        <f>MROUND((1+'[1]Core Assumptions'!$D$22)*AM129,'[1]Core Assumptions'!$E$23)</f>
        <v>0</v>
      </c>
      <c r="AO129" s="299">
        <f t="shared" si="100"/>
        <v>0</v>
      </c>
      <c r="AP129" s="300">
        <f>IF(AN$7=0,0,MROUND(AN129/AN$7*AP$8/'[1]Core Assumptions'!$D$28,'[1]Core Assumptions'!$E$23))</f>
        <v>0</v>
      </c>
      <c r="AQ129" s="301">
        <f t="shared" si="101"/>
        <v>0</v>
      </c>
      <c r="AR129" s="302">
        <f t="shared" si="102"/>
        <v>0</v>
      </c>
      <c r="AS129" s="249"/>
      <c r="AT129" s="303">
        <f t="shared" si="103"/>
        <v>0</v>
      </c>
      <c r="AU129" s="267"/>
      <c r="AV129" s="295">
        <f>IF(OR(AND($E129=TRUE,'[1]Pricing Summary'!$B$33="Ultimate"),AND($F129=TRUE,'[1]Pricing Summary'!$B$33="Enhanced"),AND($G129=TRUE,'[1]Pricing Summary'!$B$33="Essential")),1,0)</f>
        <v>0</v>
      </c>
      <c r="AW129" s="304">
        <f t="shared" si="104"/>
        <v>0</v>
      </c>
      <c r="AX129" s="305">
        <f t="shared" si="105"/>
        <v>0</v>
      </c>
      <c r="AY129" s="267"/>
      <c r="AZ129" s="304">
        <f t="shared" si="106"/>
        <v>0</v>
      </c>
      <c r="BA129" s="222">
        <f t="shared" si="107"/>
        <v>0</v>
      </c>
      <c r="BB129" s="306">
        <f t="shared" si="108"/>
        <v>0</v>
      </c>
      <c r="BC129" s="272"/>
      <c r="BD129" s="307">
        <f t="shared" si="109"/>
        <v>0</v>
      </c>
      <c r="BE129" s="308">
        <f t="shared" si="110"/>
        <v>0</v>
      </c>
      <c r="BF129" s="308">
        <f t="shared" si="111"/>
        <v>0</v>
      </c>
      <c r="BG129" s="309">
        <f t="shared" si="112"/>
        <v>0</v>
      </c>
      <c r="BH129" s="249"/>
      <c r="BI129" s="310">
        <f t="shared" si="113"/>
        <v>0</v>
      </c>
      <c r="BJ129" s="311">
        <f t="shared" si="114"/>
        <v>0</v>
      </c>
      <c r="BK129" s="311">
        <f t="shared" si="115"/>
        <v>0</v>
      </c>
      <c r="BL129" s="312">
        <f t="shared" si="116"/>
        <v>0</v>
      </c>
      <c r="BM129" s="249"/>
      <c r="BN129" s="313">
        <f t="shared" si="117"/>
        <v>0</v>
      </c>
      <c r="BO129" s="314">
        <f t="shared" si="118"/>
        <v>0</v>
      </c>
      <c r="BP129" s="314">
        <f t="shared" si="119"/>
        <v>0</v>
      </c>
      <c r="BQ129" s="315">
        <f t="shared" si="120"/>
        <v>0</v>
      </c>
      <c r="BR129" s="249"/>
      <c r="BS129" s="307">
        <f t="shared" si="121"/>
        <v>0</v>
      </c>
      <c r="BT129" s="308">
        <f t="shared" si="122"/>
        <v>0</v>
      </c>
      <c r="BU129" s="308">
        <f t="shared" si="123"/>
        <v>0</v>
      </c>
      <c r="BV129" s="309">
        <f t="shared" si="124"/>
        <v>0</v>
      </c>
      <c r="BW129" s="249"/>
      <c r="BX129" s="310">
        <f t="shared" si="125"/>
        <v>0</v>
      </c>
      <c r="BY129" s="311">
        <f t="shared" si="126"/>
        <v>0</v>
      </c>
      <c r="BZ129" s="311">
        <f t="shared" si="127"/>
        <v>0</v>
      </c>
      <c r="CA129" s="312">
        <f t="shared" si="128"/>
        <v>0</v>
      </c>
      <c r="CB129" s="249"/>
      <c r="CC129" s="313">
        <f t="shared" si="129"/>
        <v>0</v>
      </c>
      <c r="CD129" s="314">
        <f t="shared" si="130"/>
        <v>0</v>
      </c>
      <c r="CE129" s="314">
        <f t="shared" si="131"/>
        <v>0</v>
      </c>
      <c r="CF129" s="315">
        <f t="shared" si="132"/>
        <v>0</v>
      </c>
      <c r="CG129" s="249"/>
      <c r="CH129" s="316"/>
    </row>
    <row r="130" spans="1:86" ht="15.75" hidden="1" customHeight="1" outlineLevel="1" x14ac:dyDescent="0.2">
      <c r="A130" s="242" t="str">
        <f>IF(OR(E130&lt;&gt;FALSE,F130&lt;&gt;FALSE,G130&lt;&gt;FALSE),MAX(A$16:A129)+1,"")</f>
        <v/>
      </c>
      <c r="B130" s="323"/>
      <c r="C130" s="323" t="s">
        <v>42</v>
      </c>
      <c r="D130" s="245" t="s">
        <v>11</v>
      </c>
      <c r="E130" s="285" t="b">
        <v>0</v>
      </c>
      <c r="F130" s="325" t="b">
        <v>0</v>
      </c>
      <c r="G130" s="326" t="b">
        <v>0</v>
      </c>
      <c r="H130" s="249"/>
      <c r="I130" s="327">
        <v>1</v>
      </c>
      <c r="J130" s="249"/>
      <c r="K130" s="328"/>
      <c r="L130" s="329"/>
      <c r="M130" s="329"/>
      <c r="N130" s="329"/>
      <c r="O130" s="329"/>
      <c r="P130" s="329"/>
      <c r="Q130" s="329"/>
      <c r="R130" s="329"/>
      <c r="S130" s="329"/>
      <c r="T130" s="329"/>
      <c r="U130" s="328"/>
      <c r="V130" s="329"/>
      <c r="W130" s="329"/>
      <c r="X130" s="329"/>
      <c r="Y130" s="329"/>
      <c r="Z130" s="329"/>
      <c r="AA130" s="330"/>
      <c r="AB130" s="318"/>
      <c r="AC130" s="319"/>
      <c r="AD130" s="319"/>
      <c r="AE130" s="320"/>
      <c r="AF130" s="249"/>
      <c r="AG130" s="331">
        <f>IF(OR(AND($E130=TRUE,'[1]Pricing Summary'!$B$33=$E$2),AND($F130=TRUE,'[1]Pricing Summary'!$B$33=$F$2),AND($G130=TRUE,'[1]Pricing Summary'!$B$33=$G$2)),1,0)</f>
        <v>0</v>
      </c>
      <c r="AH130" s="331">
        <f t="shared" si="95"/>
        <v>0</v>
      </c>
      <c r="AI130" s="332">
        <f t="shared" si="96"/>
        <v>0</v>
      </c>
      <c r="AJ130" s="333">
        <f t="shared" si="97"/>
        <v>0</v>
      </c>
      <c r="AK130" s="249"/>
      <c r="AL130" s="334">
        <f t="shared" si="98"/>
        <v>0</v>
      </c>
      <c r="AM130" s="335">
        <f t="shared" si="99"/>
        <v>0</v>
      </c>
      <c r="AN130" s="335">
        <f>MROUND((1+'[1]Core Assumptions'!$D$22)*AM130,'[1]Core Assumptions'!$E$23)</f>
        <v>0</v>
      </c>
      <c r="AO130" s="336">
        <f t="shared" si="100"/>
        <v>0</v>
      </c>
      <c r="AP130" s="337">
        <f>IF(AN$7=0,0,MROUND(AN130/AN$7*AP$8/'[1]Core Assumptions'!$D$28,'[1]Core Assumptions'!$E$23))</f>
        <v>0</v>
      </c>
      <c r="AQ130" s="338">
        <f t="shared" si="101"/>
        <v>0</v>
      </c>
      <c r="AR130" s="339">
        <f t="shared" si="102"/>
        <v>0</v>
      </c>
      <c r="AS130" s="249"/>
      <c r="AT130" s="340">
        <f t="shared" si="103"/>
        <v>0</v>
      </c>
      <c r="AU130" s="267"/>
      <c r="AV130" s="331">
        <f>IF(OR(AND($E130=TRUE,'[1]Pricing Summary'!$B$33="Ultimate"),AND($F130=TRUE,'[1]Pricing Summary'!$B$33="Enhanced"),AND($G130=TRUE,'[1]Pricing Summary'!$B$33="Essential")),1,0)</f>
        <v>0</v>
      </c>
      <c r="AW130" s="341">
        <f t="shared" si="104"/>
        <v>0</v>
      </c>
      <c r="AX130" s="342">
        <f t="shared" si="105"/>
        <v>0</v>
      </c>
      <c r="AY130" s="267"/>
      <c r="AZ130" s="341">
        <f t="shared" si="106"/>
        <v>0</v>
      </c>
      <c r="BA130" s="343">
        <f t="shared" si="107"/>
        <v>0</v>
      </c>
      <c r="BB130" s="344">
        <f t="shared" si="108"/>
        <v>0</v>
      </c>
      <c r="BC130" s="272"/>
      <c r="BD130" s="345">
        <f t="shared" si="109"/>
        <v>0</v>
      </c>
      <c r="BE130" s="346">
        <f t="shared" si="110"/>
        <v>0</v>
      </c>
      <c r="BF130" s="346">
        <f t="shared" si="111"/>
        <v>0</v>
      </c>
      <c r="BG130" s="382">
        <f t="shared" si="112"/>
        <v>0</v>
      </c>
      <c r="BH130" s="249"/>
      <c r="BI130" s="348">
        <f t="shared" si="113"/>
        <v>0</v>
      </c>
      <c r="BJ130" s="349">
        <f t="shared" si="114"/>
        <v>0</v>
      </c>
      <c r="BK130" s="349">
        <f t="shared" si="115"/>
        <v>0</v>
      </c>
      <c r="BL130" s="350">
        <f t="shared" si="116"/>
        <v>0</v>
      </c>
      <c r="BM130" s="249"/>
      <c r="BN130" s="351">
        <f t="shared" si="117"/>
        <v>0</v>
      </c>
      <c r="BO130" s="352">
        <f t="shared" si="118"/>
        <v>0</v>
      </c>
      <c r="BP130" s="352">
        <f t="shared" si="119"/>
        <v>0</v>
      </c>
      <c r="BQ130" s="353">
        <f t="shared" si="120"/>
        <v>0</v>
      </c>
      <c r="BR130" s="249"/>
      <c r="BS130" s="345">
        <f t="shared" si="121"/>
        <v>0</v>
      </c>
      <c r="BT130" s="346">
        <f t="shared" si="122"/>
        <v>0</v>
      </c>
      <c r="BU130" s="346">
        <f t="shared" si="123"/>
        <v>0</v>
      </c>
      <c r="BV130" s="382">
        <f t="shared" si="124"/>
        <v>0</v>
      </c>
      <c r="BW130" s="249"/>
      <c r="BX130" s="348">
        <f t="shared" si="125"/>
        <v>0</v>
      </c>
      <c r="BY130" s="349">
        <f t="shared" si="126"/>
        <v>0</v>
      </c>
      <c r="BZ130" s="349">
        <f t="shared" si="127"/>
        <v>0</v>
      </c>
      <c r="CA130" s="350">
        <f t="shared" si="128"/>
        <v>0</v>
      </c>
      <c r="CB130" s="249"/>
      <c r="CC130" s="351">
        <f t="shared" si="129"/>
        <v>0</v>
      </c>
      <c r="CD130" s="352">
        <f t="shared" si="130"/>
        <v>0</v>
      </c>
      <c r="CE130" s="352">
        <f t="shared" si="131"/>
        <v>0</v>
      </c>
      <c r="CF130" s="353">
        <f t="shared" si="132"/>
        <v>0</v>
      </c>
      <c r="CG130" s="249"/>
      <c r="CH130" s="354"/>
    </row>
    <row r="131" spans="1:86" ht="16" collapsed="1" x14ac:dyDescent="0.2">
      <c r="A131" s="39" t="s">
        <v>139</v>
      </c>
      <c r="B131" s="40"/>
      <c r="C131" s="40"/>
      <c r="D131" s="355" t="s">
        <v>11</v>
      </c>
      <c r="E131" s="40"/>
      <c r="F131" s="40"/>
      <c r="G131" s="40"/>
      <c r="I131" s="356"/>
      <c r="K131" s="357"/>
      <c r="L131" s="357"/>
      <c r="M131" s="357"/>
      <c r="N131" s="357"/>
      <c r="O131" s="357"/>
      <c r="P131" s="357"/>
      <c r="Q131" s="357"/>
      <c r="R131" s="357"/>
      <c r="S131" s="357"/>
      <c r="T131" s="357"/>
      <c r="U131" s="357"/>
      <c r="V131" s="357"/>
      <c r="W131" s="357"/>
      <c r="X131" s="357"/>
      <c r="Y131" s="357"/>
      <c r="Z131" s="357"/>
      <c r="AA131" s="357"/>
      <c r="AB131" s="357"/>
      <c r="AC131" s="357"/>
      <c r="AD131" s="357"/>
      <c r="AE131" s="357"/>
      <c r="AG131" s="358"/>
      <c r="AH131" s="358"/>
      <c r="AI131" s="357"/>
      <c r="AJ131" s="40"/>
      <c r="AL131" s="359"/>
      <c r="AM131" s="359"/>
      <c r="AN131" s="359"/>
      <c r="AO131" s="359"/>
      <c r="AP131" s="359"/>
      <c r="AQ131" s="360"/>
      <c r="AR131" s="361"/>
      <c r="AT131" s="359"/>
      <c r="AV131" s="358"/>
      <c r="AW131" s="362"/>
      <c r="AX131" s="362"/>
      <c r="AZ131" s="363"/>
      <c r="BA131" s="363"/>
      <c r="BB131" s="363"/>
      <c r="BD131" s="357"/>
      <c r="BE131" s="359"/>
      <c r="BF131" s="359"/>
      <c r="BG131" s="364"/>
      <c r="BI131" s="357"/>
      <c r="BJ131" s="359"/>
      <c r="BK131" s="359"/>
      <c r="BL131" s="364"/>
      <c r="BN131" s="357"/>
      <c r="BO131" s="359"/>
      <c r="BP131" s="359"/>
      <c r="BQ131" s="364"/>
      <c r="BS131" s="357"/>
      <c r="BT131" s="359"/>
      <c r="BU131" s="359"/>
      <c r="BV131" s="364"/>
      <c r="BX131" s="357"/>
      <c r="BY131" s="359"/>
      <c r="BZ131" s="359"/>
      <c r="CA131" s="364"/>
      <c r="CC131" s="357"/>
      <c r="CD131" s="359"/>
      <c r="CE131" s="359"/>
      <c r="CF131" s="364"/>
      <c r="CH131" s="365"/>
    </row>
    <row r="132" spans="1:86" ht="23.25" customHeight="1" thickBot="1" x14ac:dyDescent="0.3">
      <c r="A132" s="160"/>
      <c r="B132" s="234" t="s">
        <v>151</v>
      </c>
      <c r="C132" s="234"/>
      <c r="D132" s="355" t="s">
        <v>11</v>
      </c>
      <c r="E132" s="162"/>
      <c r="F132" s="162"/>
      <c r="G132" s="162"/>
      <c r="H132" s="162"/>
      <c r="I132" s="378"/>
      <c r="J132" s="162"/>
      <c r="K132" s="370"/>
      <c r="L132" s="370"/>
      <c r="M132" s="370"/>
      <c r="N132" s="370"/>
      <c r="O132" s="370"/>
      <c r="P132" s="370"/>
      <c r="Q132" s="370"/>
      <c r="R132" s="370"/>
      <c r="S132" s="370"/>
      <c r="T132" s="370"/>
      <c r="U132" s="370"/>
      <c r="V132" s="370"/>
      <c r="W132" s="370"/>
      <c r="X132" s="370"/>
      <c r="Y132" s="370"/>
      <c r="Z132" s="370"/>
      <c r="AA132" s="370"/>
      <c r="AB132" s="370"/>
      <c r="AC132" s="370"/>
      <c r="AD132" s="370"/>
      <c r="AE132" s="370"/>
      <c r="AF132" s="162"/>
      <c r="AG132" s="371"/>
      <c r="AH132" s="371"/>
      <c r="AI132" s="370"/>
      <c r="AK132" s="162"/>
      <c r="AO132" s="11"/>
      <c r="AP132" s="11"/>
      <c r="AQ132" s="163"/>
      <c r="AS132" s="162"/>
      <c r="AU132" s="164"/>
      <c r="AV132" s="371"/>
      <c r="AX132" s="157"/>
      <c r="AY132" s="164"/>
      <c r="BC132" s="166"/>
      <c r="BD132" s="370"/>
      <c r="BE132" s="379"/>
      <c r="BF132" s="379"/>
      <c r="BG132" s="380"/>
      <c r="BH132" s="162"/>
      <c r="BI132" s="370"/>
      <c r="BJ132" s="379"/>
      <c r="BK132" s="379"/>
      <c r="BL132" s="381"/>
      <c r="BM132" s="162"/>
      <c r="BN132" s="370"/>
      <c r="BO132" s="379"/>
      <c r="BP132" s="379"/>
      <c r="BQ132" s="381"/>
      <c r="BR132" s="162"/>
      <c r="BS132" s="370"/>
      <c r="BT132" s="379"/>
      <c r="BU132" s="379"/>
      <c r="BV132" s="380"/>
      <c r="BW132" s="162"/>
      <c r="BX132" s="370"/>
      <c r="BY132" s="379"/>
      <c r="BZ132" s="379"/>
      <c r="CA132" s="381"/>
      <c r="CB132" s="162"/>
      <c r="CC132" s="370"/>
      <c r="CD132" s="379"/>
      <c r="CE132" s="379"/>
      <c r="CF132" s="381"/>
      <c r="CG132" s="162"/>
    </row>
    <row r="133" spans="1:86" ht="15.75" customHeight="1" x14ac:dyDescent="0.2">
      <c r="A133" s="242" t="str">
        <f>IF(OR(E133&lt;&gt;FALSE,F133&lt;&gt;FALSE,G133&lt;&gt;FALSE),MAX(A$16:A132)+1,"")</f>
        <v/>
      </c>
      <c r="B133" s="244" t="s">
        <v>152</v>
      </c>
      <c r="C133" s="244" t="s">
        <v>42</v>
      </c>
      <c r="D133" s="245" t="s">
        <v>11</v>
      </c>
      <c r="E133" s="246" t="b">
        <v>0</v>
      </c>
      <c r="F133" s="247" t="b">
        <v>0</v>
      </c>
      <c r="G133" s="248" t="b">
        <v>0</v>
      </c>
      <c r="H133" s="249"/>
      <c r="I133" s="250">
        <v>1</v>
      </c>
      <c r="J133" s="249"/>
      <c r="K133" s="251"/>
      <c r="L133" s="252"/>
      <c r="M133" s="252"/>
      <c r="N133" s="252"/>
      <c r="O133" s="252"/>
      <c r="P133" s="252"/>
      <c r="Q133" s="252"/>
      <c r="R133" s="252"/>
      <c r="S133" s="252"/>
      <c r="T133" s="252"/>
      <c r="U133" s="251"/>
      <c r="V133" s="252"/>
      <c r="W133" s="252"/>
      <c r="X133" s="252"/>
      <c r="Y133" s="252"/>
      <c r="Z133" s="252"/>
      <c r="AA133" s="253"/>
      <c r="AB133" s="251"/>
      <c r="AC133" s="252"/>
      <c r="AD133" s="252"/>
      <c r="AE133" s="253"/>
      <c r="AF133" s="249"/>
      <c r="AG133" s="257">
        <f>IF(OR(AND($E133=TRUE,'[1]Pricing Summary'!$B$33=$E$2),AND($F133=TRUE,'[1]Pricing Summary'!$B$33=$F$2),AND($G133=TRUE,'[1]Pricing Summary'!$B$33=$G$2)),1,0)</f>
        <v>0</v>
      </c>
      <c r="AH133" s="257">
        <f t="shared" ref="AH133:AH187" si="133">IF(OR($E133=TRUE,$F133=TRUE,$G133=TRUE),1,0)</f>
        <v>0</v>
      </c>
      <c r="AI133" s="258">
        <f t="shared" ref="AI133:AI164" si="134">$I133*SUM($K133:$AE133)*$AH133</f>
        <v>0</v>
      </c>
      <c r="AJ133" s="259">
        <f t="shared" ref="AJ133:AJ164" si="135">IFERROR(SUM($U133:$AA133)/SUM($K133:$AA133)*$AH133,0)</f>
        <v>0</v>
      </c>
      <c r="AK133" s="249"/>
      <c r="AL133" s="260">
        <f t="shared" ref="AL133:AL187" si="136">SUMPRODUCT($K$12:$AE$12,$K133:$AE133)</f>
        <v>0</v>
      </c>
      <c r="AM133" s="181">
        <f t="shared" ref="AM133:AO187" si="137">AL133</f>
        <v>0</v>
      </c>
      <c r="AN133" s="181">
        <f>AM133</f>
        <v>0</v>
      </c>
      <c r="AO133" s="262">
        <f t="shared" ref="AO133" si="138">AN133</f>
        <v>0</v>
      </c>
      <c r="AP133" s="263">
        <f>IF(AN$7=0,0,MROUND(AN133/AN$7*AP$8/'[1]Core Assumptions'!$D$28,'[1]Core Assumptions'!$E$23))</f>
        <v>0</v>
      </c>
      <c r="AQ133" s="264">
        <f t="shared" ref="AQ133:AQ187" si="139">IF(AL133=0,0,AO133/AL133)</f>
        <v>0</v>
      </c>
      <c r="AR133" s="265">
        <f t="shared" ref="AR133:AR187" si="140">IFERROR(AO133/SUM(K133:AE133),0)</f>
        <v>0</v>
      </c>
      <c r="AS133" s="249"/>
      <c r="AT133" s="266">
        <f t="shared" ref="AT133:AT187" si="141">SUMPRODUCT($K$14:$AE$14,$K133:$AE133)</f>
        <v>0</v>
      </c>
      <c r="AU133" s="267"/>
      <c r="AV133" s="257">
        <f>IF(OR(AND($E133=TRUE,'[1]Pricing Summary'!$B$33="Ultimate"),AND($F133=TRUE,'[1]Pricing Summary'!$B$33="Enhanced"),AND($G133=TRUE,'[1]Pricing Summary'!$B$33="Essential")),1,0)</f>
        <v>0</v>
      </c>
      <c r="AW133" s="268">
        <f t="shared" ref="AW133:AW187" si="142">$AL133*$AV133</f>
        <v>0</v>
      </c>
      <c r="AX133" s="269">
        <f t="shared" ref="AX133:AX187" si="143">$AO133*$AV133</f>
        <v>0</v>
      </c>
      <c r="AY133" s="267"/>
      <c r="AZ133" s="268">
        <f t="shared" ref="AZ133:AZ187" si="144">IF($E133=TRUE,$I133*$AL133,0)</f>
        <v>0</v>
      </c>
      <c r="BA133" s="270">
        <f t="shared" ref="BA133:BA187" si="145">IF($F133=TRUE,$I133*$AL133,0)</f>
        <v>0</v>
      </c>
      <c r="BB133" s="271">
        <f t="shared" ref="BB133:BB187" si="146">IF($G133=TRUE,$I133*$AL133,0)</f>
        <v>0</v>
      </c>
      <c r="BC133" s="272"/>
      <c r="BD133" s="273">
        <f t="shared" ref="BD133:BD187" si="147">IF($E133=TRUE,$AI133,0)</f>
        <v>0</v>
      </c>
      <c r="BE133" s="274">
        <f t="shared" ref="BE133:BE187" si="148">IF($E133=TRUE,$I133*$AM133,0)</f>
        <v>0</v>
      </c>
      <c r="BF133" s="274">
        <f t="shared" ref="BF133:BF187" si="149">IF($E133=TRUE,BE133-$I133*$AT133,0)</f>
        <v>0</v>
      </c>
      <c r="BG133" s="275">
        <f t="shared" ref="BG133:BG187" si="150">IFERROR(BF133/BE133,0)</f>
        <v>0</v>
      </c>
      <c r="BH133" s="249"/>
      <c r="BI133" s="276">
        <f t="shared" ref="BI133:BI187" si="151">IF($F133=TRUE,$AI133,0)</f>
        <v>0</v>
      </c>
      <c r="BJ133" s="277">
        <f t="shared" ref="BJ133:BJ187" si="152">IF($F133=TRUE,$I133*$AM133,0)</f>
        <v>0</v>
      </c>
      <c r="BK133" s="277">
        <f t="shared" ref="BK133:BK187" si="153">IF($F133=TRUE,BJ133-$I133*$AT133,0)</f>
        <v>0</v>
      </c>
      <c r="BL133" s="278">
        <f t="shared" ref="BL133:BL187" si="154">IFERROR(BK133/BJ133,0)</f>
        <v>0</v>
      </c>
      <c r="BM133" s="249"/>
      <c r="BN133" s="279">
        <f t="shared" ref="BN133:BN187" si="155">IF($G133=TRUE,$AI133,0)</f>
        <v>0</v>
      </c>
      <c r="BO133" s="280">
        <f t="shared" ref="BO133:BO187" si="156">IF($G133=TRUE,$I133*$AM133,0)</f>
        <v>0</v>
      </c>
      <c r="BP133" s="280">
        <f t="shared" ref="BP133:BP187" si="157">IF($G133=TRUE,BO133-$I133*$AT133,0)</f>
        <v>0</v>
      </c>
      <c r="BQ133" s="281">
        <f t="shared" ref="BQ133:BQ187" si="158">IFERROR(BP133/BO133,0)</f>
        <v>0</v>
      </c>
      <c r="BR133" s="249"/>
      <c r="BS133" s="273">
        <f t="shared" ref="BS133:BS187" si="159">IF($E133=TRUE,$AI133,0)</f>
        <v>0</v>
      </c>
      <c r="BT133" s="274">
        <f t="shared" ref="BT133:BT187" si="160">IF($E133=TRUE,$I133*$AO133,0)</f>
        <v>0</v>
      </c>
      <c r="BU133" s="274">
        <f t="shared" ref="BU133:BU187" si="161">IF($E133=TRUE,BT133-$I133*$AT133,0)</f>
        <v>0</v>
      </c>
      <c r="BV133" s="275">
        <f t="shared" ref="BV133:BV187" si="162">IFERROR(BU133/BT133,0)</f>
        <v>0</v>
      </c>
      <c r="BW133" s="249"/>
      <c r="BX133" s="276">
        <f t="shared" ref="BX133:BX187" si="163">IF($F133=TRUE,$AI133,0)</f>
        <v>0</v>
      </c>
      <c r="BY133" s="277">
        <f t="shared" ref="BY133:BY187" si="164">IF($F133=TRUE,$I133*$AO133,0)</f>
        <v>0</v>
      </c>
      <c r="BZ133" s="277">
        <f t="shared" ref="BZ133:BZ187" si="165">IF($F133=TRUE,BY133-$I133*$AT133,0)</f>
        <v>0</v>
      </c>
      <c r="CA133" s="278">
        <f t="shared" ref="CA133:CA187" si="166">IFERROR(BZ133/BY133,0)</f>
        <v>0</v>
      </c>
      <c r="CB133" s="249"/>
      <c r="CC133" s="279">
        <f t="shared" ref="CC133:CC187" si="167">IF($G133=TRUE,$AI133,0)</f>
        <v>0</v>
      </c>
      <c r="CD133" s="280">
        <f t="shared" ref="CD133:CD187" si="168">IF($G133=TRUE,$I133*$AO133,0)</f>
        <v>0</v>
      </c>
      <c r="CE133" s="280">
        <f t="shared" ref="CE133:CE187" si="169">IF($G133=TRUE,CD133-$I133*$AT133,0)</f>
        <v>0</v>
      </c>
      <c r="CF133" s="281">
        <f t="shared" ref="CF133:CF187" si="170">IFERROR(CE133/CD133,0)</f>
        <v>0</v>
      </c>
      <c r="CG133" s="249"/>
      <c r="CH133" s="282"/>
    </row>
    <row r="134" spans="1:86" ht="15.75" customHeight="1" x14ac:dyDescent="0.2">
      <c r="A134" s="242" t="str">
        <f>IF(OR(E134&lt;&gt;FALSE,F134&lt;&gt;FALSE,G134&lt;&gt;FALSE),MAX(A$16:A133)+1,"")</f>
        <v/>
      </c>
      <c r="B134" s="284" t="s">
        <v>153</v>
      </c>
      <c r="C134" s="284" t="s">
        <v>42</v>
      </c>
      <c r="D134" s="245" t="s">
        <v>11</v>
      </c>
      <c r="E134" s="285" t="b">
        <v>0</v>
      </c>
      <c r="F134" s="286" t="b">
        <v>0</v>
      </c>
      <c r="G134" s="287" t="b">
        <v>0</v>
      </c>
      <c r="H134" s="249"/>
      <c r="I134" s="288">
        <v>1</v>
      </c>
      <c r="J134" s="249"/>
      <c r="K134" s="289"/>
      <c r="L134" s="290"/>
      <c r="M134" s="290"/>
      <c r="N134" s="290"/>
      <c r="O134" s="290"/>
      <c r="P134" s="290"/>
      <c r="Q134" s="290"/>
      <c r="R134" s="290"/>
      <c r="S134" s="290"/>
      <c r="T134" s="290"/>
      <c r="U134" s="289"/>
      <c r="V134" s="290"/>
      <c r="W134" s="290"/>
      <c r="X134" s="290"/>
      <c r="Y134" s="290"/>
      <c r="Z134" s="290"/>
      <c r="AA134" s="291"/>
      <c r="AB134" s="289"/>
      <c r="AC134" s="290"/>
      <c r="AD134" s="290"/>
      <c r="AE134" s="291"/>
      <c r="AF134" s="249"/>
      <c r="AG134" s="295">
        <f>IF(OR(AND($E134=TRUE,'[1]Pricing Summary'!$B$33=$E$2),AND($F134=TRUE,'[1]Pricing Summary'!$B$33=$F$2),AND($G134=TRUE,'[1]Pricing Summary'!$B$33=$G$2)),1,0)</f>
        <v>0</v>
      </c>
      <c r="AH134" s="295">
        <f t="shared" si="133"/>
        <v>0</v>
      </c>
      <c r="AI134" s="296">
        <f t="shared" si="134"/>
        <v>0</v>
      </c>
      <c r="AJ134" s="297">
        <f t="shared" si="135"/>
        <v>0</v>
      </c>
      <c r="AK134" s="249"/>
      <c r="AL134" s="298">
        <f t="shared" si="136"/>
        <v>0</v>
      </c>
      <c r="AM134" s="383">
        <f t="shared" si="137"/>
        <v>0</v>
      </c>
      <c r="AN134" s="383">
        <f t="shared" si="137"/>
        <v>0</v>
      </c>
      <c r="AO134" s="299">
        <f>AN134</f>
        <v>0</v>
      </c>
      <c r="AP134" s="300">
        <f>IF(AN$7=0,0,MROUND(AN134/AN$7*AP$8/'[1]Core Assumptions'!$D$28,'[1]Core Assumptions'!$E$23))</f>
        <v>0</v>
      </c>
      <c r="AQ134" s="301">
        <f t="shared" si="139"/>
        <v>0</v>
      </c>
      <c r="AR134" s="302">
        <f t="shared" si="140"/>
        <v>0</v>
      </c>
      <c r="AS134" s="249"/>
      <c r="AT134" s="303">
        <f t="shared" si="141"/>
        <v>0</v>
      </c>
      <c r="AU134" s="267"/>
      <c r="AV134" s="295">
        <f>IF(OR(AND($E134=TRUE,'[1]Pricing Summary'!$B$33="Ultimate"),AND($F134=TRUE,'[1]Pricing Summary'!$B$33="Enhanced"),AND($G134=TRUE,'[1]Pricing Summary'!$B$33="Essential")),1,0)</f>
        <v>0</v>
      </c>
      <c r="AW134" s="304">
        <f t="shared" si="142"/>
        <v>0</v>
      </c>
      <c r="AX134" s="305">
        <f t="shared" si="143"/>
        <v>0</v>
      </c>
      <c r="AY134" s="267"/>
      <c r="AZ134" s="304">
        <f t="shared" si="144"/>
        <v>0</v>
      </c>
      <c r="BA134" s="222">
        <f t="shared" si="145"/>
        <v>0</v>
      </c>
      <c r="BB134" s="306">
        <f t="shared" si="146"/>
        <v>0</v>
      </c>
      <c r="BC134" s="272"/>
      <c r="BD134" s="307">
        <f t="shared" si="147"/>
        <v>0</v>
      </c>
      <c r="BE134" s="308">
        <f t="shared" si="148"/>
        <v>0</v>
      </c>
      <c r="BF134" s="308">
        <f t="shared" si="149"/>
        <v>0</v>
      </c>
      <c r="BG134" s="309">
        <f t="shared" si="150"/>
        <v>0</v>
      </c>
      <c r="BH134" s="249"/>
      <c r="BI134" s="310">
        <f t="shared" si="151"/>
        <v>0</v>
      </c>
      <c r="BJ134" s="311">
        <f t="shared" si="152"/>
        <v>0</v>
      </c>
      <c r="BK134" s="311">
        <f t="shared" si="153"/>
        <v>0</v>
      </c>
      <c r="BL134" s="312">
        <f t="shared" si="154"/>
        <v>0</v>
      </c>
      <c r="BM134" s="249"/>
      <c r="BN134" s="313">
        <f t="shared" si="155"/>
        <v>0</v>
      </c>
      <c r="BO134" s="314">
        <f t="shared" si="156"/>
        <v>0</v>
      </c>
      <c r="BP134" s="314">
        <f t="shared" si="157"/>
        <v>0</v>
      </c>
      <c r="BQ134" s="315">
        <f t="shared" si="158"/>
        <v>0</v>
      </c>
      <c r="BR134" s="249"/>
      <c r="BS134" s="307">
        <f t="shared" si="159"/>
        <v>0</v>
      </c>
      <c r="BT134" s="308">
        <f t="shared" si="160"/>
        <v>0</v>
      </c>
      <c r="BU134" s="308">
        <f t="shared" si="161"/>
        <v>0</v>
      </c>
      <c r="BV134" s="309">
        <f t="shared" si="162"/>
        <v>0</v>
      </c>
      <c r="BW134" s="249"/>
      <c r="BX134" s="310">
        <f t="shared" si="163"/>
        <v>0</v>
      </c>
      <c r="BY134" s="311">
        <f t="shared" si="164"/>
        <v>0</v>
      </c>
      <c r="BZ134" s="311">
        <f t="shared" si="165"/>
        <v>0</v>
      </c>
      <c r="CA134" s="312">
        <f t="shared" si="166"/>
        <v>0</v>
      </c>
      <c r="CB134" s="249"/>
      <c r="CC134" s="313">
        <f t="shared" si="167"/>
        <v>0</v>
      </c>
      <c r="CD134" s="314">
        <f t="shared" si="168"/>
        <v>0</v>
      </c>
      <c r="CE134" s="314">
        <f t="shared" si="169"/>
        <v>0</v>
      </c>
      <c r="CF134" s="315">
        <f t="shared" si="170"/>
        <v>0</v>
      </c>
      <c r="CG134" s="249"/>
      <c r="CH134" s="316"/>
    </row>
    <row r="135" spans="1:86" ht="15.75" customHeight="1" x14ac:dyDescent="0.2">
      <c r="A135" s="242" t="str">
        <f>IF(OR(E135&lt;&gt;FALSE,F135&lt;&gt;FALSE,G135&lt;&gt;FALSE),MAX(A$16:A134)+1,"")</f>
        <v/>
      </c>
      <c r="B135" s="284" t="s">
        <v>154</v>
      </c>
      <c r="C135" s="284" t="s">
        <v>42</v>
      </c>
      <c r="D135" s="245" t="s">
        <v>11</v>
      </c>
      <c r="E135" s="285" t="b">
        <v>0</v>
      </c>
      <c r="F135" s="286" t="b">
        <v>0</v>
      </c>
      <c r="G135" s="287" t="b">
        <v>0</v>
      </c>
      <c r="H135" s="249"/>
      <c r="I135" s="288">
        <v>1</v>
      </c>
      <c r="J135" s="249"/>
      <c r="K135" s="289"/>
      <c r="L135" s="290"/>
      <c r="M135" s="290"/>
      <c r="N135" s="290"/>
      <c r="O135" s="290"/>
      <c r="P135" s="290"/>
      <c r="Q135" s="290"/>
      <c r="R135" s="290"/>
      <c r="S135" s="290"/>
      <c r="T135" s="290"/>
      <c r="U135" s="289"/>
      <c r="V135" s="290"/>
      <c r="W135" s="290"/>
      <c r="X135" s="290"/>
      <c r="Y135" s="290"/>
      <c r="Z135" s="290"/>
      <c r="AA135" s="291"/>
      <c r="AB135" s="289"/>
      <c r="AC135" s="290"/>
      <c r="AD135" s="290"/>
      <c r="AE135" s="291"/>
      <c r="AF135" s="249"/>
      <c r="AG135" s="295">
        <f>IF(OR(AND($E135=TRUE,'[1]Pricing Summary'!$B$33=$E$2),AND($F135=TRUE,'[1]Pricing Summary'!$B$33=$F$2),AND($G135=TRUE,'[1]Pricing Summary'!$B$33=$G$2)),1,0)</f>
        <v>0</v>
      </c>
      <c r="AH135" s="295">
        <f t="shared" si="133"/>
        <v>0</v>
      </c>
      <c r="AI135" s="296">
        <f t="shared" si="134"/>
        <v>0</v>
      </c>
      <c r="AJ135" s="297">
        <f t="shared" si="135"/>
        <v>0</v>
      </c>
      <c r="AK135" s="249"/>
      <c r="AL135" s="298">
        <f t="shared" si="136"/>
        <v>0</v>
      </c>
      <c r="AM135" s="383">
        <f t="shared" si="137"/>
        <v>0</v>
      </c>
      <c r="AN135" s="383">
        <f t="shared" si="137"/>
        <v>0</v>
      </c>
      <c r="AO135" s="299">
        <f t="shared" si="137"/>
        <v>0</v>
      </c>
      <c r="AP135" s="300">
        <f>IF(AN$7=0,0,MROUND(AN135/AN$7*AP$8/'[1]Core Assumptions'!$D$28,'[1]Core Assumptions'!$E$23))</f>
        <v>0</v>
      </c>
      <c r="AQ135" s="301">
        <f t="shared" si="139"/>
        <v>0</v>
      </c>
      <c r="AR135" s="302">
        <f t="shared" si="140"/>
        <v>0</v>
      </c>
      <c r="AS135" s="249"/>
      <c r="AT135" s="303">
        <f t="shared" si="141"/>
        <v>0</v>
      </c>
      <c r="AU135" s="267"/>
      <c r="AV135" s="295">
        <f>IF(OR(AND($E135=TRUE,'[1]Pricing Summary'!$B$33="Ultimate"),AND($F135=TRUE,'[1]Pricing Summary'!$B$33="Enhanced"),AND($G135=TRUE,'[1]Pricing Summary'!$B$33="Essential")),1,0)</f>
        <v>0</v>
      </c>
      <c r="AW135" s="304">
        <f t="shared" si="142"/>
        <v>0</v>
      </c>
      <c r="AX135" s="305">
        <f t="shared" si="143"/>
        <v>0</v>
      </c>
      <c r="AY135" s="267"/>
      <c r="AZ135" s="304">
        <f t="shared" si="144"/>
        <v>0</v>
      </c>
      <c r="BA135" s="222">
        <f t="shared" si="145"/>
        <v>0</v>
      </c>
      <c r="BB135" s="306">
        <f t="shared" si="146"/>
        <v>0</v>
      </c>
      <c r="BC135" s="272"/>
      <c r="BD135" s="307">
        <f t="shared" si="147"/>
        <v>0</v>
      </c>
      <c r="BE135" s="308">
        <f t="shared" si="148"/>
        <v>0</v>
      </c>
      <c r="BF135" s="308">
        <f t="shared" si="149"/>
        <v>0</v>
      </c>
      <c r="BG135" s="309">
        <f t="shared" si="150"/>
        <v>0</v>
      </c>
      <c r="BH135" s="249"/>
      <c r="BI135" s="310">
        <f t="shared" si="151"/>
        <v>0</v>
      </c>
      <c r="BJ135" s="311">
        <f t="shared" si="152"/>
        <v>0</v>
      </c>
      <c r="BK135" s="311">
        <f t="shared" si="153"/>
        <v>0</v>
      </c>
      <c r="BL135" s="312">
        <f t="shared" si="154"/>
        <v>0</v>
      </c>
      <c r="BM135" s="249"/>
      <c r="BN135" s="313">
        <f t="shared" si="155"/>
        <v>0</v>
      </c>
      <c r="BO135" s="314">
        <f t="shared" si="156"/>
        <v>0</v>
      </c>
      <c r="BP135" s="314">
        <f t="shared" si="157"/>
        <v>0</v>
      </c>
      <c r="BQ135" s="315">
        <f t="shared" si="158"/>
        <v>0</v>
      </c>
      <c r="BR135" s="249"/>
      <c r="BS135" s="307">
        <f t="shared" si="159"/>
        <v>0</v>
      </c>
      <c r="BT135" s="308">
        <f t="shared" si="160"/>
        <v>0</v>
      </c>
      <c r="BU135" s="308">
        <f t="shared" si="161"/>
        <v>0</v>
      </c>
      <c r="BV135" s="309">
        <f t="shared" si="162"/>
        <v>0</v>
      </c>
      <c r="BW135" s="249"/>
      <c r="BX135" s="310">
        <f t="shared" si="163"/>
        <v>0</v>
      </c>
      <c r="BY135" s="311">
        <f t="shared" si="164"/>
        <v>0</v>
      </c>
      <c r="BZ135" s="311">
        <f t="shared" si="165"/>
        <v>0</v>
      </c>
      <c r="CA135" s="312">
        <f t="shared" si="166"/>
        <v>0</v>
      </c>
      <c r="CB135" s="249"/>
      <c r="CC135" s="313">
        <f t="shared" si="167"/>
        <v>0</v>
      </c>
      <c r="CD135" s="314">
        <f t="shared" si="168"/>
        <v>0</v>
      </c>
      <c r="CE135" s="314">
        <f t="shared" si="169"/>
        <v>0</v>
      </c>
      <c r="CF135" s="315">
        <f t="shared" si="170"/>
        <v>0</v>
      </c>
      <c r="CG135" s="249"/>
      <c r="CH135" s="316"/>
    </row>
    <row r="136" spans="1:86" ht="15.75" customHeight="1" x14ac:dyDescent="0.2">
      <c r="A136" s="242" t="str">
        <f>IF(OR(E136&lt;&gt;FALSE,F136&lt;&gt;FALSE,G136&lt;&gt;FALSE),MAX(A$16:A135)+1,"")</f>
        <v/>
      </c>
      <c r="B136" s="284" t="s">
        <v>155</v>
      </c>
      <c r="C136" s="284" t="s">
        <v>42</v>
      </c>
      <c r="D136" s="245" t="s">
        <v>11</v>
      </c>
      <c r="E136" s="285" t="b">
        <v>0</v>
      </c>
      <c r="F136" s="286" t="b">
        <v>0</v>
      </c>
      <c r="G136" s="287" t="b">
        <v>0</v>
      </c>
      <c r="H136" s="249"/>
      <c r="I136" s="288">
        <v>1</v>
      </c>
      <c r="J136" s="249"/>
      <c r="K136" s="289"/>
      <c r="L136" s="290"/>
      <c r="M136" s="290"/>
      <c r="N136" s="290"/>
      <c r="O136" s="290"/>
      <c r="P136" s="290"/>
      <c r="Q136" s="290"/>
      <c r="R136" s="290"/>
      <c r="S136" s="290"/>
      <c r="T136" s="290"/>
      <c r="U136" s="289"/>
      <c r="V136" s="290"/>
      <c r="W136" s="290"/>
      <c r="X136" s="290"/>
      <c r="Y136" s="290"/>
      <c r="Z136" s="290"/>
      <c r="AA136" s="291"/>
      <c r="AB136" s="289"/>
      <c r="AC136" s="290"/>
      <c r="AD136" s="290"/>
      <c r="AE136" s="291"/>
      <c r="AF136" s="249"/>
      <c r="AG136" s="295">
        <f>IF(OR(AND($E136=TRUE,'[1]Pricing Summary'!$B$33=$E$2),AND($F136=TRUE,'[1]Pricing Summary'!$B$33=$F$2),AND($G136=TRUE,'[1]Pricing Summary'!$B$33=$G$2)),1,0)</f>
        <v>0</v>
      </c>
      <c r="AH136" s="295">
        <f t="shared" si="133"/>
        <v>0</v>
      </c>
      <c r="AI136" s="296">
        <f t="shared" si="134"/>
        <v>0</v>
      </c>
      <c r="AJ136" s="297">
        <f t="shared" si="135"/>
        <v>0</v>
      </c>
      <c r="AK136" s="249"/>
      <c r="AL136" s="298">
        <f t="shared" si="136"/>
        <v>0</v>
      </c>
      <c r="AM136" s="383">
        <f t="shared" si="137"/>
        <v>0</v>
      </c>
      <c r="AN136" s="383">
        <f t="shared" si="137"/>
        <v>0</v>
      </c>
      <c r="AO136" s="299">
        <f>AN136</f>
        <v>0</v>
      </c>
      <c r="AP136" s="300">
        <f>IF(AN$7=0,0,MROUND(AN136/AN$7*AP$8/'[1]Core Assumptions'!$D$28,'[1]Core Assumptions'!$E$23))</f>
        <v>0</v>
      </c>
      <c r="AQ136" s="301">
        <f t="shared" si="139"/>
        <v>0</v>
      </c>
      <c r="AR136" s="302">
        <f t="shared" si="140"/>
        <v>0</v>
      </c>
      <c r="AS136" s="249"/>
      <c r="AT136" s="303">
        <f t="shared" si="141"/>
        <v>0</v>
      </c>
      <c r="AU136" s="267"/>
      <c r="AV136" s="295">
        <f>IF(OR(AND($E136=TRUE,'[1]Pricing Summary'!$B$33="Ultimate"),AND($F136=TRUE,'[1]Pricing Summary'!$B$33="Enhanced"),AND($G136=TRUE,'[1]Pricing Summary'!$B$33="Essential")),1,0)</f>
        <v>0</v>
      </c>
      <c r="AW136" s="304">
        <f t="shared" si="142"/>
        <v>0</v>
      </c>
      <c r="AX136" s="305">
        <f t="shared" si="143"/>
        <v>0</v>
      </c>
      <c r="AY136" s="267"/>
      <c r="AZ136" s="304">
        <f t="shared" si="144"/>
        <v>0</v>
      </c>
      <c r="BA136" s="222">
        <f t="shared" si="145"/>
        <v>0</v>
      </c>
      <c r="BB136" s="306">
        <f t="shared" si="146"/>
        <v>0</v>
      </c>
      <c r="BC136" s="272"/>
      <c r="BD136" s="307">
        <f t="shared" si="147"/>
        <v>0</v>
      </c>
      <c r="BE136" s="308">
        <f t="shared" si="148"/>
        <v>0</v>
      </c>
      <c r="BF136" s="308">
        <f t="shared" si="149"/>
        <v>0</v>
      </c>
      <c r="BG136" s="309">
        <f t="shared" si="150"/>
        <v>0</v>
      </c>
      <c r="BH136" s="249"/>
      <c r="BI136" s="310">
        <f t="shared" si="151"/>
        <v>0</v>
      </c>
      <c r="BJ136" s="311">
        <f t="shared" si="152"/>
        <v>0</v>
      </c>
      <c r="BK136" s="311">
        <f t="shared" si="153"/>
        <v>0</v>
      </c>
      <c r="BL136" s="312">
        <f t="shared" si="154"/>
        <v>0</v>
      </c>
      <c r="BM136" s="249"/>
      <c r="BN136" s="313">
        <f t="shared" si="155"/>
        <v>0</v>
      </c>
      <c r="BO136" s="314">
        <f t="shared" si="156"/>
        <v>0</v>
      </c>
      <c r="BP136" s="314">
        <f t="shared" si="157"/>
        <v>0</v>
      </c>
      <c r="BQ136" s="315">
        <f t="shared" si="158"/>
        <v>0</v>
      </c>
      <c r="BR136" s="249"/>
      <c r="BS136" s="307">
        <f t="shared" si="159"/>
        <v>0</v>
      </c>
      <c r="BT136" s="308">
        <f t="shared" si="160"/>
        <v>0</v>
      </c>
      <c r="BU136" s="308">
        <f t="shared" si="161"/>
        <v>0</v>
      </c>
      <c r="BV136" s="309">
        <f t="shared" si="162"/>
        <v>0</v>
      </c>
      <c r="BW136" s="249"/>
      <c r="BX136" s="310">
        <f t="shared" si="163"/>
        <v>0</v>
      </c>
      <c r="BY136" s="311">
        <f t="shared" si="164"/>
        <v>0</v>
      </c>
      <c r="BZ136" s="311">
        <f t="shared" si="165"/>
        <v>0</v>
      </c>
      <c r="CA136" s="312">
        <f t="shared" si="166"/>
        <v>0</v>
      </c>
      <c r="CB136" s="249"/>
      <c r="CC136" s="313">
        <f t="shared" si="167"/>
        <v>0</v>
      </c>
      <c r="CD136" s="314">
        <f t="shared" si="168"/>
        <v>0</v>
      </c>
      <c r="CE136" s="314">
        <f t="shared" si="169"/>
        <v>0</v>
      </c>
      <c r="CF136" s="315">
        <f t="shared" si="170"/>
        <v>0</v>
      </c>
      <c r="CG136" s="249"/>
      <c r="CH136" s="316"/>
    </row>
    <row r="137" spans="1:86" ht="15.75" customHeight="1" x14ac:dyDescent="0.2">
      <c r="A137" s="242" t="str">
        <f>IF(OR(E137&lt;&gt;FALSE,F137&lt;&gt;FALSE,G137&lt;&gt;FALSE),MAX(A$16:A136)+1,"")</f>
        <v/>
      </c>
      <c r="B137" s="284" t="s">
        <v>156</v>
      </c>
      <c r="C137" s="284" t="s">
        <v>42</v>
      </c>
      <c r="D137" s="245" t="s">
        <v>11</v>
      </c>
      <c r="E137" s="285" t="b">
        <v>0</v>
      </c>
      <c r="F137" s="286" t="b">
        <v>0</v>
      </c>
      <c r="G137" s="287" t="b">
        <v>0</v>
      </c>
      <c r="H137" s="249"/>
      <c r="I137" s="288">
        <v>1</v>
      </c>
      <c r="J137" s="249"/>
      <c r="K137" s="289"/>
      <c r="L137" s="290"/>
      <c r="M137" s="290"/>
      <c r="N137" s="290"/>
      <c r="O137" s="290"/>
      <c r="P137" s="290"/>
      <c r="Q137" s="290"/>
      <c r="R137" s="290"/>
      <c r="S137" s="290"/>
      <c r="T137" s="290"/>
      <c r="U137" s="289"/>
      <c r="V137" s="290"/>
      <c r="W137" s="290"/>
      <c r="X137" s="290"/>
      <c r="Y137" s="290"/>
      <c r="Z137" s="290"/>
      <c r="AA137" s="291"/>
      <c r="AB137" s="289"/>
      <c r="AC137" s="290"/>
      <c r="AD137" s="290"/>
      <c r="AE137" s="291"/>
      <c r="AF137" s="249"/>
      <c r="AG137" s="295">
        <f>IF(OR(AND($E137=TRUE,'[1]Pricing Summary'!$B$33=$E$2),AND($F137=TRUE,'[1]Pricing Summary'!$B$33=$F$2),AND($G137=TRUE,'[1]Pricing Summary'!$B$33=$G$2)),1,0)</f>
        <v>0</v>
      </c>
      <c r="AH137" s="295">
        <f t="shared" si="133"/>
        <v>0</v>
      </c>
      <c r="AI137" s="296">
        <f t="shared" si="134"/>
        <v>0</v>
      </c>
      <c r="AJ137" s="297">
        <f t="shared" si="135"/>
        <v>0</v>
      </c>
      <c r="AK137" s="249"/>
      <c r="AL137" s="298">
        <f t="shared" si="136"/>
        <v>0</v>
      </c>
      <c r="AM137" s="383">
        <f t="shared" si="137"/>
        <v>0</v>
      </c>
      <c r="AN137" s="383">
        <f t="shared" si="137"/>
        <v>0</v>
      </c>
      <c r="AO137" s="299">
        <f t="shared" si="137"/>
        <v>0</v>
      </c>
      <c r="AP137" s="300">
        <f>IF(AN$7=0,0,MROUND(AN137/AN$7*AP$8/'[1]Core Assumptions'!$D$28,'[1]Core Assumptions'!$E$23))</f>
        <v>0</v>
      </c>
      <c r="AQ137" s="301">
        <f t="shared" si="139"/>
        <v>0</v>
      </c>
      <c r="AR137" s="302">
        <f t="shared" si="140"/>
        <v>0</v>
      </c>
      <c r="AS137" s="249"/>
      <c r="AT137" s="303">
        <f t="shared" si="141"/>
        <v>0</v>
      </c>
      <c r="AU137" s="267"/>
      <c r="AV137" s="295">
        <f>IF(OR(AND($E137=TRUE,'[1]Pricing Summary'!$B$33="Ultimate"),AND($F137=TRUE,'[1]Pricing Summary'!$B$33="Enhanced"),AND($G137=TRUE,'[1]Pricing Summary'!$B$33="Essential")),1,0)</f>
        <v>0</v>
      </c>
      <c r="AW137" s="304">
        <f t="shared" si="142"/>
        <v>0</v>
      </c>
      <c r="AX137" s="305">
        <f t="shared" si="143"/>
        <v>0</v>
      </c>
      <c r="AY137" s="267"/>
      <c r="AZ137" s="304">
        <f t="shared" si="144"/>
        <v>0</v>
      </c>
      <c r="BA137" s="222">
        <f t="shared" si="145"/>
        <v>0</v>
      </c>
      <c r="BB137" s="306">
        <f t="shared" si="146"/>
        <v>0</v>
      </c>
      <c r="BC137" s="272"/>
      <c r="BD137" s="307">
        <f t="shared" si="147"/>
        <v>0</v>
      </c>
      <c r="BE137" s="308">
        <f t="shared" si="148"/>
        <v>0</v>
      </c>
      <c r="BF137" s="308">
        <f t="shared" si="149"/>
        <v>0</v>
      </c>
      <c r="BG137" s="309">
        <f t="shared" si="150"/>
        <v>0</v>
      </c>
      <c r="BH137" s="249"/>
      <c r="BI137" s="310">
        <f t="shared" si="151"/>
        <v>0</v>
      </c>
      <c r="BJ137" s="311">
        <f t="shared" si="152"/>
        <v>0</v>
      </c>
      <c r="BK137" s="311">
        <f t="shared" si="153"/>
        <v>0</v>
      </c>
      <c r="BL137" s="312">
        <f t="shared" si="154"/>
        <v>0</v>
      </c>
      <c r="BM137" s="249"/>
      <c r="BN137" s="313">
        <f t="shared" si="155"/>
        <v>0</v>
      </c>
      <c r="BO137" s="314">
        <f t="shared" si="156"/>
        <v>0</v>
      </c>
      <c r="BP137" s="314">
        <f t="shared" si="157"/>
        <v>0</v>
      </c>
      <c r="BQ137" s="315">
        <f t="shared" si="158"/>
        <v>0</v>
      </c>
      <c r="BR137" s="249"/>
      <c r="BS137" s="307">
        <f t="shared" si="159"/>
        <v>0</v>
      </c>
      <c r="BT137" s="308">
        <f t="shared" si="160"/>
        <v>0</v>
      </c>
      <c r="BU137" s="308">
        <f t="shared" si="161"/>
        <v>0</v>
      </c>
      <c r="BV137" s="309">
        <f t="shared" si="162"/>
        <v>0</v>
      </c>
      <c r="BW137" s="249"/>
      <c r="BX137" s="310">
        <f t="shared" si="163"/>
        <v>0</v>
      </c>
      <c r="BY137" s="311">
        <f t="shared" si="164"/>
        <v>0</v>
      </c>
      <c r="BZ137" s="311">
        <f t="shared" si="165"/>
        <v>0</v>
      </c>
      <c r="CA137" s="312">
        <f t="shared" si="166"/>
        <v>0</v>
      </c>
      <c r="CB137" s="249"/>
      <c r="CC137" s="313">
        <f t="shared" si="167"/>
        <v>0</v>
      </c>
      <c r="CD137" s="314">
        <f t="shared" si="168"/>
        <v>0</v>
      </c>
      <c r="CE137" s="314">
        <f t="shared" si="169"/>
        <v>0</v>
      </c>
      <c r="CF137" s="315">
        <f t="shared" si="170"/>
        <v>0</v>
      </c>
      <c r="CG137" s="249"/>
      <c r="CH137" s="316"/>
    </row>
    <row r="138" spans="1:86" ht="15.75" customHeight="1" x14ac:dyDescent="0.2">
      <c r="A138" s="242" t="str">
        <f>IF(OR(E138&lt;&gt;FALSE,F138&lt;&gt;FALSE,G138&lt;&gt;FALSE),MAX(A$16:A137)+1,"")</f>
        <v/>
      </c>
      <c r="B138" s="284" t="s">
        <v>157</v>
      </c>
      <c r="C138" s="284" t="s">
        <v>42</v>
      </c>
      <c r="D138" s="245" t="s">
        <v>11</v>
      </c>
      <c r="E138" s="285" t="b">
        <v>0</v>
      </c>
      <c r="F138" s="286" t="b">
        <v>0</v>
      </c>
      <c r="G138" s="287" t="b">
        <v>0</v>
      </c>
      <c r="H138" s="249"/>
      <c r="I138" s="288">
        <v>1</v>
      </c>
      <c r="J138" s="249"/>
      <c r="K138" s="289"/>
      <c r="L138" s="290"/>
      <c r="M138" s="290"/>
      <c r="N138" s="290"/>
      <c r="O138" s="290"/>
      <c r="P138" s="290"/>
      <c r="Q138" s="290"/>
      <c r="R138" s="290"/>
      <c r="S138" s="290"/>
      <c r="T138" s="290"/>
      <c r="U138" s="289"/>
      <c r="V138" s="290"/>
      <c r="W138" s="290"/>
      <c r="X138" s="290"/>
      <c r="Y138" s="290"/>
      <c r="Z138" s="290"/>
      <c r="AA138" s="291"/>
      <c r="AB138" s="289"/>
      <c r="AC138" s="290"/>
      <c r="AD138" s="290"/>
      <c r="AE138" s="291"/>
      <c r="AF138" s="249"/>
      <c r="AG138" s="295">
        <f>IF(OR(AND($E138=TRUE,'[1]Pricing Summary'!$B$33=$E$2),AND($F138=TRUE,'[1]Pricing Summary'!$B$33=$F$2),AND($G138=TRUE,'[1]Pricing Summary'!$B$33=$G$2)),1,0)</f>
        <v>0</v>
      </c>
      <c r="AH138" s="295">
        <f t="shared" si="133"/>
        <v>0</v>
      </c>
      <c r="AI138" s="296">
        <f t="shared" si="134"/>
        <v>0</v>
      </c>
      <c r="AJ138" s="297">
        <f t="shared" si="135"/>
        <v>0</v>
      </c>
      <c r="AK138" s="249"/>
      <c r="AL138" s="298">
        <f t="shared" si="136"/>
        <v>0</v>
      </c>
      <c r="AM138" s="383">
        <f t="shared" si="137"/>
        <v>0</v>
      </c>
      <c r="AN138" s="383">
        <f t="shared" si="137"/>
        <v>0</v>
      </c>
      <c r="AO138" s="299">
        <f t="shared" si="137"/>
        <v>0</v>
      </c>
      <c r="AP138" s="300">
        <f>IF(AN$7=0,0,MROUND(AN138/AN$7*AP$8/'[1]Core Assumptions'!$D$28,'[1]Core Assumptions'!$E$23))</f>
        <v>0</v>
      </c>
      <c r="AQ138" s="301">
        <f t="shared" si="139"/>
        <v>0</v>
      </c>
      <c r="AR138" s="302">
        <f t="shared" si="140"/>
        <v>0</v>
      </c>
      <c r="AS138" s="249"/>
      <c r="AT138" s="303">
        <f t="shared" si="141"/>
        <v>0</v>
      </c>
      <c r="AU138" s="267"/>
      <c r="AV138" s="295">
        <f>IF(OR(AND($E138=TRUE,'[1]Pricing Summary'!$B$33="Ultimate"),AND($F138=TRUE,'[1]Pricing Summary'!$B$33="Enhanced"),AND($G138=TRUE,'[1]Pricing Summary'!$B$33="Essential")),1,0)</f>
        <v>0</v>
      </c>
      <c r="AW138" s="304">
        <f t="shared" si="142"/>
        <v>0</v>
      </c>
      <c r="AX138" s="305">
        <f t="shared" si="143"/>
        <v>0</v>
      </c>
      <c r="AY138" s="267"/>
      <c r="AZ138" s="304">
        <f t="shared" si="144"/>
        <v>0</v>
      </c>
      <c r="BA138" s="222">
        <f t="shared" si="145"/>
        <v>0</v>
      </c>
      <c r="BB138" s="306">
        <f t="shared" si="146"/>
        <v>0</v>
      </c>
      <c r="BC138" s="272"/>
      <c r="BD138" s="307">
        <f t="shared" si="147"/>
        <v>0</v>
      </c>
      <c r="BE138" s="308">
        <f t="shared" si="148"/>
        <v>0</v>
      </c>
      <c r="BF138" s="308">
        <f t="shared" si="149"/>
        <v>0</v>
      </c>
      <c r="BG138" s="309">
        <f t="shared" si="150"/>
        <v>0</v>
      </c>
      <c r="BH138" s="249"/>
      <c r="BI138" s="310">
        <f t="shared" si="151"/>
        <v>0</v>
      </c>
      <c r="BJ138" s="311">
        <f t="shared" si="152"/>
        <v>0</v>
      </c>
      <c r="BK138" s="311">
        <f t="shared" si="153"/>
        <v>0</v>
      </c>
      <c r="BL138" s="312">
        <f t="shared" si="154"/>
        <v>0</v>
      </c>
      <c r="BM138" s="249"/>
      <c r="BN138" s="313">
        <f t="shared" si="155"/>
        <v>0</v>
      </c>
      <c r="BO138" s="314">
        <f t="shared" si="156"/>
        <v>0</v>
      </c>
      <c r="BP138" s="314">
        <f t="shared" si="157"/>
        <v>0</v>
      </c>
      <c r="BQ138" s="315">
        <f t="shared" si="158"/>
        <v>0</v>
      </c>
      <c r="BR138" s="249"/>
      <c r="BS138" s="307">
        <f t="shared" si="159"/>
        <v>0</v>
      </c>
      <c r="BT138" s="308">
        <f t="shared" si="160"/>
        <v>0</v>
      </c>
      <c r="BU138" s="308">
        <f t="shared" si="161"/>
        <v>0</v>
      </c>
      <c r="BV138" s="309">
        <f t="shared" si="162"/>
        <v>0</v>
      </c>
      <c r="BW138" s="249"/>
      <c r="BX138" s="310">
        <f t="shared" si="163"/>
        <v>0</v>
      </c>
      <c r="BY138" s="311">
        <f t="shared" si="164"/>
        <v>0</v>
      </c>
      <c r="BZ138" s="311">
        <f t="shared" si="165"/>
        <v>0</v>
      </c>
      <c r="CA138" s="312">
        <f t="shared" si="166"/>
        <v>0</v>
      </c>
      <c r="CB138" s="249"/>
      <c r="CC138" s="313">
        <f t="shared" si="167"/>
        <v>0</v>
      </c>
      <c r="CD138" s="314">
        <f t="shared" si="168"/>
        <v>0</v>
      </c>
      <c r="CE138" s="314">
        <f t="shared" si="169"/>
        <v>0</v>
      </c>
      <c r="CF138" s="315">
        <f t="shared" si="170"/>
        <v>0</v>
      </c>
      <c r="CG138" s="249"/>
      <c r="CH138" s="316"/>
    </row>
    <row r="139" spans="1:86" ht="15.75" customHeight="1" x14ac:dyDescent="0.2">
      <c r="A139" s="242" t="str">
        <f>IF(OR(E139&lt;&gt;FALSE,F139&lt;&gt;FALSE,G139&lt;&gt;FALSE),MAX(A$16:A138)+1,"")</f>
        <v/>
      </c>
      <c r="B139" s="284" t="s">
        <v>158</v>
      </c>
      <c r="C139" s="284" t="s">
        <v>42</v>
      </c>
      <c r="D139" s="245" t="s">
        <v>11</v>
      </c>
      <c r="E139" s="285" t="b">
        <v>0</v>
      </c>
      <c r="F139" s="286" t="b">
        <v>0</v>
      </c>
      <c r="G139" s="287" t="b">
        <v>0</v>
      </c>
      <c r="H139" s="249"/>
      <c r="I139" s="288">
        <v>1</v>
      </c>
      <c r="J139" s="249"/>
      <c r="K139" s="289"/>
      <c r="L139" s="290"/>
      <c r="M139" s="290"/>
      <c r="N139" s="290"/>
      <c r="O139" s="290"/>
      <c r="P139" s="290"/>
      <c r="Q139" s="290"/>
      <c r="R139" s="290"/>
      <c r="S139" s="290"/>
      <c r="T139" s="290"/>
      <c r="U139" s="289"/>
      <c r="V139" s="290"/>
      <c r="W139" s="290"/>
      <c r="X139" s="290"/>
      <c r="Y139" s="290"/>
      <c r="Z139" s="290"/>
      <c r="AA139" s="291"/>
      <c r="AB139" s="289"/>
      <c r="AC139" s="290"/>
      <c r="AD139" s="290"/>
      <c r="AE139" s="291"/>
      <c r="AF139" s="249"/>
      <c r="AG139" s="295">
        <f>IF(OR(AND($E139=TRUE,'[1]Pricing Summary'!$B$33=$E$2),AND($F139=TRUE,'[1]Pricing Summary'!$B$33=$F$2),AND($G139=TRUE,'[1]Pricing Summary'!$B$33=$G$2)),1,0)</f>
        <v>0</v>
      </c>
      <c r="AH139" s="295">
        <f t="shared" si="133"/>
        <v>0</v>
      </c>
      <c r="AI139" s="296">
        <f t="shared" si="134"/>
        <v>0</v>
      </c>
      <c r="AJ139" s="297">
        <f t="shared" si="135"/>
        <v>0</v>
      </c>
      <c r="AK139" s="249"/>
      <c r="AL139" s="298">
        <f t="shared" si="136"/>
        <v>0</v>
      </c>
      <c r="AM139" s="383">
        <f t="shared" si="137"/>
        <v>0</v>
      </c>
      <c r="AN139" s="383">
        <f t="shared" si="137"/>
        <v>0</v>
      </c>
      <c r="AO139" s="299">
        <f t="shared" si="137"/>
        <v>0</v>
      </c>
      <c r="AP139" s="300">
        <f>IF(AN$7=0,0,MROUND(AN139/AN$7*AP$8/'[1]Core Assumptions'!$D$28,'[1]Core Assumptions'!$E$23))</f>
        <v>0</v>
      </c>
      <c r="AQ139" s="301">
        <f t="shared" si="139"/>
        <v>0</v>
      </c>
      <c r="AR139" s="302">
        <f t="shared" si="140"/>
        <v>0</v>
      </c>
      <c r="AS139" s="249"/>
      <c r="AT139" s="303">
        <f t="shared" si="141"/>
        <v>0</v>
      </c>
      <c r="AU139" s="267"/>
      <c r="AV139" s="295">
        <f>IF(OR(AND($E139=TRUE,'[1]Pricing Summary'!$B$33="Ultimate"),AND($F139=TRUE,'[1]Pricing Summary'!$B$33="Enhanced"),AND($G139=TRUE,'[1]Pricing Summary'!$B$33="Essential")),1,0)</f>
        <v>0</v>
      </c>
      <c r="AW139" s="304">
        <f t="shared" si="142"/>
        <v>0</v>
      </c>
      <c r="AX139" s="305">
        <f t="shared" si="143"/>
        <v>0</v>
      </c>
      <c r="AY139" s="267"/>
      <c r="AZ139" s="304">
        <f t="shared" si="144"/>
        <v>0</v>
      </c>
      <c r="BA139" s="222">
        <f t="shared" si="145"/>
        <v>0</v>
      </c>
      <c r="BB139" s="306">
        <f t="shared" si="146"/>
        <v>0</v>
      </c>
      <c r="BC139" s="272"/>
      <c r="BD139" s="307">
        <f t="shared" si="147"/>
        <v>0</v>
      </c>
      <c r="BE139" s="308">
        <f t="shared" si="148"/>
        <v>0</v>
      </c>
      <c r="BF139" s="308">
        <f t="shared" si="149"/>
        <v>0</v>
      </c>
      <c r="BG139" s="309">
        <f t="shared" si="150"/>
        <v>0</v>
      </c>
      <c r="BH139" s="249"/>
      <c r="BI139" s="310">
        <f t="shared" si="151"/>
        <v>0</v>
      </c>
      <c r="BJ139" s="311">
        <f t="shared" si="152"/>
        <v>0</v>
      </c>
      <c r="BK139" s="311">
        <f t="shared" si="153"/>
        <v>0</v>
      </c>
      <c r="BL139" s="312">
        <f t="shared" si="154"/>
        <v>0</v>
      </c>
      <c r="BM139" s="249"/>
      <c r="BN139" s="313">
        <f t="shared" si="155"/>
        <v>0</v>
      </c>
      <c r="BO139" s="314">
        <f t="shared" si="156"/>
        <v>0</v>
      </c>
      <c r="BP139" s="314">
        <f t="shared" si="157"/>
        <v>0</v>
      </c>
      <c r="BQ139" s="315">
        <f t="shared" si="158"/>
        <v>0</v>
      </c>
      <c r="BR139" s="249"/>
      <c r="BS139" s="307">
        <f t="shared" si="159"/>
        <v>0</v>
      </c>
      <c r="BT139" s="308">
        <f t="shared" si="160"/>
        <v>0</v>
      </c>
      <c r="BU139" s="308">
        <f t="shared" si="161"/>
        <v>0</v>
      </c>
      <c r="BV139" s="309">
        <f t="shared" si="162"/>
        <v>0</v>
      </c>
      <c r="BW139" s="249"/>
      <c r="BX139" s="310">
        <f t="shared" si="163"/>
        <v>0</v>
      </c>
      <c r="BY139" s="311">
        <f t="shared" si="164"/>
        <v>0</v>
      </c>
      <c r="BZ139" s="311">
        <f t="shared" si="165"/>
        <v>0</v>
      </c>
      <c r="CA139" s="312">
        <f t="shared" si="166"/>
        <v>0</v>
      </c>
      <c r="CB139" s="249"/>
      <c r="CC139" s="313">
        <f t="shared" si="167"/>
        <v>0</v>
      </c>
      <c r="CD139" s="314">
        <f t="shared" si="168"/>
        <v>0</v>
      </c>
      <c r="CE139" s="314">
        <f t="shared" si="169"/>
        <v>0</v>
      </c>
      <c r="CF139" s="315">
        <f t="shared" si="170"/>
        <v>0</v>
      </c>
      <c r="CG139" s="249"/>
      <c r="CH139" s="316"/>
    </row>
    <row r="140" spans="1:86" ht="15.75" customHeight="1" x14ac:dyDescent="0.2">
      <c r="A140" s="242" t="str">
        <f>IF(OR(E140&lt;&gt;FALSE,F140&lt;&gt;FALSE,G140&lt;&gt;FALSE),MAX(A$16:A139)+1,"")</f>
        <v/>
      </c>
      <c r="B140" s="284" t="s">
        <v>159</v>
      </c>
      <c r="C140" s="284" t="s">
        <v>42</v>
      </c>
      <c r="D140" s="245" t="s">
        <v>11</v>
      </c>
      <c r="E140" s="285" t="b">
        <v>0</v>
      </c>
      <c r="F140" s="286" t="b">
        <v>0</v>
      </c>
      <c r="G140" s="287" t="b">
        <v>0</v>
      </c>
      <c r="H140" s="249"/>
      <c r="I140" s="288">
        <v>1</v>
      </c>
      <c r="J140" s="249"/>
      <c r="K140" s="289"/>
      <c r="L140" s="290"/>
      <c r="M140" s="290"/>
      <c r="N140" s="290"/>
      <c r="O140" s="290"/>
      <c r="P140" s="290"/>
      <c r="Q140" s="290"/>
      <c r="R140" s="290"/>
      <c r="S140" s="290"/>
      <c r="T140" s="290"/>
      <c r="U140" s="289"/>
      <c r="V140" s="290"/>
      <c r="W140" s="290"/>
      <c r="X140" s="290"/>
      <c r="Y140" s="290"/>
      <c r="Z140" s="290"/>
      <c r="AA140" s="291"/>
      <c r="AB140" s="289"/>
      <c r="AC140" s="290"/>
      <c r="AD140" s="290"/>
      <c r="AE140" s="291"/>
      <c r="AF140" s="249"/>
      <c r="AG140" s="295">
        <f>IF(OR(AND($E140=TRUE,'[1]Pricing Summary'!$B$33=$E$2),AND($F140=TRUE,'[1]Pricing Summary'!$B$33=$F$2),AND($G140=TRUE,'[1]Pricing Summary'!$B$33=$G$2)),1,0)</f>
        <v>0</v>
      </c>
      <c r="AH140" s="295">
        <f t="shared" si="133"/>
        <v>0</v>
      </c>
      <c r="AI140" s="296">
        <f t="shared" si="134"/>
        <v>0</v>
      </c>
      <c r="AJ140" s="297">
        <f t="shared" si="135"/>
        <v>0</v>
      </c>
      <c r="AK140" s="249"/>
      <c r="AL140" s="298">
        <f t="shared" si="136"/>
        <v>0</v>
      </c>
      <c r="AM140" s="383">
        <f t="shared" si="137"/>
        <v>0</v>
      </c>
      <c r="AN140" s="383">
        <f t="shared" si="137"/>
        <v>0</v>
      </c>
      <c r="AO140" s="299">
        <f t="shared" si="137"/>
        <v>0</v>
      </c>
      <c r="AP140" s="300">
        <f>IF(AN$7=0,0,MROUND(AN140/AN$7*AP$8/'[1]Core Assumptions'!$D$28,'[1]Core Assumptions'!$E$23))</f>
        <v>0</v>
      </c>
      <c r="AQ140" s="301">
        <f t="shared" si="139"/>
        <v>0</v>
      </c>
      <c r="AR140" s="302">
        <f t="shared" si="140"/>
        <v>0</v>
      </c>
      <c r="AS140" s="249"/>
      <c r="AT140" s="303">
        <f t="shared" si="141"/>
        <v>0</v>
      </c>
      <c r="AU140" s="267"/>
      <c r="AV140" s="295">
        <f>IF(OR(AND($E140=TRUE,'[1]Pricing Summary'!$B$33="Ultimate"),AND($F140=TRUE,'[1]Pricing Summary'!$B$33="Enhanced"),AND($G140=TRUE,'[1]Pricing Summary'!$B$33="Essential")),1,0)</f>
        <v>0</v>
      </c>
      <c r="AW140" s="304">
        <f t="shared" si="142"/>
        <v>0</v>
      </c>
      <c r="AX140" s="305">
        <f t="shared" si="143"/>
        <v>0</v>
      </c>
      <c r="AY140" s="267"/>
      <c r="AZ140" s="304">
        <f t="shared" si="144"/>
        <v>0</v>
      </c>
      <c r="BA140" s="222">
        <f t="shared" si="145"/>
        <v>0</v>
      </c>
      <c r="BB140" s="306">
        <f t="shared" si="146"/>
        <v>0</v>
      </c>
      <c r="BC140" s="272"/>
      <c r="BD140" s="307">
        <f t="shared" si="147"/>
        <v>0</v>
      </c>
      <c r="BE140" s="308">
        <f t="shared" si="148"/>
        <v>0</v>
      </c>
      <c r="BF140" s="308">
        <f t="shared" si="149"/>
        <v>0</v>
      </c>
      <c r="BG140" s="309">
        <f t="shared" si="150"/>
        <v>0</v>
      </c>
      <c r="BH140" s="249"/>
      <c r="BI140" s="310">
        <f t="shared" si="151"/>
        <v>0</v>
      </c>
      <c r="BJ140" s="311">
        <f t="shared" si="152"/>
        <v>0</v>
      </c>
      <c r="BK140" s="311">
        <f t="shared" si="153"/>
        <v>0</v>
      </c>
      <c r="BL140" s="312">
        <f t="shared" si="154"/>
        <v>0</v>
      </c>
      <c r="BM140" s="249"/>
      <c r="BN140" s="313">
        <f t="shared" si="155"/>
        <v>0</v>
      </c>
      <c r="BO140" s="314">
        <f t="shared" si="156"/>
        <v>0</v>
      </c>
      <c r="BP140" s="314">
        <f t="shared" si="157"/>
        <v>0</v>
      </c>
      <c r="BQ140" s="315">
        <f t="shared" si="158"/>
        <v>0</v>
      </c>
      <c r="BR140" s="249"/>
      <c r="BS140" s="307">
        <f t="shared" si="159"/>
        <v>0</v>
      </c>
      <c r="BT140" s="308">
        <f t="shared" si="160"/>
        <v>0</v>
      </c>
      <c r="BU140" s="308">
        <f t="shared" si="161"/>
        <v>0</v>
      </c>
      <c r="BV140" s="309">
        <f t="shared" si="162"/>
        <v>0</v>
      </c>
      <c r="BW140" s="249"/>
      <c r="BX140" s="310">
        <f t="shared" si="163"/>
        <v>0</v>
      </c>
      <c r="BY140" s="311">
        <f t="shared" si="164"/>
        <v>0</v>
      </c>
      <c r="BZ140" s="311">
        <f t="shared" si="165"/>
        <v>0</v>
      </c>
      <c r="CA140" s="312">
        <f t="shared" si="166"/>
        <v>0</v>
      </c>
      <c r="CB140" s="249"/>
      <c r="CC140" s="313">
        <f t="shared" si="167"/>
        <v>0</v>
      </c>
      <c r="CD140" s="314">
        <f t="shared" si="168"/>
        <v>0</v>
      </c>
      <c r="CE140" s="314">
        <f t="shared" si="169"/>
        <v>0</v>
      </c>
      <c r="CF140" s="315">
        <f t="shared" si="170"/>
        <v>0</v>
      </c>
      <c r="CG140" s="249"/>
      <c r="CH140" s="316"/>
    </row>
    <row r="141" spans="1:86" ht="15.75" customHeight="1" x14ac:dyDescent="0.2">
      <c r="A141" s="242" t="str">
        <f>IF(OR(E141&lt;&gt;FALSE,F141&lt;&gt;FALSE,G141&lt;&gt;FALSE),MAX(A$16:A140)+1,"")</f>
        <v/>
      </c>
      <c r="B141" s="284" t="s">
        <v>160</v>
      </c>
      <c r="C141" s="284" t="s">
        <v>42</v>
      </c>
      <c r="D141" s="245" t="s">
        <v>11</v>
      </c>
      <c r="E141" s="285" t="b">
        <v>0</v>
      </c>
      <c r="F141" s="286" t="b">
        <v>0</v>
      </c>
      <c r="G141" s="287" t="b">
        <v>0</v>
      </c>
      <c r="H141" s="249"/>
      <c r="I141" s="288">
        <v>1</v>
      </c>
      <c r="J141" s="249"/>
      <c r="K141" s="289"/>
      <c r="L141" s="290"/>
      <c r="M141" s="290"/>
      <c r="N141" s="290"/>
      <c r="O141" s="290"/>
      <c r="P141" s="290"/>
      <c r="Q141" s="290"/>
      <c r="R141" s="290"/>
      <c r="S141" s="290"/>
      <c r="T141" s="290"/>
      <c r="U141" s="289"/>
      <c r="V141" s="290"/>
      <c r="W141" s="290"/>
      <c r="X141" s="290"/>
      <c r="Y141" s="290"/>
      <c r="Z141" s="290"/>
      <c r="AA141" s="291"/>
      <c r="AB141" s="289"/>
      <c r="AC141" s="290"/>
      <c r="AD141" s="290"/>
      <c r="AE141" s="291"/>
      <c r="AF141" s="249"/>
      <c r="AG141" s="295">
        <f>IF(OR(AND($E141=TRUE,'[1]Pricing Summary'!$B$33=$E$2),AND($F141=TRUE,'[1]Pricing Summary'!$B$33=$F$2),AND($G141=TRUE,'[1]Pricing Summary'!$B$33=$G$2)),1,0)</f>
        <v>0</v>
      </c>
      <c r="AH141" s="295">
        <f t="shared" si="133"/>
        <v>0</v>
      </c>
      <c r="AI141" s="296">
        <f t="shared" si="134"/>
        <v>0</v>
      </c>
      <c r="AJ141" s="297">
        <f t="shared" si="135"/>
        <v>0</v>
      </c>
      <c r="AK141" s="249"/>
      <c r="AL141" s="298">
        <f t="shared" si="136"/>
        <v>0</v>
      </c>
      <c r="AM141" s="383">
        <f t="shared" si="137"/>
        <v>0</v>
      </c>
      <c r="AN141" s="383">
        <f t="shared" si="137"/>
        <v>0</v>
      </c>
      <c r="AO141" s="299">
        <f t="shared" si="137"/>
        <v>0</v>
      </c>
      <c r="AP141" s="300">
        <f>IF(AN$7=0,0,MROUND(AN141/AN$7*AP$8/'[1]Core Assumptions'!$D$28,'[1]Core Assumptions'!$E$23))</f>
        <v>0</v>
      </c>
      <c r="AQ141" s="301">
        <f t="shared" si="139"/>
        <v>0</v>
      </c>
      <c r="AR141" s="302">
        <f t="shared" si="140"/>
        <v>0</v>
      </c>
      <c r="AS141" s="249"/>
      <c r="AT141" s="303">
        <f t="shared" si="141"/>
        <v>0</v>
      </c>
      <c r="AU141" s="267"/>
      <c r="AV141" s="295">
        <f>IF(OR(AND($E141=TRUE,'[1]Pricing Summary'!$B$33="Ultimate"),AND($F141=TRUE,'[1]Pricing Summary'!$B$33="Enhanced"),AND($G141=TRUE,'[1]Pricing Summary'!$B$33="Essential")),1,0)</f>
        <v>0</v>
      </c>
      <c r="AW141" s="304">
        <f t="shared" si="142"/>
        <v>0</v>
      </c>
      <c r="AX141" s="305">
        <f t="shared" si="143"/>
        <v>0</v>
      </c>
      <c r="AY141" s="267"/>
      <c r="AZ141" s="304">
        <f t="shared" si="144"/>
        <v>0</v>
      </c>
      <c r="BA141" s="222">
        <f t="shared" si="145"/>
        <v>0</v>
      </c>
      <c r="BB141" s="306">
        <f t="shared" si="146"/>
        <v>0</v>
      </c>
      <c r="BC141" s="272"/>
      <c r="BD141" s="307">
        <f t="shared" si="147"/>
        <v>0</v>
      </c>
      <c r="BE141" s="308">
        <f t="shared" si="148"/>
        <v>0</v>
      </c>
      <c r="BF141" s="308">
        <f t="shared" si="149"/>
        <v>0</v>
      </c>
      <c r="BG141" s="309">
        <f t="shared" si="150"/>
        <v>0</v>
      </c>
      <c r="BH141" s="249"/>
      <c r="BI141" s="310">
        <f t="shared" si="151"/>
        <v>0</v>
      </c>
      <c r="BJ141" s="311">
        <f t="shared" si="152"/>
        <v>0</v>
      </c>
      <c r="BK141" s="311">
        <f t="shared" si="153"/>
        <v>0</v>
      </c>
      <c r="BL141" s="312">
        <f t="shared" si="154"/>
        <v>0</v>
      </c>
      <c r="BM141" s="249"/>
      <c r="BN141" s="313">
        <f t="shared" si="155"/>
        <v>0</v>
      </c>
      <c r="BO141" s="314">
        <f t="shared" si="156"/>
        <v>0</v>
      </c>
      <c r="BP141" s="314">
        <f t="shared" si="157"/>
        <v>0</v>
      </c>
      <c r="BQ141" s="315">
        <f t="shared" si="158"/>
        <v>0</v>
      </c>
      <c r="BR141" s="249"/>
      <c r="BS141" s="307">
        <f t="shared" si="159"/>
        <v>0</v>
      </c>
      <c r="BT141" s="308">
        <f t="shared" si="160"/>
        <v>0</v>
      </c>
      <c r="BU141" s="308">
        <f t="shared" si="161"/>
        <v>0</v>
      </c>
      <c r="BV141" s="309">
        <f t="shared" si="162"/>
        <v>0</v>
      </c>
      <c r="BW141" s="249"/>
      <c r="BX141" s="310">
        <f t="shared" si="163"/>
        <v>0</v>
      </c>
      <c r="BY141" s="311">
        <f t="shared" si="164"/>
        <v>0</v>
      </c>
      <c r="BZ141" s="311">
        <f t="shared" si="165"/>
        <v>0</v>
      </c>
      <c r="CA141" s="312">
        <f t="shared" si="166"/>
        <v>0</v>
      </c>
      <c r="CB141" s="249"/>
      <c r="CC141" s="313">
        <f t="shared" si="167"/>
        <v>0</v>
      </c>
      <c r="CD141" s="314">
        <f t="shared" si="168"/>
        <v>0</v>
      </c>
      <c r="CE141" s="314">
        <f t="shared" si="169"/>
        <v>0</v>
      </c>
      <c r="CF141" s="315">
        <f t="shared" si="170"/>
        <v>0</v>
      </c>
      <c r="CG141" s="249"/>
      <c r="CH141" s="316"/>
    </row>
    <row r="142" spans="1:86" ht="15.75" customHeight="1" x14ac:dyDescent="0.2">
      <c r="A142" s="242" t="str">
        <f>IF(OR(E142&lt;&gt;FALSE,F142&lt;&gt;FALSE,G142&lt;&gt;FALSE),MAX(A$16:A141)+1,"")</f>
        <v/>
      </c>
      <c r="B142" s="284" t="s">
        <v>161</v>
      </c>
      <c r="C142" s="284" t="s">
        <v>42</v>
      </c>
      <c r="D142" s="245" t="s">
        <v>11</v>
      </c>
      <c r="E142" s="285" t="b">
        <v>0</v>
      </c>
      <c r="F142" s="286" t="b">
        <v>0</v>
      </c>
      <c r="G142" s="287" t="b">
        <v>0</v>
      </c>
      <c r="H142" s="249"/>
      <c r="I142" s="288">
        <v>1</v>
      </c>
      <c r="J142" s="249"/>
      <c r="K142" s="289"/>
      <c r="L142" s="290"/>
      <c r="M142" s="290"/>
      <c r="N142" s="290"/>
      <c r="O142" s="290"/>
      <c r="P142" s="290"/>
      <c r="Q142" s="290"/>
      <c r="R142" s="290"/>
      <c r="S142" s="290"/>
      <c r="T142" s="290"/>
      <c r="U142" s="289"/>
      <c r="V142" s="290"/>
      <c r="W142" s="290"/>
      <c r="X142" s="290"/>
      <c r="Y142" s="290"/>
      <c r="Z142" s="290"/>
      <c r="AA142" s="291"/>
      <c r="AB142" s="289"/>
      <c r="AC142" s="290"/>
      <c r="AD142" s="290"/>
      <c r="AE142" s="291"/>
      <c r="AF142" s="249"/>
      <c r="AG142" s="295">
        <f>IF(OR(AND($E142=TRUE,'[1]Pricing Summary'!$B$33=$E$2),AND($F142=TRUE,'[1]Pricing Summary'!$B$33=$F$2),AND($G142=TRUE,'[1]Pricing Summary'!$B$33=$G$2)),1,0)</f>
        <v>0</v>
      </c>
      <c r="AH142" s="295">
        <f t="shared" si="133"/>
        <v>0</v>
      </c>
      <c r="AI142" s="296">
        <f t="shared" si="134"/>
        <v>0</v>
      </c>
      <c r="AJ142" s="297">
        <f t="shared" si="135"/>
        <v>0</v>
      </c>
      <c r="AK142" s="249"/>
      <c r="AL142" s="298">
        <f t="shared" si="136"/>
        <v>0</v>
      </c>
      <c r="AM142" s="383">
        <f t="shared" si="137"/>
        <v>0</v>
      </c>
      <c r="AN142" s="383">
        <f t="shared" si="137"/>
        <v>0</v>
      </c>
      <c r="AO142" s="299">
        <f t="shared" si="137"/>
        <v>0</v>
      </c>
      <c r="AP142" s="300">
        <f>IF(AN$7=0,0,MROUND(AN142/AN$7*AP$8/'[1]Core Assumptions'!$D$28,'[1]Core Assumptions'!$E$23))</f>
        <v>0</v>
      </c>
      <c r="AQ142" s="301">
        <f t="shared" si="139"/>
        <v>0</v>
      </c>
      <c r="AR142" s="302">
        <f t="shared" si="140"/>
        <v>0</v>
      </c>
      <c r="AS142" s="249"/>
      <c r="AT142" s="303">
        <f t="shared" si="141"/>
        <v>0</v>
      </c>
      <c r="AU142" s="267"/>
      <c r="AV142" s="295">
        <f>IF(OR(AND($E142=TRUE,'[1]Pricing Summary'!$B$33="Ultimate"),AND($F142=TRUE,'[1]Pricing Summary'!$B$33="Enhanced"),AND($G142=TRUE,'[1]Pricing Summary'!$B$33="Essential")),1,0)</f>
        <v>0</v>
      </c>
      <c r="AW142" s="304">
        <f t="shared" si="142"/>
        <v>0</v>
      </c>
      <c r="AX142" s="305">
        <f t="shared" si="143"/>
        <v>0</v>
      </c>
      <c r="AY142" s="267"/>
      <c r="AZ142" s="304">
        <f t="shared" si="144"/>
        <v>0</v>
      </c>
      <c r="BA142" s="222">
        <f t="shared" si="145"/>
        <v>0</v>
      </c>
      <c r="BB142" s="306">
        <f t="shared" si="146"/>
        <v>0</v>
      </c>
      <c r="BC142" s="272"/>
      <c r="BD142" s="307">
        <f t="shared" si="147"/>
        <v>0</v>
      </c>
      <c r="BE142" s="308">
        <f t="shared" si="148"/>
        <v>0</v>
      </c>
      <c r="BF142" s="308">
        <f t="shared" si="149"/>
        <v>0</v>
      </c>
      <c r="BG142" s="309">
        <f t="shared" si="150"/>
        <v>0</v>
      </c>
      <c r="BH142" s="249"/>
      <c r="BI142" s="310">
        <f t="shared" si="151"/>
        <v>0</v>
      </c>
      <c r="BJ142" s="311">
        <f t="shared" si="152"/>
        <v>0</v>
      </c>
      <c r="BK142" s="311">
        <f t="shared" si="153"/>
        <v>0</v>
      </c>
      <c r="BL142" s="312">
        <f t="shared" si="154"/>
        <v>0</v>
      </c>
      <c r="BM142" s="249"/>
      <c r="BN142" s="313">
        <f t="shared" si="155"/>
        <v>0</v>
      </c>
      <c r="BO142" s="314">
        <f t="shared" si="156"/>
        <v>0</v>
      </c>
      <c r="BP142" s="314">
        <f t="shared" si="157"/>
        <v>0</v>
      </c>
      <c r="BQ142" s="315">
        <f t="shared" si="158"/>
        <v>0</v>
      </c>
      <c r="BR142" s="249"/>
      <c r="BS142" s="307">
        <f t="shared" si="159"/>
        <v>0</v>
      </c>
      <c r="BT142" s="308">
        <f t="shared" si="160"/>
        <v>0</v>
      </c>
      <c r="BU142" s="308">
        <f t="shared" si="161"/>
        <v>0</v>
      </c>
      <c r="BV142" s="309">
        <f t="shared" si="162"/>
        <v>0</v>
      </c>
      <c r="BW142" s="249"/>
      <c r="BX142" s="310">
        <f t="shared" si="163"/>
        <v>0</v>
      </c>
      <c r="BY142" s="311">
        <f t="shared" si="164"/>
        <v>0</v>
      </c>
      <c r="BZ142" s="311">
        <f t="shared" si="165"/>
        <v>0</v>
      </c>
      <c r="CA142" s="312">
        <f t="shared" si="166"/>
        <v>0</v>
      </c>
      <c r="CB142" s="249"/>
      <c r="CC142" s="313">
        <f t="shared" si="167"/>
        <v>0</v>
      </c>
      <c r="CD142" s="314">
        <f t="shared" si="168"/>
        <v>0</v>
      </c>
      <c r="CE142" s="314">
        <f t="shared" si="169"/>
        <v>0</v>
      </c>
      <c r="CF142" s="315">
        <f t="shared" si="170"/>
        <v>0</v>
      </c>
      <c r="CG142" s="249"/>
      <c r="CH142" s="316"/>
    </row>
    <row r="143" spans="1:86" ht="15.75" customHeight="1" x14ac:dyDescent="0.2">
      <c r="A143" s="242" t="str">
        <f>IF(OR(E143&lt;&gt;FALSE,F143&lt;&gt;FALSE,G143&lt;&gt;FALSE),MAX(A$16:A142)+1,"")</f>
        <v/>
      </c>
      <c r="B143" s="284" t="s">
        <v>162</v>
      </c>
      <c r="C143" s="284" t="s">
        <v>42</v>
      </c>
      <c r="D143" s="245" t="s">
        <v>11</v>
      </c>
      <c r="E143" s="285" t="b">
        <v>0</v>
      </c>
      <c r="F143" s="286" t="b">
        <v>0</v>
      </c>
      <c r="G143" s="287" t="b">
        <v>0</v>
      </c>
      <c r="H143" s="249"/>
      <c r="I143" s="288">
        <v>1</v>
      </c>
      <c r="J143" s="249"/>
      <c r="K143" s="289"/>
      <c r="L143" s="290"/>
      <c r="M143" s="290"/>
      <c r="N143" s="290"/>
      <c r="O143" s="290"/>
      <c r="P143" s="290"/>
      <c r="Q143" s="290"/>
      <c r="R143" s="290"/>
      <c r="S143" s="290"/>
      <c r="T143" s="290"/>
      <c r="U143" s="289"/>
      <c r="V143" s="290"/>
      <c r="W143" s="290"/>
      <c r="X143" s="290"/>
      <c r="Y143" s="290"/>
      <c r="Z143" s="290"/>
      <c r="AA143" s="291"/>
      <c r="AB143" s="289"/>
      <c r="AC143" s="290"/>
      <c r="AD143" s="290"/>
      <c r="AE143" s="291"/>
      <c r="AF143" s="249"/>
      <c r="AG143" s="295">
        <f>IF(OR(AND($E143=TRUE,'[1]Pricing Summary'!$B$33=$E$2),AND($F143=TRUE,'[1]Pricing Summary'!$B$33=$F$2),AND($G143=TRUE,'[1]Pricing Summary'!$B$33=$G$2)),1,0)</f>
        <v>0</v>
      </c>
      <c r="AH143" s="295">
        <f t="shared" si="133"/>
        <v>0</v>
      </c>
      <c r="AI143" s="296">
        <f t="shared" si="134"/>
        <v>0</v>
      </c>
      <c r="AJ143" s="297">
        <f t="shared" si="135"/>
        <v>0</v>
      </c>
      <c r="AK143" s="249"/>
      <c r="AL143" s="298">
        <f t="shared" si="136"/>
        <v>0</v>
      </c>
      <c r="AM143" s="383">
        <f t="shared" si="137"/>
        <v>0</v>
      </c>
      <c r="AN143" s="383">
        <f t="shared" si="137"/>
        <v>0</v>
      </c>
      <c r="AO143" s="299">
        <f t="shared" si="137"/>
        <v>0</v>
      </c>
      <c r="AP143" s="300">
        <f>IF(AN$7=0,0,MROUND(AN143/AN$7*AP$8/'[1]Core Assumptions'!$D$28,'[1]Core Assumptions'!$E$23))</f>
        <v>0</v>
      </c>
      <c r="AQ143" s="301">
        <f t="shared" si="139"/>
        <v>0</v>
      </c>
      <c r="AR143" s="302">
        <f t="shared" si="140"/>
        <v>0</v>
      </c>
      <c r="AS143" s="249"/>
      <c r="AT143" s="303">
        <f t="shared" si="141"/>
        <v>0</v>
      </c>
      <c r="AU143" s="267"/>
      <c r="AV143" s="295">
        <f>IF(OR(AND($E143=TRUE,'[1]Pricing Summary'!$B$33="Ultimate"),AND($F143=TRUE,'[1]Pricing Summary'!$B$33="Enhanced"),AND($G143=TRUE,'[1]Pricing Summary'!$B$33="Essential")),1,0)</f>
        <v>0</v>
      </c>
      <c r="AW143" s="304">
        <f t="shared" si="142"/>
        <v>0</v>
      </c>
      <c r="AX143" s="305">
        <f t="shared" si="143"/>
        <v>0</v>
      </c>
      <c r="AY143" s="267"/>
      <c r="AZ143" s="304">
        <f t="shared" si="144"/>
        <v>0</v>
      </c>
      <c r="BA143" s="222">
        <f t="shared" si="145"/>
        <v>0</v>
      </c>
      <c r="BB143" s="306">
        <f t="shared" si="146"/>
        <v>0</v>
      </c>
      <c r="BC143" s="272"/>
      <c r="BD143" s="307">
        <f t="shared" si="147"/>
        <v>0</v>
      </c>
      <c r="BE143" s="308">
        <f t="shared" si="148"/>
        <v>0</v>
      </c>
      <c r="BF143" s="308">
        <f t="shared" si="149"/>
        <v>0</v>
      </c>
      <c r="BG143" s="309">
        <f t="shared" si="150"/>
        <v>0</v>
      </c>
      <c r="BH143" s="249"/>
      <c r="BI143" s="310">
        <f t="shared" si="151"/>
        <v>0</v>
      </c>
      <c r="BJ143" s="311">
        <f t="shared" si="152"/>
        <v>0</v>
      </c>
      <c r="BK143" s="311">
        <f t="shared" si="153"/>
        <v>0</v>
      </c>
      <c r="BL143" s="312">
        <f t="shared" si="154"/>
        <v>0</v>
      </c>
      <c r="BM143" s="249"/>
      <c r="BN143" s="313">
        <f t="shared" si="155"/>
        <v>0</v>
      </c>
      <c r="BO143" s="314">
        <f t="shared" si="156"/>
        <v>0</v>
      </c>
      <c r="BP143" s="314">
        <f t="shared" si="157"/>
        <v>0</v>
      </c>
      <c r="BQ143" s="315">
        <f t="shared" si="158"/>
        <v>0</v>
      </c>
      <c r="BR143" s="249"/>
      <c r="BS143" s="307">
        <f t="shared" si="159"/>
        <v>0</v>
      </c>
      <c r="BT143" s="308">
        <f t="shared" si="160"/>
        <v>0</v>
      </c>
      <c r="BU143" s="308">
        <f t="shared" si="161"/>
        <v>0</v>
      </c>
      <c r="BV143" s="309">
        <f t="shared" si="162"/>
        <v>0</v>
      </c>
      <c r="BW143" s="249"/>
      <c r="BX143" s="310">
        <f t="shared" si="163"/>
        <v>0</v>
      </c>
      <c r="BY143" s="311">
        <f t="shared" si="164"/>
        <v>0</v>
      </c>
      <c r="BZ143" s="311">
        <f t="shared" si="165"/>
        <v>0</v>
      </c>
      <c r="CA143" s="312">
        <f t="shared" si="166"/>
        <v>0</v>
      </c>
      <c r="CB143" s="249"/>
      <c r="CC143" s="313">
        <f t="shared" si="167"/>
        <v>0</v>
      </c>
      <c r="CD143" s="314">
        <f t="shared" si="168"/>
        <v>0</v>
      </c>
      <c r="CE143" s="314">
        <f t="shared" si="169"/>
        <v>0</v>
      </c>
      <c r="CF143" s="315">
        <f t="shared" si="170"/>
        <v>0</v>
      </c>
      <c r="CG143" s="249"/>
      <c r="CH143" s="316"/>
    </row>
    <row r="144" spans="1:86" ht="15.75" customHeight="1" x14ac:dyDescent="0.2">
      <c r="A144" s="242" t="str">
        <f>IF(OR(E144&lt;&gt;FALSE,F144&lt;&gt;FALSE,G144&lt;&gt;FALSE),MAX(A$16:A143)+1,"")</f>
        <v/>
      </c>
      <c r="B144" s="284" t="s">
        <v>163</v>
      </c>
      <c r="C144" s="284" t="s">
        <v>42</v>
      </c>
      <c r="D144" s="245" t="s">
        <v>11</v>
      </c>
      <c r="E144" s="285" t="b">
        <v>0</v>
      </c>
      <c r="F144" s="286" t="b">
        <v>0</v>
      </c>
      <c r="G144" s="287" t="b">
        <v>0</v>
      </c>
      <c r="H144" s="249"/>
      <c r="I144" s="288">
        <v>1</v>
      </c>
      <c r="J144" s="249"/>
      <c r="K144" s="289"/>
      <c r="L144" s="290"/>
      <c r="M144" s="290"/>
      <c r="N144" s="290"/>
      <c r="O144" s="290"/>
      <c r="P144" s="290"/>
      <c r="Q144" s="290"/>
      <c r="R144" s="290"/>
      <c r="S144" s="290"/>
      <c r="T144" s="290"/>
      <c r="U144" s="289"/>
      <c r="V144" s="290"/>
      <c r="W144" s="290"/>
      <c r="X144" s="290"/>
      <c r="Y144" s="290"/>
      <c r="Z144" s="290"/>
      <c r="AA144" s="291"/>
      <c r="AB144" s="289"/>
      <c r="AC144" s="290"/>
      <c r="AD144" s="290"/>
      <c r="AE144" s="291"/>
      <c r="AF144" s="249"/>
      <c r="AG144" s="295">
        <f>IF(OR(AND($E144=TRUE,'[1]Pricing Summary'!$B$33=$E$2),AND($F144=TRUE,'[1]Pricing Summary'!$B$33=$F$2),AND($G144=TRUE,'[1]Pricing Summary'!$B$33=$G$2)),1,0)</f>
        <v>0</v>
      </c>
      <c r="AH144" s="295">
        <f t="shared" si="133"/>
        <v>0</v>
      </c>
      <c r="AI144" s="296">
        <f t="shared" si="134"/>
        <v>0</v>
      </c>
      <c r="AJ144" s="297">
        <f t="shared" si="135"/>
        <v>0</v>
      </c>
      <c r="AK144" s="249"/>
      <c r="AL144" s="298">
        <f t="shared" si="136"/>
        <v>0</v>
      </c>
      <c r="AM144" s="383">
        <f t="shared" si="137"/>
        <v>0</v>
      </c>
      <c r="AN144" s="383">
        <f t="shared" si="137"/>
        <v>0</v>
      </c>
      <c r="AO144" s="299">
        <f t="shared" si="137"/>
        <v>0</v>
      </c>
      <c r="AP144" s="300">
        <f>IF(AN$7=0,0,MROUND(AN144/AN$7*AP$8/'[1]Core Assumptions'!$D$28,'[1]Core Assumptions'!$E$23))</f>
        <v>0</v>
      </c>
      <c r="AQ144" s="301">
        <f t="shared" si="139"/>
        <v>0</v>
      </c>
      <c r="AR144" s="302">
        <f t="shared" si="140"/>
        <v>0</v>
      </c>
      <c r="AS144" s="249"/>
      <c r="AT144" s="303">
        <f t="shared" si="141"/>
        <v>0</v>
      </c>
      <c r="AU144" s="267"/>
      <c r="AV144" s="295">
        <f>IF(OR(AND($E144=TRUE,'[1]Pricing Summary'!$B$33="Ultimate"),AND($F144=TRUE,'[1]Pricing Summary'!$B$33="Enhanced"),AND($G144=TRUE,'[1]Pricing Summary'!$B$33="Essential")),1,0)</f>
        <v>0</v>
      </c>
      <c r="AW144" s="304">
        <f t="shared" si="142"/>
        <v>0</v>
      </c>
      <c r="AX144" s="305">
        <f t="shared" si="143"/>
        <v>0</v>
      </c>
      <c r="AY144" s="267"/>
      <c r="AZ144" s="304">
        <f t="shared" si="144"/>
        <v>0</v>
      </c>
      <c r="BA144" s="222">
        <f t="shared" si="145"/>
        <v>0</v>
      </c>
      <c r="BB144" s="306">
        <f t="shared" si="146"/>
        <v>0</v>
      </c>
      <c r="BC144" s="272"/>
      <c r="BD144" s="307">
        <f t="shared" si="147"/>
        <v>0</v>
      </c>
      <c r="BE144" s="308">
        <f t="shared" si="148"/>
        <v>0</v>
      </c>
      <c r="BF144" s="308">
        <f t="shared" si="149"/>
        <v>0</v>
      </c>
      <c r="BG144" s="309">
        <f t="shared" si="150"/>
        <v>0</v>
      </c>
      <c r="BH144" s="249"/>
      <c r="BI144" s="310">
        <f t="shared" si="151"/>
        <v>0</v>
      </c>
      <c r="BJ144" s="311">
        <f t="shared" si="152"/>
        <v>0</v>
      </c>
      <c r="BK144" s="311">
        <f t="shared" si="153"/>
        <v>0</v>
      </c>
      <c r="BL144" s="312">
        <f t="shared" si="154"/>
        <v>0</v>
      </c>
      <c r="BM144" s="249"/>
      <c r="BN144" s="313">
        <f t="shared" si="155"/>
        <v>0</v>
      </c>
      <c r="BO144" s="314">
        <f t="shared" si="156"/>
        <v>0</v>
      </c>
      <c r="BP144" s="314">
        <f t="shared" si="157"/>
        <v>0</v>
      </c>
      <c r="BQ144" s="315">
        <f t="shared" si="158"/>
        <v>0</v>
      </c>
      <c r="BR144" s="249"/>
      <c r="BS144" s="307">
        <f t="shared" si="159"/>
        <v>0</v>
      </c>
      <c r="BT144" s="308">
        <f t="shared" si="160"/>
        <v>0</v>
      </c>
      <c r="BU144" s="308">
        <f t="shared" si="161"/>
        <v>0</v>
      </c>
      <c r="BV144" s="309">
        <f t="shared" si="162"/>
        <v>0</v>
      </c>
      <c r="BW144" s="249"/>
      <c r="BX144" s="310">
        <f t="shared" si="163"/>
        <v>0</v>
      </c>
      <c r="BY144" s="311">
        <f t="shared" si="164"/>
        <v>0</v>
      </c>
      <c r="BZ144" s="311">
        <f t="shared" si="165"/>
        <v>0</v>
      </c>
      <c r="CA144" s="312">
        <f t="shared" si="166"/>
        <v>0</v>
      </c>
      <c r="CB144" s="249"/>
      <c r="CC144" s="313">
        <f t="shared" si="167"/>
        <v>0</v>
      </c>
      <c r="CD144" s="314">
        <f t="shared" si="168"/>
        <v>0</v>
      </c>
      <c r="CE144" s="314">
        <f t="shared" si="169"/>
        <v>0</v>
      </c>
      <c r="CF144" s="315">
        <f t="shared" si="170"/>
        <v>0</v>
      </c>
      <c r="CG144" s="249"/>
      <c r="CH144" s="316"/>
    </row>
    <row r="145" spans="1:86" ht="15.75" customHeight="1" x14ac:dyDescent="0.2">
      <c r="A145" s="242" t="str">
        <f>IF(OR(E145&lt;&gt;FALSE,F145&lt;&gt;FALSE,G145&lt;&gt;FALSE),MAX(A$16:A144)+1,"")</f>
        <v/>
      </c>
      <c r="B145" s="284" t="s">
        <v>164</v>
      </c>
      <c r="C145" s="284" t="s">
        <v>42</v>
      </c>
      <c r="D145" s="245" t="s">
        <v>11</v>
      </c>
      <c r="E145" s="285" t="b">
        <v>0</v>
      </c>
      <c r="F145" s="286" t="b">
        <v>0</v>
      </c>
      <c r="G145" s="287" t="b">
        <v>0</v>
      </c>
      <c r="H145" s="249"/>
      <c r="I145" s="288">
        <v>1</v>
      </c>
      <c r="J145" s="249"/>
      <c r="K145" s="289"/>
      <c r="L145" s="290"/>
      <c r="M145" s="290"/>
      <c r="N145" s="290"/>
      <c r="O145" s="290"/>
      <c r="P145" s="290"/>
      <c r="Q145" s="290"/>
      <c r="R145" s="290"/>
      <c r="S145" s="290"/>
      <c r="T145" s="290"/>
      <c r="U145" s="289"/>
      <c r="V145" s="290"/>
      <c r="W145" s="290"/>
      <c r="X145" s="290"/>
      <c r="Y145" s="290"/>
      <c r="Z145" s="290"/>
      <c r="AA145" s="291"/>
      <c r="AB145" s="289"/>
      <c r="AC145" s="290"/>
      <c r="AD145" s="290"/>
      <c r="AE145" s="291"/>
      <c r="AF145" s="249"/>
      <c r="AG145" s="295">
        <f>IF(OR(AND($E145=TRUE,'[1]Pricing Summary'!$B$33=$E$2),AND($F145=TRUE,'[1]Pricing Summary'!$B$33=$F$2),AND($G145=TRUE,'[1]Pricing Summary'!$B$33=$G$2)),1,0)</f>
        <v>0</v>
      </c>
      <c r="AH145" s="295">
        <f t="shared" si="133"/>
        <v>0</v>
      </c>
      <c r="AI145" s="296">
        <f t="shared" si="134"/>
        <v>0</v>
      </c>
      <c r="AJ145" s="297">
        <f t="shared" si="135"/>
        <v>0</v>
      </c>
      <c r="AK145" s="249"/>
      <c r="AL145" s="298">
        <f t="shared" si="136"/>
        <v>0</v>
      </c>
      <c r="AM145" s="383">
        <f t="shared" si="137"/>
        <v>0</v>
      </c>
      <c r="AN145" s="383">
        <f t="shared" si="137"/>
        <v>0</v>
      </c>
      <c r="AO145" s="299">
        <f t="shared" si="137"/>
        <v>0</v>
      </c>
      <c r="AP145" s="300">
        <f>IF(AN$7=0,0,MROUND(AN145/AN$7*AP$8/'[1]Core Assumptions'!$D$28,'[1]Core Assumptions'!$E$23))</f>
        <v>0</v>
      </c>
      <c r="AQ145" s="301">
        <f t="shared" si="139"/>
        <v>0</v>
      </c>
      <c r="AR145" s="302">
        <f t="shared" si="140"/>
        <v>0</v>
      </c>
      <c r="AS145" s="249"/>
      <c r="AT145" s="303">
        <f t="shared" si="141"/>
        <v>0</v>
      </c>
      <c r="AU145" s="267"/>
      <c r="AV145" s="295">
        <f>IF(OR(AND($E145=TRUE,'[1]Pricing Summary'!$B$33="Ultimate"),AND($F145=TRUE,'[1]Pricing Summary'!$B$33="Enhanced"),AND($G145=TRUE,'[1]Pricing Summary'!$B$33="Essential")),1,0)</f>
        <v>0</v>
      </c>
      <c r="AW145" s="304">
        <f t="shared" si="142"/>
        <v>0</v>
      </c>
      <c r="AX145" s="305">
        <f t="shared" si="143"/>
        <v>0</v>
      </c>
      <c r="AY145" s="267"/>
      <c r="AZ145" s="304">
        <f t="shared" si="144"/>
        <v>0</v>
      </c>
      <c r="BA145" s="222">
        <f t="shared" si="145"/>
        <v>0</v>
      </c>
      <c r="BB145" s="306">
        <f t="shared" si="146"/>
        <v>0</v>
      </c>
      <c r="BC145" s="272"/>
      <c r="BD145" s="307">
        <f t="shared" si="147"/>
        <v>0</v>
      </c>
      <c r="BE145" s="308">
        <f t="shared" si="148"/>
        <v>0</v>
      </c>
      <c r="BF145" s="308">
        <f t="shared" si="149"/>
        <v>0</v>
      </c>
      <c r="BG145" s="309">
        <f t="shared" si="150"/>
        <v>0</v>
      </c>
      <c r="BH145" s="249"/>
      <c r="BI145" s="310">
        <f t="shared" si="151"/>
        <v>0</v>
      </c>
      <c r="BJ145" s="311">
        <f t="shared" si="152"/>
        <v>0</v>
      </c>
      <c r="BK145" s="311">
        <f t="shared" si="153"/>
        <v>0</v>
      </c>
      <c r="BL145" s="312">
        <f t="shared" si="154"/>
        <v>0</v>
      </c>
      <c r="BM145" s="249"/>
      <c r="BN145" s="313">
        <f t="shared" si="155"/>
        <v>0</v>
      </c>
      <c r="BO145" s="314">
        <f t="shared" si="156"/>
        <v>0</v>
      </c>
      <c r="BP145" s="314">
        <f t="shared" si="157"/>
        <v>0</v>
      </c>
      <c r="BQ145" s="315">
        <f t="shared" si="158"/>
        <v>0</v>
      </c>
      <c r="BR145" s="249"/>
      <c r="BS145" s="307">
        <f t="shared" si="159"/>
        <v>0</v>
      </c>
      <c r="BT145" s="308">
        <f t="shared" si="160"/>
        <v>0</v>
      </c>
      <c r="BU145" s="308">
        <f t="shared" si="161"/>
        <v>0</v>
      </c>
      <c r="BV145" s="309">
        <f t="shared" si="162"/>
        <v>0</v>
      </c>
      <c r="BW145" s="249"/>
      <c r="BX145" s="310">
        <f t="shared" si="163"/>
        <v>0</v>
      </c>
      <c r="BY145" s="311">
        <f t="shared" si="164"/>
        <v>0</v>
      </c>
      <c r="BZ145" s="311">
        <f t="shared" si="165"/>
        <v>0</v>
      </c>
      <c r="CA145" s="312">
        <f t="shared" si="166"/>
        <v>0</v>
      </c>
      <c r="CB145" s="249"/>
      <c r="CC145" s="313">
        <f t="shared" si="167"/>
        <v>0</v>
      </c>
      <c r="CD145" s="314">
        <f t="shared" si="168"/>
        <v>0</v>
      </c>
      <c r="CE145" s="314">
        <f t="shared" si="169"/>
        <v>0</v>
      </c>
      <c r="CF145" s="315">
        <f t="shared" si="170"/>
        <v>0</v>
      </c>
      <c r="CG145" s="249"/>
      <c r="CH145" s="316"/>
    </row>
    <row r="146" spans="1:86" ht="15.75" customHeight="1" x14ac:dyDescent="0.2">
      <c r="A146" s="242" t="str">
        <f>IF(OR(E146&lt;&gt;FALSE,F146&lt;&gt;FALSE,G146&lt;&gt;FALSE),MAX(A$16:A145)+1,"")</f>
        <v/>
      </c>
      <c r="B146" s="284" t="s">
        <v>165</v>
      </c>
      <c r="C146" s="284" t="s">
        <v>42</v>
      </c>
      <c r="D146" s="245" t="s">
        <v>11</v>
      </c>
      <c r="E146" s="285" t="b">
        <v>0</v>
      </c>
      <c r="F146" s="286" t="b">
        <v>0</v>
      </c>
      <c r="G146" s="287" t="b">
        <v>0</v>
      </c>
      <c r="H146" s="249"/>
      <c r="I146" s="288">
        <v>1</v>
      </c>
      <c r="J146" s="249"/>
      <c r="K146" s="289"/>
      <c r="L146" s="290"/>
      <c r="M146" s="290"/>
      <c r="N146" s="290"/>
      <c r="O146" s="290"/>
      <c r="P146" s="290"/>
      <c r="Q146" s="290"/>
      <c r="R146" s="290"/>
      <c r="S146" s="290"/>
      <c r="T146" s="290"/>
      <c r="U146" s="289"/>
      <c r="V146" s="290"/>
      <c r="W146" s="290"/>
      <c r="X146" s="290"/>
      <c r="Y146" s="290"/>
      <c r="Z146" s="290"/>
      <c r="AA146" s="291"/>
      <c r="AB146" s="289"/>
      <c r="AC146" s="290"/>
      <c r="AD146" s="290"/>
      <c r="AE146" s="291"/>
      <c r="AF146" s="249"/>
      <c r="AG146" s="295">
        <f>IF(OR(AND($E146=TRUE,'[1]Pricing Summary'!$B$33=$E$2),AND($F146=TRUE,'[1]Pricing Summary'!$B$33=$F$2),AND($G146=TRUE,'[1]Pricing Summary'!$B$33=$G$2)),1,0)</f>
        <v>0</v>
      </c>
      <c r="AH146" s="295">
        <f t="shared" si="133"/>
        <v>0</v>
      </c>
      <c r="AI146" s="296">
        <f t="shared" si="134"/>
        <v>0</v>
      </c>
      <c r="AJ146" s="297">
        <f t="shared" si="135"/>
        <v>0</v>
      </c>
      <c r="AK146" s="249"/>
      <c r="AL146" s="298">
        <f t="shared" si="136"/>
        <v>0</v>
      </c>
      <c r="AM146" s="383">
        <f t="shared" si="137"/>
        <v>0</v>
      </c>
      <c r="AN146" s="383">
        <f t="shared" si="137"/>
        <v>0</v>
      </c>
      <c r="AO146" s="299">
        <f t="shared" si="137"/>
        <v>0</v>
      </c>
      <c r="AP146" s="300">
        <f>IF(AN$7=0,0,MROUND(AN146/AN$7*AP$8/'[1]Core Assumptions'!$D$28,'[1]Core Assumptions'!$E$23))</f>
        <v>0</v>
      </c>
      <c r="AQ146" s="301">
        <f t="shared" si="139"/>
        <v>0</v>
      </c>
      <c r="AR146" s="302">
        <f t="shared" si="140"/>
        <v>0</v>
      </c>
      <c r="AS146" s="249"/>
      <c r="AT146" s="303">
        <f t="shared" si="141"/>
        <v>0</v>
      </c>
      <c r="AU146" s="267"/>
      <c r="AV146" s="295">
        <f>IF(OR(AND($E146=TRUE,'[1]Pricing Summary'!$B$33="Ultimate"),AND($F146=TRUE,'[1]Pricing Summary'!$B$33="Enhanced"),AND($G146=TRUE,'[1]Pricing Summary'!$B$33="Essential")),1,0)</f>
        <v>0</v>
      </c>
      <c r="AW146" s="304">
        <f t="shared" si="142"/>
        <v>0</v>
      </c>
      <c r="AX146" s="305">
        <f t="shared" si="143"/>
        <v>0</v>
      </c>
      <c r="AY146" s="267"/>
      <c r="AZ146" s="304">
        <f t="shared" si="144"/>
        <v>0</v>
      </c>
      <c r="BA146" s="222">
        <f t="shared" si="145"/>
        <v>0</v>
      </c>
      <c r="BB146" s="306">
        <f t="shared" si="146"/>
        <v>0</v>
      </c>
      <c r="BC146" s="272"/>
      <c r="BD146" s="307">
        <f t="shared" si="147"/>
        <v>0</v>
      </c>
      <c r="BE146" s="308">
        <f t="shared" si="148"/>
        <v>0</v>
      </c>
      <c r="BF146" s="308">
        <f t="shared" si="149"/>
        <v>0</v>
      </c>
      <c r="BG146" s="309">
        <f t="shared" si="150"/>
        <v>0</v>
      </c>
      <c r="BH146" s="249"/>
      <c r="BI146" s="310">
        <f t="shared" si="151"/>
        <v>0</v>
      </c>
      <c r="BJ146" s="311">
        <f t="shared" si="152"/>
        <v>0</v>
      </c>
      <c r="BK146" s="311">
        <f t="shared" si="153"/>
        <v>0</v>
      </c>
      <c r="BL146" s="312">
        <f t="shared" si="154"/>
        <v>0</v>
      </c>
      <c r="BM146" s="249"/>
      <c r="BN146" s="313">
        <f t="shared" si="155"/>
        <v>0</v>
      </c>
      <c r="BO146" s="314">
        <f t="shared" si="156"/>
        <v>0</v>
      </c>
      <c r="BP146" s="314">
        <f t="shared" si="157"/>
        <v>0</v>
      </c>
      <c r="BQ146" s="315">
        <f t="shared" si="158"/>
        <v>0</v>
      </c>
      <c r="BR146" s="249"/>
      <c r="BS146" s="307">
        <f t="shared" si="159"/>
        <v>0</v>
      </c>
      <c r="BT146" s="308">
        <f t="shared" si="160"/>
        <v>0</v>
      </c>
      <c r="BU146" s="308">
        <f t="shared" si="161"/>
        <v>0</v>
      </c>
      <c r="BV146" s="309">
        <f t="shared" si="162"/>
        <v>0</v>
      </c>
      <c r="BW146" s="249"/>
      <c r="BX146" s="310">
        <f t="shared" si="163"/>
        <v>0</v>
      </c>
      <c r="BY146" s="311">
        <f t="shared" si="164"/>
        <v>0</v>
      </c>
      <c r="BZ146" s="311">
        <f t="shared" si="165"/>
        <v>0</v>
      </c>
      <c r="CA146" s="312">
        <f t="shared" si="166"/>
        <v>0</v>
      </c>
      <c r="CB146" s="249"/>
      <c r="CC146" s="313">
        <f t="shared" si="167"/>
        <v>0</v>
      </c>
      <c r="CD146" s="314">
        <f t="shared" si="168"/>
        <v>0</v>
      </c>
      <c r="CE146" s="314">
        <f t="shared" si="169"/>
        <v>0</v>
      </c>
      <c r="CF146" s="315">
        <f t="shared" si="170"/>
        <v>0</v>
      </c>
      <c r="CG146" s="249"/>
      <c r="CH146" s="316"/>
    </row>
    <row r="147" spans="1:86" ht="15.75" customHeight="1" x14ac:dyDescent="0.2">
      <c r="A147" s="242" t="str">
        <f>IF(OR(E147&lt;&gt;FALSE,F147&lt;&gt;FALSE,G147&lt;&gt;FALSE),MAX(A$16:A146)+1,"")</f>
        <v/>
      </c>
      <c r="B147" s="284" t="s">
        <v>166</v>
      </c>
      <c r="C147" s="284" t="s">
        <v>42</v>
      </c>
      <c r="D147" s="245" t="s">
        <v>11</v>
      </c>
      <c r="E147" s="285" t="b">
        <v>0</v>
      </c>
      <c r="F147" s="286" t="b">
        <v>0</v>
      </c>
      <c r="G147" s="287" t="b">
        <v>0</v>
      </c>
      <c r="H147" s="249"/>
      <c r="I147" s="288">
        <v>1</v>
      </c>
      <c r="J147" s="249"/>
      <c r="K147" s="289"/>
      <c r="L147" s="290"/>
      <c r="M147" s="290"/>
      <c r="N147" s="290"/>
      <c r="O147" s="290"/>
      <c r="P147" s="290"/>
      <c r="Q147" s="290"/>
      <c r="R147" s="290"/>
      <c r="S147" s="290"/>
      <c r="T147" s="290"/>
      <c r="U147" s="289"/>
      <c r="V147" s="290"/>
      <c r="W147" s="290"/>
      <c r="X147" s="290"/>
      <c r="Y147" s="290"/>
      <c r="Z147" s="290"/>
      <c r="AA147" s="291"/>
      <c r="AB147" s="289"/>
      <c r="AC147" s="290"/>
      <c r="AD147" s="290"/>
      <c r="AE147" s="291"/>
      <c r="AF147" s="249"/>
      <c r="AG147" s="295">
        <f>IF(OR(AND($E147=TRUE,'[1]Pricing Summary'!$B$33=$E$2),AND($F147=TRUE,'[1]Pricing Summary'!$B$33=$F$2),AND($G147=TRUE,'[1]Pricing Summary'!$B$33=$G$2)),1,0)</f>
        <v>0</v>
      </c>
      <c r="AH147" s="295">
        <f t="shared" si="133"/>
        <v>0</v>
      </c>
      <c r="AI147" s="296">
        <f t="shared" si="134"/>
        <v>0</v>
      </c>
      <c r="AJ147" s="297">
        <f t="shared" si="135"/>
        <v>0</v>
      </c>
      <c r="AK147" s="249"/>
      <c r="AL147" s="298">
        <f t="shared" si="136"/>
        <v>0</v>
      </c>
      <c r="AM147" s="383">
        <f t="shared" si="137"/>
        <v>0</v>
      </c>
      <c r="AN147" s="383">
        <f t="shared" si="137"/>
        <v>0</v>
      </c>
      <c r="AO147" s="299">
        <f t="shared" si="137"/>
        <v>0</v>
      </c>
      <c r="AP147" s="300">
        <f>IF(AN$7=0,0,MROUND(AN147/AN$7*AP$8/'[1]Core Assumptions'!$D$28,'[1]Core Assumptions'!$E$23))</f>
        <v>0</v>
      </c>
      <c r="AQ147" s="301">
        <f t="shared" si="139"/>
        <v>0</v>
      </c>
      <c r="AR147" s="302">
        <f t="shared" si="140"/>
        <v>0</v>
      </c>
      <c r="AS147" s="249"/>
      <c r="AT147" s="303">
        <f t="shared" si="141"/>
        <v>0</v>
      </c>
      <c r="AU147" s="267"/>
      <c r="AV147" s="295">
        <f>IF(OR(AND($E147=TRUE,'[1]Pricing Summary'!$B$33="Ultimate"),AND($F147=TRUE,'[1]Pricing Summary'!$B$33="Enhanced"),AND($G147=TRUE,'[1]Pricing Summary'!$B$33="Essential")),1,0)</f>
        <v>0</v>
      </c>
      <c r="AW147" s="304">
        <f t="shared" si="142"/>
        <v>0</v>
      </c>
      <c r="AX147" s="305">
        <f t="shared" si="143"/>
        <v>0</v>
      </c>
      <c r="AY147" s="267"/>
      <c r="AZ147" s="304">
        <f t="shared" si="144"/>
        <v>0</v>
      </c>
      <c r="BA147" s="222">
        <f t="shared" si="145"/>
        <v>0</v>
      </c>
      <c r="BB147" s="306">
        <f t="shared" si="146"/>
        <v>0</v>
      </c>
      <c r="BC147" s="272"/>
      <c r="BD147" s="307">
        <f t="shared" si="147"/>
        <v>0</v>
      </c>
      <c r="BE147" s="308">
        <f t="shared" si="148"/>
        <v>0</v>
      </c>
      <c r="BF147" s="308">
        <f t="shared" si="149"/>
        <v>0</v>
      </c>
      <c r="BG147" s="309">
        <f t="shared" si="150"/>
        <v>0</v>
      </c>
      <c r="BH147" s="249"/>
      <c r="BI147" s="310">
        <f t="shared" si="151"/>
        <v>0</v>
      </c>
      <c r="BJ147" s="311">
        <f t="shared" si="152"/>
        <v>0</v>
      </c>
      <c r="BK147" s="311">
        <f t="shared" si="153"/>
        <v>0</v>
      </c>
      <c r="BL147" s="312">
        <f t="shared" si="154"/>
        <v>0</v>
      </c>
      <c r="BM147" s="249"/>
      <c r="BN147" s="313">
        <f t="shared" si="155"/>
        <v>0</v>
      </c>
      <c r="BO147" s="314">
        <f t="shared" si="156"/>
        <v>0</v>
      </c>
      <c r="BP147" s="314">
        <f t="shared" si="157"/>
        <v>0</v>
      </c>
      <c r="BQ147" s="315">
        <f t="shared" si="158"/>
        <v>0</v>
      </c>
      <c r="BR147" s="249"/>
      <c r="BS147" s="307">
        <f t="shared" si="159"/>
        <v>0</v>
      </c>
      <c r="BT147" s="308">
        <f t="shared" si="160"/>
        <v>0</v>
      </c>
      <c r="BU147" s="308">
        <f t="shared" si="161"/>
        <v>0</v>
      </c>
      <c r="BV147" s="309">
        <f t="shared" si="162"/>
        <v>0</v>
      </c>
      <c r="BW147" s="249"/>
      <c r="BX147" s="310">
        <f t="shared" si="163"/>
        <v>0</v>
      </c>
      <c r="BY147" s="311">
        <f t="shared" si="164"/>
        <v>0</v>
      </c>
      <c r="BZ147" s="311">
        <f t="shared" si="165"/>
        <v>0</v>
      </c>
      <c r="CA147" s="312">
        <f t="shared" si="166"/>
        <v>0</v>
      </c>
      <c r="CB147" s="249"/>
      <c r="CC147" s="313">
        <f t="shared" si="167"/>
        <v>0</v>
      </c>
      <c r="CD147" s="314">
        <f t="shared" si="168"/>
        <v>0</v>
      </c>
      <c r="CE147" s="314">
        <f t="shared" si="169"/>
        <v>0</v>
      </c>
      <c r="CF147" s="315">
        <f t="shared" si="170"/>
        <v>0</v>
      </c>
      <c r="CG147" s="249"/>
      <c r="CH147" s="316"/>
    </row>
    <row r="148" spans="1:86" ht="15.75" customHeight="1" x14ac:dyDescent="0.2">
      <c r="A148" s="242" t="str">
        <f>IF(OR(E148&lt;&gt;FALSE,F148&lt;&gt;FALSE,G148&lt;&gt;FALSE),MAX(A$16:A147)+1,"")</f>
        <v/>
      </c>
      <c r="B148" s="284" t="s">
        <v>167</v>
      </c>
      <c r="C148" s="284" t="s">
        <v>42</v>
      </c>
      <c r="D148" s="245" t="s">
        <v>11</v>
      </c>
      <c r="E148" s="285" t="b">
        <v>0</v>
      </c>
      <c r="F148" s="286" t="b">
        <v>0</v>
      </c>
      <c r="G148" s="287" t="b">
        <v>0</v>
      </c>
      <c r="H148" s="249"/>
      <c r="I148" s="288">
        <v>1</v>
      </c>
      <c r="J148" s="249"/>
      <c r="K148" s="289"/>
      <c r="L148" s="290"/>
      <c r="M148" s="290"/>
      <c r="N148" s="290"/>
      <c r="O148" s="290"/>
      <c r="P148" s="290"/>
      <c r="Q148" s="290"/>
      <c r="R148" s="290"/>
      <c r="S148" s="290"/>
      <c r="T148" s="290"/>
      <c r="U148" s="289"/>
      <c r="V148" s="290"/>
      <c r="W148" s="290"/>
      <c r="X148" s="290"/>
      <c r="Y148" s="290"/>
      <c r="Z148" s="290"/>
      <c r="AA148" s="291"/>
      <c r="AB148" s="289"/>
      <c r="AC148" s="290"/>
      <c r="AD148" s="290"/>
      <c r="AE148" s="291"/>
      <c r="AF148" s="249"/>
      <c r="AG148" s="295">
        <f>IF(OR(AND($E148=TRUE,'[1]Pricing Summary'!$B$33=$E$2),AND($F148=TRUE,'[1]Pricing Summary'!$B$33=$F$2),AND($G148=TRUE,'[1]Pricing Summary'!$B$33=$G$2)),1,0)</f>
        <v>0</v>
      </c>
      <c r="AH148" s="295">
        <f t="shared" si="133"/>
        <v>0</v>
      </c>
      <c r="AI148" s="296">
        <f t="shared" si="134"/>
        <v>0</v>
      </c>
      <c r="AJ148" s="297">
        <f t="shared" si="135"/>
        <v>0</v>
      </c>
      <c r="AK148" s="249"/>
      <c r="AL148" s="298">
        <f t="shared" si="136"/>
        <v>0</v>
      </c>
      <c r="AM148" s="383">
        <f t="shared" si="137"/>
        <v>0</v>
      </c>
      <c r="AN148" s="383">
        <f t="shared" si="137"/>
        <v>0</v>
      </c>
      <c r="AO148" s="299">
        <f t="shared" si="137"/>
        <v>0</v>
      </c>
      <c r="AP148" s="300">
        <f>IF(AN$7=0,0,MROUND(AN148/AN$7*AP$8/'[1]Core Assumptions'!$D$28,'[1]Core Assumptions'!$E$23))</f>
        <v>0</v>
      </c>
      <c r="AQ148" s="301">
        <f t="shared" si="139"/>
        <v>0</v>
      </c>
      <c r="AR148" s="302">
        <f t="shared" si="140"/>
        <v>0</v>
      </c>
      <c r="AS148" s="249"/>
      <c r="AT148" s="303">
        <f t="shared" si="141"/>
        <v>0</v>
      </c>
      <c r="AU148" s="267"/>
      <c r="AV148" s="295">
        <f>IF(OR(AND($E148=TRUE,'[1]Pricing Summary'!$B$33="Ultimate"),AND($F148=TRUE,'[1]Pricing Summary'!$B$33="Enhanced"),AND($G148=TRUE,'[1]Pricing Summary'!$B$33="Essential")),1,0)</f>
        <v>0</v>
      </c>
      <c r="AW148" s="304">
        <f t="shared" si="142"/>
        <v>0</v>
      </c>
      <c r="AX148" s="305">
        <f t="shared" si="143"/>
        <v>0</v>
      </c>
      <c r="AY148" s="267"/>
      <c r="AZ148" s="304">
        <f t="shared" si="144"/>
        <v>0</v>
      </c>
      <c r="BA148" s="222">
        <f t="shared" si="145"/>
        <v>0</v>
      </c>
      <c r="BB148" s="306">
        <f t="shared" si="146"/>
        <v>0</v>
      </c>
      <c r="BC148" s="272"/>
      <c r="BD148" s="307">
        <f t="shared" si="147"/>
        <v>0</v>
      </c>
      <c r="BE148" s="308">
        <f t="shared" si="148"/>
        <v>0</v>
      </c>
      <c r="BF148" s="308">
        <f t="shared" si="149"/>
        <v>0</v>
      </c>
      <c r="BG148" s="309">
        <f t="shared" si="150"/>
        <v>0</v>
      </c>
      <c r="BH148" s="249"/>
      <c r="BI148" s="310">
        <f t="shared" si="151"/>
        <v>0</v>
      </c>
      <c r="BJ148" s="311">
        <f t="shared" si="152"/>
        <v>0</v>
      </c>
      <c r="BK148" s="311">
        <f t="shared" si="153"/>
        <v>0</v>
      </c>
      <c r="BL148" s="312">
        <f t="shared" si="154"/>
        <v>0</v>
      </c>
      <c r="BM148" s="249"/>
      <c r="BN148" s="313">
        <f t="shared" si="155"/>
        <v>0</v>
      </c>
      <c r="BO148" s="314">
        <f t="shared" si="156"/>
        <v>0</v>
      </c>
      <c r="BP148" s="314">
        <f t="shared" si="157"/>
        <v>0</v>
      </c>
      <c r="BQ148" s="315">
        <f t="shared" si="158"/>
        <v>0</v>
      </c>
      <c r="BR148" s="249"/>
      <c r="BS148" s="307">
        <f t="shared" si="159"/>
        <v>0</v>
      </c>
      <c r="BT148" s="308">
        <f t="shared" si="160"/>
        <v>0</v>
      </c>
      <c r="BU148" s="308">
        <f t="shared" si="161"/>
        <v>0</v>
      </c>
      <c r="BV148" s="309">
        <f t="shared" si="162"/>
        <v>0</v>
      </c>
      <c r="BW148" s="249"/>
      <c r="BX148" s="310">
        <f t="shared" si="163"/>
        <v>0</v>
      </c>
      <c r="BY148" s="311">
        <f t="shared" si="164"/>
        <v>0</v>
      </c>
      <c r="BZ148" s="311">
        <f t="shared" si="165"/>
        <v>0</v>
      </c>
      <c r="CA148" s="312">
        <f t="shared" si="166"/>
        <v>0</v>
      </c>
      <c r="CB148" s="249"/>
      <c r="CC148" s="313">
        <f t="shared" si="167"/>
        <v>0</v>
      </c>
      <c r="CD148" s="314">
        <f t="shared" si="168"/>
        <v>0</v>
      </c>
      <c r="CE148" s="314">
        <f t="shared" si="169"/>
        <v>0</v>
      </c>
      <c r="CF148" s="315">
        <f t="shared" si="170"/>
        <v>0</v>
      </c>
      <c r="CG148" s="249"/>
      <c r="CH148" s="316"/>
    </row>
    <row r="149" spans="1:86" ht="15.75" customHeight="1" x14ac:dyDescent="0.2">
      <c r="A149" s="242" t="str">
        <f>IF(OR(E149&lt;&gt;FALSE,F149&lt;&gt;FALSE,G149&lt;&gt;FALSE),MAX(A$16:A148)+1,"")</f>
        <v/>
      </c>
      <c r="B149" s="284" t="s">
        <v>168</v>
      </c>
      <c r="C149" s="284" t="s">
        <v>42</v>
      </c>
      <c r="D149" s="245" t="s">
        <v>11</v>
      </c>
      <c r="E149" s="285" t="b">
        <v>0</v>
      </c>
      <c r="F149" s="286" t="b">
        <v>0</v>
      </c>
      <c r="G149" s="287" t="b">
        <v>0</v>
      </c>
      <c r="H149" s="249"/>
      <c r="I149" s="288">
        <v>1</v>
      </c>
      <c r="J149" s="249"/>
      <c r="K149" s="289"/>
      <c r="L149" s="290"/>
      <c r="M149" s="290"/>
      <c r="N149" s="290"/>
      <c r="O149" s="290"/>
      <c r="P149" s="290"/>
      <c r="Q149" s="290"/>
      <c r="R149" s="290"/>
      <c r="S149" s="290"/>
      <c r="T149" s="290"/>
      <c r="U149" s="289"/>
      <c r="V149" s="290"/>
      <c r="W149" s="290"/>
      <c r="X149" s="290"/>
      <c r="Y149" s="290"/>
      <c r="Z149" s="290"/>
      <c r="AA149" s="291"/>
      <c r="AB149" s="289"/>
      <c r="AC149" s="290"/>
      <c r="AD149" s="290"/>
      <c r="AE149" s="291"/>
      <c r="AF149" s="249"/>
      <c r="AG149" s="295">
        <f>IF(OR(AND($E149=TRUE,'[1]Pricing Summary'!$B$33=$E$2),AND($F149=TRUE,'[1]Pricing Summary'!$B$33=$F$2),AND($G149=TRUE,'[1]Pricing Summary'!$B$33=$G$2)),1,0)</f>
        <v>0</v>
      </c>
      <c r="AH149" s="295">
        <f t="shared" si="133"/>
        <v>0</v>
      </c>
      <c r="AI149" s="296">
        <f t="shared" si="134"/>
        <v>0</v>
      </c>
      <c r="AJ149" s="297">
        <f t="shared" si="135"/>
        <v>0</v>
      </c>
      <c r="AK149" s="249"/>
      <c r="AL149" s="298">
        <f t="shared" si="136"/>
        <v>0</v>
      </c>
      <c r="AM149" s="383">
        <f t="shared" si="137"/>
        <v>0</v>
      </c>
      <c r="AN149" s="383">
        <f t="shared" si="137"/>
        <v>0</v>
      </c>
      <c r="AO149" s="299">
        <f t="shared" si="137"/>
        <v>0</v>
      </c>
      <c r="AP149" s="300">
        <f>IF(AN$7=0,0,MROUND(AN149/AN$7*AP$8/'[1]Core Assumptions'!$D$28,'[1]Core Assumptions'!$E$23))</f>
        <v>0</v>
      </c>
      <c r="AQ149" s="301">
        <f t="shared" si="139"/>
        <v>0</v>
      </c>
      <c r="AR149" s="302">
        <f t="shared" si="140"/>
        <v>0</v>
      </c>
      <c r="AS149" s="249"/>
      <c r="AT149" s="303">
        <f t="shared" si="141"/>
        <v>0</v>
      </c>
      <c r="AU149" s="267"/>
      <c r="AV149" s="295">
        <f>IF(OR(AND($E149=TRUE,'[1]Pricing Summary'!$B$33="Ultimate"),AND($F149=TRUE,'[1]Pricing Summary'!$B$33="Enhanced"),AND($G149=TRUE,'[1]Pricing Summary'!$B$33="Essential")),1,0)</f>
        <v>0</v>
      </c>
      <c r="AW149" s="304">
        <f t="shared" si="142"/>
        <v>0</v>
      </c>
      <c r="AX149" s="305">
        <f t="shared" si="143"/>
        <v>0</v>
      </c>
      <c r="AY149" s="267"/>
      <c r="AZ149" s="304">
        <f t="shared" si="144"/>
        <v>0</v>
      </c>
      <c r="BA149" s="222">
        <f t="shared" si="145"/>
        <v>0</v>
      </c>
      <c r="BB149" s="306">
        <f t="shared" si="146"/>
        <v>0</v>
      </c>
      <c r="BC149" s="272"/>
      <c r="BD149" s="307">
        <f t="shared" si="147"/>
        <v>0</v>
      </c>
      <c r="BE149" s="308">
        <f t="shared" si="148"/>
        <v>0</v>
      </c>
      <c r="BF149" s="308">
        <f t="shared" si="149"/>
        <v>0</v>
      </c>
      <c r="BG149" s="309">
        <f t="shared" si="150"/>
        <v>0</v>
      </c>
      <c r="BH149" s="249"/>
      <c r="BI149" s="310">
        <f t="shared" si="151"/>
        <v>0</v>
      </c>
      <c r="BJ149" s="311">
        <f t="shared" si="152"/>
        <v>0</v>
      </c>
      <c r="BK149" s="311">
        <f t="shared" si="153"/>
        <v>0</v>
      </c>
      <c r="BL149" s="312">
        <f t="shared" si="154"/>
        <v>0</v>
      </c>
      <c r="BM149" s="249"/>
      <c r="BN149" s="313">
        <f t="shared" si="155"/>
        <v>0</v>
      </c>
      <c r="BO149" s="314">
        <f t="shared" si="156"/>
        <v>0</v>
      </c>
      <c r="BP149" s="314">
        <f t="shared" si="157"/>
        <v>0</v>
      </c>
      <c r="BQ149" s="315">
        <f t="shared" si="158"/>
        <v>0</v>
      </c>
      <c r="BR149" s="249"/>
      <c r="BS149" s="307">
        <f t="shared" si="159"/>
        <v>0</v>
      </c>
      <c r="BT149" s="308">
        <f t="shared" si="160"/>
        <v>0</v>
      </c>
      <c r="BU149" s="308">
        <f t="shared" si="161"/>
        <v>0</v>
      </c>
      <c r="BV149" s="309">
        <f t="shared" si="162"/>
        <v>0</v>
      </c>
      <c r="BW149" s="249"/>
      <c r="BX149" s="310">
        <f t="shared" si="163"/>
        <v>0</v>
      </c>
      <c r="BY149" s="311">
        <f t="shared" si="164"/>
        <v>0</v>
      </c>
      <c r="BZ149" s="311">
        <f t="shared" si="165"/>
        <v>0</v>
      </c>
      <c r="CA149" s="312">
        <f t="shared" si="166"/>
        <v>0</v>
      </c>
      <c r="CB149" s="249"/>
      <c r="CC149" s="313">
        <f t="shared" si="167"/>
        <v>0</v>
      </c>
      <c r="CD149" s="314">
        <f t="shared" si="168"/>
        <v>0</v>
      </c>
      <c r="CE149" s="314">
        <f t="shared" si="169"/>
        <v>0</v>
      </c>
      <c r="CF149" s="315">
        <f t="shared" si="170"/>
        <v>0</v>
      </c>
      <c r="CG149" s="249"/>
      <c r="CH149" s="316"/>
    </row>
    <row r="150" spans="1:86" ht="15.75" customHeight="1" x14ac:dyDescent="0.2">
      <c r="A150" s="242" t="str">
        <f>IF(OR(E150&lt;&gt;FALSE,F150&lt;&gt;FALSE,G150&lt;&gt;FALSE),MAX(A$16:A149)+1,"")</f>
        <v/>
      </c>
      <c r="B150" s="284" t="s">
        <v>169</v>
      </c>
      <c r="C150" s="284" t="s">
        <v>42</v>
      </c>
      <c r="D150" s="245" t="s">
        <v>11</v>
      </c>
      <c r="E150" s="285" t="b">
        <v>0</v>
      </c>
      <c r="F150" s="286" t="b">
        <v>0</v>
      </c>
      <c r="G150" s="287" t="b">
        <v>0</v>
      </c>
      <c r="H150" s="249"/>
      <c r="I150" s="288">
        <v>1</v>
      </c>
      <c r="J150" s="249"/>
      <c r="K150" s="289"/>
      <c r="L150" s="290"/>
      <c r="M150" s="290"/>
      <c r="N150" s="290"/>
      <c r="O150" s="290"/>
      <c r="P150" s="290"/>
      <c r="Q150" s="290"/>
      <c r="R150" s="290"/>
      <c r="S150" s="290"/>
      <c r="T150" s="290"/>
      <c r="U150" s="289"/>
      <c r="V150" s="290"/>
      <c r="W150" s="290"/>
      <c r="X150" s="290"/>
      <c r="Y150" s="290"/>
      <c r="Z150" s="290"/>
      <c r="AA150" s="291"/>
      <c r="AB150" s="289"/>
      <c r="AC150" s="290"/>
      <c r="AD150" s="290"/>
      <c r="AE150" s="291"/>
      <c r="AF150" s="249"/>
      <c r="AG150" s="295">
        <f>IF(OR(AND($E150=TRUE,'[1]Pricing Summary'!$B$33=$E$2),AND($F150=TRUE,'[1]Pricing Summary'!$B$33=$F$2),AND($G150=TRUE,'[1]Pricing Summary'!$B$33=$G$2)),1,0)</f>
        <v>0</v>
      </c>
      <c r="AH150" s="295">
        <f t="shared" si="133"/>
        <v>0</v>
      </c>
      <c r="AI150" s="296">
        <f t="shared" si="134"/>
        <v>0</v>
      </c>
      <c r="AJ150" s="297">
        <f t="shared" si="135"/>
        <v>0</v>
      </c>
      <c r="AK150" s="249"/>
      <c r="AL150" s="298">
        <f t="shared" si="136"/>
        <v>0</v>
      </c>
      <c r="AM150" s="383">
        <f t="shared" si="137"/>
        <v>0</v>
      </c>
      <c r="AN150" s="383">
        <f t="shared" si="137"/>
        <v>0</v>
      </c>
      <c r="AO150" s="299">
        <f t="shared" si="137"/>
        <v>0</v>
      </c>
      <c r="AP150" s="300">
        <f>IF(AN$7=0,0,MROUND(AN150/AN$7*AP$8/'[1]Core Assumptions'!$D$28,'[1]Core Assumptions'!$E$23))</f>
        <v>0</v>
      </c>
      <c r="AQ150" s="301">
        <f t="shared" si="139"/>
        <v>0</v>
      </c>
      <c r="AR150" s="302">
        <f t="shared" si="140"/>
        <v>0</v>
      </c>
      <c r="AS150" s="249"/>
      <c r="AT150" s="303">
        <f t="shared" si="141"/>
        <v>0</v>
      </c>
      <c r="AU150" s="267"/>
      <c r="AV150" s="295">
        <f>IF(OR(AND($E150=TRUE,'[1]Pricing Summary'!$B$33="Ultimate"),AND($F150=TRUE,'[1]Pricing Summary'!$B$33="Enhanced"),AND($G150=TRUE,'[1]Pricing Summary'!$B$33="Essential")),1,0)</f>
        <v>0</v>
      </c>
      <c r="AW150" s="304">
        <f t="shared" si="142"/>
        <v>0</v>
      </c>
      <c r="AX150" s="305">
        <f t="shared" si="143"/>
        <v>0</v>
      </c>
      <c r="AY150" s="267"/>
      <c r="AZ150" s="304">
        <f t="shared" si="144"/>
        <v>0</v>
      </c>
      <c r="BA150" s="222">
        <f t="shared" si="145"/>
        <v>0</v>
      </c>
      <c r="BB150" s="306">
        <f t="shared" si="146"/>
        <v>0</v>
      </c>
      <c r="BC150" s="272"/>
      <c r="BD150" s="307">
        <f t="shared" si="147"/>
        <v>0</v>
      </c>
      <c r="BE150" s="308">
        <f t="shared" si="148"/>
        <v>0</v>
      </c>
      <c r="BF150" s="308">
        <f t="shared" si="149"/>
        <v>0</v>
      </c>
      <c r="BG150" s="309">
        <f t="shared" si="150"/>
        <v>0</v>
      </c>
      <c r="BH150" s="249"/>
      <c r="BI150" s="310">
        <f t="shared" si="151"/>
        <v>0</v>
      </c>
      <c r="BJ150" s="311">
        <f t="shared" si="152"/>
        <v>0</v>
      </c>
      <c r="BK150" s="311">
        <f t="shared" si="153"/>
        <v>0</v>
      </c>
      <c r="BL150" s="312">
        <f t="shared" si="154"/>
        <v>0</v>
      </c>
      <c r="BM150" s="249"/>
      <c r="BN150" s="313">
        <f t="shared" si="155"/>
        <v>0</v>
      </c>
      <c r="BO150" s="314">
        <f t="shared" si="156"/>
        <v>0</v>
      </c>
      <c r="BP150" s="314">
        <f t="shared" si="157"/>
        <v>0</v>
      </c>
      <c r="BQ150" s="315">
        <f t="shared" si="158"/>
        <v>0</v>
      </c>
      <c r="BR150" s="249"/>
      <c r="BS150" s="307">
        <f t="shared" si="159"/>
        <v>0</v>
      </c>
      <c r="BT150" s="308">
        <f t="shared" si="160"/>
        <v>0</v>
      </c>
      <c r="BU150" s="308">
        <f t="shared" si="161"/>
        <v>0</v>
      </c>
      <c r="BV150" s="309">
        <f t="shared" si="162"/>
        <v>0</v>
      </c>
      <c r="BW150" s="249"/>
      <c r="BX150" s="310">
        <f t="shared" si="163"/>
        <v>0</v>
      </c>
      <c r="BY150" s="311">
        <f t="shared" si="164"/>
        <v>0</v>
      </c>
      <c r="BZ150" s="311">
        <f t="shared" si="165"/>
        <v>0</v>
      </c>
      <c r="CA150" s="312">
        <f t="shared" si="166"/>
        <v>0</v>
      </c>
      <c r="CB150" s="249"/>
      <c r="CC150" s="313">
        <f t="shared" si="167"/>
        <v>0</v>
      </c>
      <c r="CD150" s="314">
        <f t="shared" si="168"/>
        <v>0</v>
      </c>
      <c r="CE150" s="314">
        <f t="shared" si="169"/>
        <v>0</v>
      </c>
      <c r="CF150" s="315">
        <f t="shared" si="170"/>
        <v>0</v>
      </c>
      <c r="CG150" s="249"/>
      <c r="CH150" s="316"/>
    </row>
    <row r="151" spans="1:86" ht="15.75" customHeight="1" x14ac:dyDescent="0.2">
      <c r="A151" s="242" t="str">
        <f>IF(OR(E151&lt;&gt;FALSE,F151&lt;&gt;FALSE,G151&lt;&gt;FALSE),MAX(A$16:A150)+1,"")</f>
        <v/>
      </c>
      <c r="B151" s="284" t="s">
        <v>170</v>
      </c>
      <c r="C151" s="284" t="s">
        <v>42</v>
      </c>
      <c r="D151" s="245" t="s">
        <v>11</v>
      </c>
      <c r="E151" s="285" t="b">
        <v>0</v>
      </c>
      <c r="F151" s="286" t="b">
        <v>0</v>
      </c>
      <c r="G151" s="287" t="b">
        <v>0</v>
      </c>
      <c r="H151" s="249"/>
      <c r="I151" s="288">
        <v>1</v>
      </c>
      <c r="J151" s="249"/>
      <c r="K151" s="289"/>
      <c r="L151" s="290"/>
      <c r="M151" s="290"/>
      <c r="N151" s="290"/>
      <c r="O151" s="290"/>
      <c r="P151" s="290"/>
      <c r="Q151" s="290"/>
      <c r="R151" s="290"/>
      <c r="S151" s="290"/>
      <c r="T151" s="290"/>
      <c r="U151" s="289"/>
      <c r="V151" s="290"/>
      <c r="W151" s="290"/>
      <c r="X151" s="290"/>
      <c r="Y151" s="290"/>
      <c r="Z151" s="290"/>
      <c r="AA151" s="291"/>
      <c r="AB151" s="289"/>
      <c r="AC151" s="290"/>
      <c r="AD151" s="290"/>
      <c r="AE151" s="291"/>
      <c r="AF151" s="249"/>
      <c r="AG151" s="295">
        <f>IF(OR(AND($E151=TRUE,'[1]Pricing Summary'!$B$33=$E$2),AND($F151=TRUE,'[1]Pricing Summary'!$B$33=$F$2),AND($G151=TRUE,'[1]Pricing Summary'!$B$33=$G$2)),1,0)</f>
        <v>0</v>
      </c>
      <c r="AH151" s="295">
        <f t="shared" si="133"/>
        <v>0</v>
      </c>
      <c r="AI151" s="296">
        <f t="shared" si="134"/>
        <v>0</v>
      </c>
      <c r="AJ151" s="297">
        <f t="shared" si="135"/>
        <v>0</v>
      </c>
      <c r="AK151" s="249"/>
      <c r="AL151" s="298">
        <f t="shared" si="136"/>
        <v>0</v>
      </c>
      <c r="AM151" s="383">
        <f t="shared" si="137"/>
        <v>0</v>
      </c>
      <c r="AN151" s="383">
        <f t="shared" si="137"/>
        <v>0</v>
      </c>
      <c r="AO151" s="299">
        <f t="shared" si="137"/>
        <v>0</v>
      </c>
      <c r="AP151" s="300">
        <f>IF(AN$7=0,0,MROUND(AN151/AN$7*AP$8/'[1]Core Assumptions'!$D$28,'[1]Core Assumptions'!$E$23))</f>
        <v>0</v>
      </c>
      <c r="AQ151" s="301">
        <f t="shared" si="139"/>
        <v>0</v>
      </c>
      <c r="AR151" s="302">
        <f t="shared" si="140"/>
        <v>0</v>
      </c>
      <c r="AS151" s="249"/>
      <c r="AT151" s="303">
        <f t="shared" si="141"/>
        <v>0</v>
      </c>
      <c r="AU151" s="267"/>
      <c r="AV151" s="295">
        <f>IF(OR(AND($E151=TRUE,'[1]Pricing Summary'!$B$33="Ultimate"),AND($F151=TRUE,'[1]Pricing Summary'!$B$33="Enhanced"),AND($G151=TRUE,'[1]Pricing Summary'!$B$33="Essential")),1,0)</f>
        <v>0</v>
      </c>
      <c r="AW151" s="304">
        <f t="shared" si="142"/>
        <v>0</v>
      </c>
      <c r="AX151" s="305">
        <f t="shared" si="143"/>
        <v>0</v>
      </c>
      <c r="AY151" s="267"/>
      <c r="AZ151" s="304">
        <f t="shared" si="144"/>
        <v>0</v>
      </c>
      <c r="BA151" s="222">
        <f t="shared" si="145"/>
        <v>0</v>
      </c>
      <c r="BB151" s="306">
        <f t="shared" si="146"/>
        <v>0</v>
      </c>
      <c r="BC151" s="272"/>
      <c r="BD151" s="307">
        <f t="shared" si="147"/>
        <v>0</v>
      </c>
      <c r="BE151" s="308">
        <f t="shared" si="148"/>
        <v>0</v>
      </c>
      <c r="BF151" s="308">
        <f t="shared" si="149"/>
        <v>0</v>
      </c>
      <c r="BG151" s="309">
        <f t="shared" si="150"/>
        <v>0</v>
      </c>
      <c r="BH151" s="249"/>
      <c r="BI151" s="310">
        <f t="shared" si="151"/>
        <v>0</v>
      </c>
      <c r="BJ151" s="311">
        <f t="shared" si="152"/>
        <v>0</v>
      </c>
      <c r="BK151" s="311">
        <f t="shared" si="153"/>
        <v>0</v>
      </c>
      <c r="BL151" s="312">
        <f t="shared" si="154"/>
        <v>0</v>
      </c>
      <c r="BM151" s="249"/>
      <c r="BN151" s="313">
        <f t="shared" si="155"/>
        <v>0</v>
      </c>
      <c r="BO151" s="314">
        <f t="shared" si="156"/>
        <v>0</v>
      </c>
      <c r="BP151" s="314">
        <f t="shared" si="157"/>
        <v>0</v>
      </c>
      <c r="BQ151" s="315">
        <f t="shared" si="158"/>
        <v>0</v>
      </c>
      <c r="BR151" s="249"/>
      <c r="BS151" s="307">
        <f t="shared" si="159"/>
        <v>0</v>
      </c>
      <c r="BT151" s="308">
        <f t="shared" si="160"/>
        <v>0</v>
      </c>
      <c r="BU151" s="308">
        <f t="shared" si="161"/>
        <v>0</v>
      </c>
      <c r="BV151" s="309">
        <f t="shared" si="162"/>
        <v>0</v>
      </c>
      <c r="BW151" s="249"/>
      <c r="BX151" s="310">
        <f t="shared" si="163"/>
        <v>0</v>
      </c>
      <c r="BY151" s="311">
        <f t="shared" si="164"/>
        <v>0</v>
      </c>
      <c r="BZ151" s="311">
        <f t="shared" si="165"/>
        <v>0</v>
      </c>
      <c r="CA151" s="312">
        <f t="shared" si="166"/>
        <v>0</v>
      </c>
      <c r="CB151" s="249"/>
      <c r="CC151" s="313">
        <f t="shared" si="167"/>
        <v>0</v>
      </c>
      <c r="CD151" s="314">
        <f t="shared" si="168"/>
        <v>0</v>
      </c>
      <c r="CE151" s="314">
        <f t="shared" si="169"/>
        <v>0</v>
      </c>
      <c r="CF151" s="315">
        <f t="shared" si="170"/>
        <v>0</v>
      </c>
      <c r="CG151" s="249"/>
      <c r="CH151" s="316"/>
    </row>
    <row r="152" spans="1:86" ht="15.75" customHeight="1" thickBot="1" x14ac:dyDescent="0.25">
      <c r="A152" s="242" t="str">
        <f>IF(OR(E152&lt;&gt;FALSE,F152&lt;&gt;FALSE,G152&lt;&gt;FALSE),MAX(A$16:A151)+1,"")</f>
        <v/>
      </c>
      <c r="B152" s="284" t="s">
        <v>171</v>
      </c>
      <c r="C152" s="284" t="s">
        <v>42</v>
      </c>
      <c r="D152" s="245" t="s">
        <v>11</v>
      </c>
      <c r="E152" s="285" t="b">
        <v>0</v>
      </c>
      <c r="F152" s="286" t="b">
        <v>0</v>
      </c>
      <c r="G152" s="287" t="b">
        <v>0</v>
      </c>
      <c r="H152" s="249"/>
      <c r="I152" s="288">
        <v>1</v>
      </c>
      <c r="J152" s="249"/>
      <c r="K152" s="289"/>
      <c r="L152" s="290"/>
      <c r="M152" s="290"/>
      <c r="N152" s="290"/>
      <c r="O152" s="290"/>
      <c r="P152" s="290"/>
      <c r="Q152" s="290"/>
      <c r="R152" s="290"/>
      <c r="S152" s="290"/>
      <c r="T152" s="290"/>
      <c r="U152" s="289"/>
      <c r="V152" s="290"/>
      <c r="W152" s="290"/>
      <c r="X152" s="290"/>
      <c r="Y152" s="290"/>
      <c r="Z152" s="290"/>
      <c r="AA152" s="291"/>
      <c r="AB152" s="289"/>
      <c r="AC152" s="290"/>
      <c r="AD152" s="290"/>
      <c r="AE152" s="291"/>
      <c r="AF152" s="249"/>
      <c r="AG152" s="295">
        <f>IF(OR(AND($E152=TRUE,'[1]Pricing Summary'!$B$33=$E$2),AND($F152=TRUE,'[1]Pricing Summary'!$B$33=$F$2),AND($G152=TRUE,'[1]Pricing Summary'!$B$33=$G$2)),1,0)</f>
        <v>0</v>
      </c>
      <c r="AH152" s="295">
        <f t="shared" si="133"/>
        <v>0</v>
      </c>
      <c r="AI152" s="296">
        <f t="shared" si="134"/>
        <v>0</v>
      </c>
      <c r="AJ152" s="297">
        <f t="shared" si="135"/>
        <v>0</v>
      </c>
      <c r="AK152" s="249"/>
      <c r="AL152" s="298">
        <f t="shared" si="136"/>
        <v>0</v>
      </c>
      <c r="AM152" s="383">
        <f t="shared" si="137"/>
        <v>0</v>
      </c>
      <c r="AN152" s="383">
        <f t="shared" si="137"/>
        <v>0</v>
      </c>
      <c r="AO152" s="299">
        <f t="shared" si="137"/>
        <v>0</v>
      </c>
      <c r="AP152" s="300">
        <f>IF(AN$7=0,0,MROUND(AN152/AN$7*AP$8/'[1]Core Assumptions'!$D$28,'[1]Core Assumptions'!$E$23))</f>
        <v>0</v>
      </c>
      <c r="AQ152" s="301">
        <f t="shared" si="139"/>
        <v>0</v>
      </c>
      <c r="AR152" s="302">
        <f t="shared" si="140"/>
        <v>0</v>
      </c>
      <c r="AS152" s="249"/>
      <c r="AT152" s="303">
        <f t="shared" si="141"/>
        <v>0</v>
      </c>
      <c r="AU152" s="267"/>
      <c r="AV152" s="295">
        <f>IF(OR(AND($E152=TRUE,'[1]Pricing Summary'!$B$33="Ultimate"),AND($F152=TRUE,'[1]Pricing Summary'!$B$33="Enhanced"),AND($G152=TRUE,'[1]Pricing Summary'!$B$33="Essential")),1,0)</f>
        <v>0</v>
      </c>
      <c r="AW152" s="304">
        <f t="shared" si="142"/>
        <v>0</v>
      </c>
      <c r="AX152" s="305">
        <f t="shared" si="143"/>
        <v>0</v>
      </c>
      <c r="AY152" s="267"/>
      <c r="AZ152" s="304">
        <f t="shared" si="144"/>
        <v>0</v>
      </c>
      <c r="BA152" s="222">
        <f t="shared" si="145"/>
        <v>0</v>
      </c>
      <c r="BB152" s="306">
        <f t="shared" si="146"/>
        <v>0</v>
      </c>
      <c r="BC152" s="272"/>
      <c r="BD152" s="307">
        <f t="shared" si="147"/>
        <v>0</v>
      </c>
      <c r="BE152" s="308">
        <f t="shared" si="148"/>
        <v>0</v>
      </c>
      <c r="BF152" s="308">
        <f t="shared" si="149"/>
        <v>0</v>
      </c>
      <c r="BG152" s="309">
        <f t="shared" si="150"/>
        <v>0</v>
      </c>
      <c r="BH152" s="249"/>
      <c r="BI152" s="310">
        <f t="shared" si="151"/>
        <v>0</v>
      </c>
      <c r="BJ152" s="311">
        <f t="shared" si="152"/>
        <v>0</v>
      </c>
      <c r="BK152" s="311">
        <f t="shared" si="153"/>
        <v>0</v>
      </c>
      <c r="BL152" s="312">
        <f t="shared" si="154"/>
        <v>0</v>
      </c>
      <c r="BM152" s="249"/>
      <c r="BN152" s="313">
        <f t="shared" si="155"/>
        <v>0</v>
      </c>
      <c r="BO152" s="314">
        <f t="shared" si="156"/>
        <v>0</v>
      </c>
      <c r="BP152" s="314">
        <f t="shared" si="157"/>
        <v>0</v>
      </c>
      <c r="BQ152" s="315">
        <f t="shared" si="158"/>
        <v>0</v>
      </c>
      <c r="BR152" s="249"/>
      <c r="BS152" s="307">
        <f t="shared" si="159"/>
        <v>0</v>
      </c>
      <c r="BT152" s="308">
        <f t="shared" si="160"/>
        <v>0</v>
      </c>
      <c r="BU152" s="308">
        <f t="shared" si="161"/>
        <v>0</v>
      </c>
      <c r="BV152" s="309">
        <f t="shared" si="162"/>
        <v>0</v>
      </c>
      <c r="BW152" s="249"/>
      <c r="BX152" s="310">
        <f t="shared" si="163"/>
        <v>0</v>
      </c>
      <c r="BY152" s="311">
        <f t="shared" si="164"/>
        <v>0</v>
      </c>
      <c r="BZ152" s="311">
        <f t="shared" si="165"/>
        <v>0</v>
      </c>
      <c r="CA152" s="312">
        <f t="shared" si="166"/>
        <v>0</v>
      </c>
      <c r="CB152" s="249"/>
      <c r="CC152" s="313">
        <f t="shared" si="167"/>
        <v>0</v>
      </c>
      <c r="CD152" s="314">
        <f t="shared" si="168"/>
        <v>0</v>
      </c>
      <c r="CE152" s="314">
        <f t="shared" si="169"/>
        <v>0</v>
      </c>
      <c r="CF152" s="315">
        <f t="shared" si="170"/>
        <v>0</v>
      </c>
      <c r="CG152" s="249"/>
      <c r="CH152" s="316"/>
    </row>
    <row r="153" spans="1:86" ht="15.75" hidden="1" customHeight="1" outlineLevel="1" x14ac:dyDescent="0.2">
      <c r="A153" s="242" t="str">
        <f>IF(OR(E153&lt;&gt;FALSE,F153&lt;&gt;FALSE,G153&lt;&gt;FALSE),MAX(A$16:A152)+1,"")</f>
        <v/>
      </c>
      <c r="B153" s="284"/>
      <c r="C153" s="284" t="s">
        <v>42</v>
      </c>
      <c r="D153" s="245" t="s">
        <v>11</v>
      </c>
      <c r="E153" s="285" t="b">
        <v>0</v>
      </c>
      <c r="F153" s="286" t="b">
        <v>0</v>
      </c>
      <c r="G153" s="287" t="b">
        <v>0</v>
      </c>
      <c r="H153" s="249"/>
      <c r="I153" s="288">
        <v>1</v>
      </c>
      <c r="J153" s="249"/>
      <c r="K153" s="289"/>
      <c r="L153" s="290"/>
      <c r="M153" s="290"/>
      <c r="N153" s="290"/>
      <c r="O153" s="290"/>
      <c r="P153" s="290"/>
      <c r="Q153" s="290"/>
      <c r="R153" s="290"/>
      <c r="S153" s="290"/>
      <c r="T153" s="290"/>
      <c r="U153" s="289"/>
      <c r="V153" s="290"/>
      <c r="W153" s="290"/>
      <c r="X153" s="290"/>
      <c r="Y153" s="290"/>
      <c r="Z153" s="290"/>
      <c r="AA153" s="291"/>
      <c r="AB153" s="289"/>
      <c r="AC153" s="290"/>
      <c r="AD153" s="290"/>
      <c r="AE153" s="291"/>
      <c r="AF153" s="249"/>
      <c r="AG153" s="295">
        <f>IF(OR(AND($E153=TRUE,'[1]Pricing Summary'!$B$33=$E$2),AND($F153=TRUE,'[1]Pricing Summary'!$B$33=$F$2),AND($G153=TRUE,'[1]Pricing Summary'!$B$33=$G$2)),1,0)</f>
        <v>0</v>
      </c>
      <c r="AH153" s="295">
        <f t="shared" si="133"/>
        <v>0</v>
      </c>
      <c r="AI153" s="296">
        <f t="shared" si="134"/>
        <v>0</v>
      </c>
      <c r="AJ153" s="297">
        <f t="shared" si="135"/>
        <v>0</v>
      </c>
      <c r="AK153" s="249"/>
      <c r="AL153" s="298">
        <f t="shared" si="136"/>
        <v>0</v>
      </c>
      <c r="AM153" s="383">
        <f t="shared" si="137"/>
        <v>0</v>
      </c>
      <c r="AN153" s="383">
        <f t="shared" si="137"/>
        <v>0</v>
      </c>
      <c r="AO153" s="299">
        <f t="shared" si="137"/>
        <v>0</v>
      </c>
      <c r="AP153" s="300">
        <f>IF(AN$7=0,0,MROUND(AN153/AN$7*AP$8/'[1]Core Assumptions'!$D$28,'[1]Core Assumptions'!$E$23))</f>
        <v>0</v>
      </c>
      <c r="AQ153" s="301">
        <f t="shared" si="139"/>
        <v>0</v>
      </c>
      <c r="AR153" s="302">
        <f t="shared" si="140"/>
        <v>0</v>
      </c>
      <c r="AS153" s="249"/>
      <c r="AT153" s="303">
        <f t="shared" si="141"/>
        <v>0</v>
      </c>
      <c r="AU153" s="267"/>
      <c r="AV153" s="295">
        <f>IF(OR(AND($E153=TRUE,'[1]Pricing Summary'!$B$33="Ultimate"),AND($F153=TRUE,'[1]Pricing Summary'!$B$33="Enhanced"),AND($G153=TRUE,'[1]Pricing Summary'!$B$33="Essential")),1,0)</f>
        <v>0</v>
      </c>
      <c r="AW153" s="304">
        <f t="shared" si="142"/>
        <v>0</v>
      </c>
      <c r="AX153" s="305">
        <f t="shared" si="143"/>
        <v>0</v>
      </c>
      <c r="AY153" s="267"/>
      <c r="AZ153" s="304">
        <f t="shared" si="144"/>
        <v>0</v>
      </c>
      <c r="BA153" s="222">
        <f t="shared" si="145"/>
        <v>0</v>
      </c>
      <c r="BB153" s="306">
        <f t="shared" si="146"/>
        <v>0</v>
      </c>
      <c r="BC153" s="272"/>
      <c r="BD153" s="307">
        <f t="shared" si="147"/>
        <v>0</v>
      </c>
      <c r="BE153" s="308">
        <f t="shared" si="148"/>
        <v>0</v>
      </c>
      <c r="BF153" s="308">
        <f t="shared" si="149"/>
        <v>0</v>
      </c>
      <c r="BG153" s="309">
        <f t="shared" si="150"/>
        <v>0</v>
      </c>
      <c r="BH153" s="249"/>
      <c r="BI153" s="310">
        <f t="shared" si="151"/>
        <v>0</v>
      </c>
      <c r="BJ153" s="311">
        <f t="shared" si="152"/>
        <v>0</v>
      </c>
      <c r="BK153" s="311">
        <f t="shared" si="153"/>
        <v>0</v>
      </c>
      <c r="BL153" s="312">
        <f t="shared" si="154"/>
        <v>0</v>
      </c>
      <c r="BM153" s="249"/>
      <c r="BN153" s="313">
        <f t="shared" si="155"/>
        <v>0</v>
      </c>
      <c r="BO153" s="314">
        <f t="shared" si="156"/>
        <v>0</v>
      </c>
      <c r="BP153" s="314">
        <f t="shared" si="157"/>
        <v>0</v>
      </c>
      <c r="BQ153" s="315">
        <f t="shared" si="158"/>
        <v>0</v>
      </c>
      <c r="BR153" s="249"/>
      <c r="BS153" s="307">
        <f t="shared" si="159"/>
        <v>0</v>
      </c>
      <c r="BT153" s="308">
        <f t="shared" si="160"/>
        <v>0</v>
      </c>
      <c r="BU153" s="308">
        <f t="shared" si="161"/>
        <v>0</v>
      </c>
      <c r="BV153" s="309">
        <f t="shared" si="162"/>
        <v>0</v>
      </c>
      <c r="BW153" s="249"/>
      <c r="BX153" s="310">
        <f t="shared" si="163"/>
        <v>0</v>
      </c>
      <c r="BY153" s="311">
        <f t="shared" si="164"/>
        <v>0</v>
      </c>
      <c r="BZ153" s="311">
        <f t="shared" si="165"/>
        <v>0</v>
      </c>
      <c r="CA153" s="312">
        <f t="shared" si="166"/>
        <v>0</v>
      </c>
      <c r="CB153" s="249"/>
      <c r="CC153" s="313">
        <f t="shared" si="167"/>
        <v>0</v>
      </c>
      <c r="CD153" s="314">
        <f t="shared" si="168"/>
        <v>0</v>
      </c>
      <c r="CE153" s="314">
        <f t="shared" si="169"/>
        <v>0</v>
      </c>
      <c r="CF153" s="315">
        <f t="shared" si="170"/>
        <v>0</v>
      </c>
      <c r="CG153" s="249"/>
      <c r="CH153" s="316"/>
    </row>
    <row r="154" spans="1:86" ht="15.75" hidden="1" customHeight="1" outlineLevel="1" x14ac:dyDescent="0.2">
      <c r="A154" s="242" t="str">
        <f>IF(OR(E154&lt;&gt;FALSE,F154&lt;&gt;FALSE,G154&lt;&gt;FALSE),MAX(A$16:A153)+1,"")</f>
        <v/>
      </c>
      <c r="B154" s="284"/>
      <c r="C154" s="284" t="s">
        <v>42</v>
      </c>
      <c r="D154" s="245" t="s">
        <v>11</v>
      </c>
      <c r="E154" s="285" t="b">
        <v>0</v>
      </c>
      <c r="F154" s="286" t="b">
        <v>0</v>
      </c>
      <c r="G154" s="287" t="b">
        <v>0</v>
      </c>
      <c r="H154" s="249"/>
      <c r="I154" s="288">
        <v>1</v>
      </c>
      <c r="J154" s="249"/>
      <c r="K154" s="289"/>
      <c r="L154" s="290"/>
      <c r="M154" s="290"/>
      <c r="N154" s="290"/>
      <c r="O154" s="290"/>
      <c r="P154" s="290"/>
      <c r="Q154" s="290"/>
      <c r="R154" s="290"/>
      <c r="S154" s="290"/>
      <c r="T154" s="290"/>
      <c r="U154" s="289"/>
      <c r="V154" s="290"/>
      <c r="W154" s="290"/>
      <c r="X154" s="290"/>
      <c r="Y154" s="290"/>
      <c r="Z154" s="290"/>
      <c r="AA154" s="291"/>
      <c r="AB154" s="289"/>
      <c r="AC154" s="290"/>
      <c r="AD154" s="290"/>
      <c r="AE154" s="291"/>
      <c r="AF154" s="249"/>
      <c r="AG154" s="295">
        <f>IF(OR(AND($E154=TRUE,'[1]Pricing Summary'!$B$33=$E$2),AND($F154=TRUE,'[1]Pricing Summary'!$B$33=$F$2),AND($G154=TRUE,'[1]Pricing Summary'!$B$33=$G$2)),1,0)</f>
        <v>0</v>
      </c>
      <c r="AH154" s="295">
        <f t="shared" si="133"/>
        <v>0</v>
      </c>
      <c r="AI154" s="296">
        <f t="shared" si="134"/>
        <v>0</v>
      </c>
      <c r="AJ154" s="297">
        <f t="shared" si="135"/>
        <v>0</v>
      </c>
      <c r="AK154" s="249"/>
      <c r="AL154" s="298">
        <f t="shared" si="136"/>
        <v>0</v>
      </c>
      <c r="AM154" s="383">
        <f t="shared" si="137"/>
        <v>0</v>
      </c>
      <c r="AN154" s="383">
        <f t="shared" si="137"/>
        <v>0</v>
      </c>
      <c r="AO154" s="299">
        <f t="shared" si="137"/>
        <v>0</v>
      </c>
      <c r="AP154" s="300">
        <f>IF(AN$7=0,0,MROUND(AN154/AN$7*AP$8/'[1]Core Assumptions'!$D$28,'[1]Core Assumptions'!$E$23))</f>
        <v>0</v>
      </c>
      <c r="AQ154" s="301">
        <f t="shared" si="139"/>
        <v>0</v>
      </c>
      <c r="AR154" s="302">
        <f t="shared" si="140"/>
        <v>0</v>
      </c>
      <c r="AS154" s="249"/>
      <c r="AT154" s="303">
        <f t="shared" si="141"/>
        <v>0</v>
      </c>
      <c r="AU154" s="267"/>
      <c r="AV154" s="295">
        <f>IF(OR(AND($E154=TRUE,'[1]Pricing Summary'!$B$33="Ultimate"),AND($F154=TRUE,'[1]Pricing Summary'!$B$33="Enhanced"),AND($G154=TRUE,'[1]Pricing Summary'!$B$33="Essential")),1,0)</f>
        <v>0</v>
      </c>
      <c r="AW154" s="304">
        <f t="shared" si="142"/>
        <v>0</v>
      </c>
      <c r="AX154" s="305">
        <f t="shared" si="143"/>
        <v>0</v>
      </c>
      <c r="AY154" s="267"/>
      <c r="AZ154" s="304">
        <f t="shared" si="144"/>
        <v>0</v>
      </c>
      <c r="BA154" s="222">
        <f t="shared" si="145"/>
        <v>0</v>
      </c>
      <c r="BB154" s="306">
        <f t="shared" si="146"/>
        <v>0</v>
      </c>
      <c r="BC154" s="272"/>
      <c r="BD154" s="307">
        <f t="shared" si="147"/>
        <v>0</v>
      </c>
      <c r="BE154" s="308">
        <f t="shared" si="148"/>
        <v>0</v>
      </c>
      <c r="BF154" s="308">
        <f t="shared" si="149"/>
        <v>0</v>
      </c>
      <c r="BG154" s="309">
        <f t="shared" si="150"/>
        <v>0</v>
      </c>
      <c r="BH154" s="249"/>
      <c r="BI154" s="310">
        <f t="shared" si="151"/>
        <v>0</v>
      </c>
      <c r="BJ154" s="311">
        <f t="shared" si="152"/>
        <v>0</v>
      </c>
      <c r="BK154" s="311">
        <f t="shared" si="153"/>
        <v>0</v>
      </c>
      <c r="BL154" s="312">
        <f t="shared" si="154"/>
        <v>0</v>
      </c>
      <c r="BM154" s="249"/>
      <c r="BN154" s="313">
        <f t="shared" si="155"/>
        <v>0</v>
      </c>
      <c r="BO154" s="314">
        <f t="shared" si="156"/>
        <v>0</v>
      </c>
      <c r="BP154" s="314">
        <f t="shared" si="157"/>
        <v>0</v>
      </c>
      <c r="BQ154" s="315">
        <f t="shared" si="158"/>
        <v>0</v>
      </c>
      <c r="BR154" s="249"/>
      <c r="BS154" s="307">
        <f t="shared" si="159"/>
        <v>0</v>
      </c>
      <c r="BT154" s="308">
        <f t="shared" si="160"/>
        <v>0</v>
      </c>
      <c r="BU154" s="308">
        <f t="shared" si="161"/>
        <v>0</v>
      </c>
      <c r="BV154" s="309">
        <f t="shared" si="162"/>
        <v>0</v>
      </c>
      <c r="BW154" s="249"/>
      <c r="BX154" s="310">
        <f t="shared" si="163"/>
        <v>0</v>
      </c>
      <c r="BY154" s="311">
        <f t="shared" si="164"/>
        <v>0</v>
      </c>
      <c r="BZ154" s="311">
        <f t="shared" si="165"/>
        <v>0</v>
      </c>
      <c r="CA154" s="312">
        <f t="shared" si="166"/>
        <v>0</v>
      </c>
      <c r="CB154" s="249"/>
      <c r="CC154" s="313">
        <f t="shared" si="167"/>
        <v>0</v>
      </c>
      <c r="CD154" s="314">
        <f t="shared" si="168"/>
        <v>0</v>
      </c>
      <c r="CE154" s="314">
        <f t="shared" si="169"/>
        <v>0</v>
      </c>
      <c r="CF154" s="315">
        <f t="shared" si="170"/>
        <v>0</v>
      </c>
      <c r="CG154" s="249"/>
      <c r="CH154" s="316"/>
    </row>
    <row r="155" spans="1:86" ht="15.75" hidden="1" customHeight="1" outlineLevel="1" x14ac:dyDescent="0.2">
      <c r="A155" s="242" t="str">
        <f>IF(OR(E155&lt;&gt;FALSE,F155&lt;&gt;FALSE,G155&lt;&gt;FALSE),MAX(A$16:A154)+1,"")</f>
        <v/>
      </c>
      <c r="B155" s="284"/>
      <c r="C155" s="284" t="s">
        <v>42</v>
      </c>
      <c r="D155" s="245" t="s">
        <v>11</v>
      </c>
      <c r="E155" s="285" t="b">
        <v>0</v>
      </c>
      <c r="F155" s="286" t="b">
        <v>0</v>
      </c>
      <c r="G155" s="287" t="b">
        <v>0</v>
      </c>
      <c r="H155" s="249"/>
      <c r="I155" s="288">
        <v>1</v>
      </c>
      <c r="J155" s="249"/>
      <c r="K155" s="289"/>
      <c r="L155" s="290"/>
      <c r="M155" s="290"/>
      <c r="N155" s="290"/>
      <c r="O155" s="290"/>
      <c r="P155" s="290"/>
      <c r="Q155" s="290"/>
      <c r="R155" s="290"/>
      <c r="S155" s="290"/>
      <c r="T155" s="290"/>
      <c r="U155" s="289"/>
      <c r="V155" s="290"/>
      <c r="W155" s="290"/>
      <c r="X155" s="290"/>
      <c r="Y155" s="290"/>
      <c r="Z155" s="290"/>
      <c r="AA155" s="291"/>
      <c r="AB155" s="289"/>
      <c r="AC155" s="290"/>
      <c r="AD155" s="290"/>
      <c r="AE155" s="291"/>
      <c r="AF155" s="249"/>
      <c r="AG155" s="295">
        <f>IF(OR(AND($E155=TRUE,'[1]Pricing Summary'!$B$33=$E$2),AND($F155=TRUE,'[1]Pricing Summary'!$B$33=$F$2),AND($G155=TRUE,'[1]Pricing Summary'!$B$33=$G$2)),1,0)</f>
        <v>0</v>
      </c>
      <c r="AH155" s="295">
        <f t="shared" si="133"/>
        <v>0</v>
      </c>
      <c r="AI155" s="296">
        <f t="shared" si="134"/>
        <v>0</v>
      </c>
      <c r="AJ155" s="297">
        <f t="shared" si="135"/>
        <v>0</v>
      </c>
      <c r="AK155" s="249"/>
      <c r="AL155" s="298">
        <f t="shared" si="136"/>
        <v>0</v>
      </c>
      <c r="AM155" s="383">
        <f t="shared" si="137"/>
        <v>0</v>
      </c>
      <c r="AN155" s="383">
        <f t="shared" si="137"/>
        <v>0</v>
      </c>
      <c r="AO155" s="299">
        <f t="shared" si="137"/>
        <v>0</v>
      </c>
      <c r="AP155" s="300">
        <f>IF(AN$7=0,0,MROUND(AN155/AN$7*AP$8/'[1]Core Assumptions'!$D$28,'[1]Core Assumptions'!$E$23))</f>
        <v>0</v>
      </c>
      <c r="AQ155" s="301">
        <f t="shared" si="139"/>
        <v>0</v>
      </c>
      <c r="AR155" s="302">
        <f t="shared" si="140"/>
        <v>0</v>
      </c>
      <c r="AS155" s="249"/>
      <c r="AT155" s="303">
        <f t="shared" si="141"/>
        <v>0</v>
      </c>
      <c r="AU155" s="267"/>
      <c r="AV155" s="295">
        <f>IF(OR(AND($E155=TRUE,'[1]Pricing Summary'!$B$33="Ultimate"),AND($F155=TRUE,'[1]Pricing Summary'!$B$33="Enhanced"),AND($G155=TRUE,'[1]Pricing Summary'!$B$33="Essential")),1,0)</f>
        <v>0</v>
      </c>
      <c r="AW155" s="304">
        <f t="shared" si="142"/>
        <v>0</v>
      </c>
      <c r="AX155" s="305">
        <f t="shared" si="143"/>
        <v>0</v>
      </c>
      <c r="AY155" s="267"/>
      <c r="AZ155" s="304">
        <f t="shared" si="144"/>
        <v>0</v>
      </c>
      <c r="BA155" s="222">
        <f t="shared" si="145"/>
        <v>0</v>
      </c>
      <c r="BB155" s="306">
        <f t="shared" si="146"/>
        <v>0</v>
      </c>
      <c r="BC155" s="272"/>
      <c r="BD155" s="307">
        <f t="shared" si="147"/>
        <v>0</v>
      </c>
      <c r="BE155" s="308">
        <f t="shared" si="148"/>
        <v>0</v>
      </c>
      <c r="BF155" s="308">
        <f t="shared" si="149"/>
        <v>0</v>
      </c>
      <c r="BG155" s="309">
        <f t="shared" si="150"/>
        <v>0</v>
      </c>
      <c r="BH155" s="249"/>
      <c r="BI155" s="310">
        <f t="shared" si="151"/>
        <v>0</v>
      </c>
      <c r="BJ155" s="311">
        <f t="shared" si="152"/>
        <v>0</v>
      </c>
      <c r="BK155" s="311">
        <f t="shared" si="153"/>
        <v>0</v>
      </c>
      <c r="BL155" s="312">
        <f t="shared" si="154"/>
        <v>0</v>
      </c>
      <c r="BM155" s="249"/>
      <c r="BN155" s="313">
        <f t="shared" si="155"/>
        <v>0</v>
      </c>
      <c r="BO155" s="314">
        <f t="shared" si="156"/>
        <v>0</v>
      </c>
      <c r="BP155" s="314">
        <f t="shared" si="157"/>
        <v>0</v>
      </c>
      <c r="BQ155" s="315">
        <f t="shared" si="158"/>
        <v>0</v>
      </c>
      <c r="BR155" s="249"/>
      <c r="BS155" s="307">
        <f t="shared" si="159"/>
        <v>0</v>
      </c>
      <c r="BT155" s="308">
        <f t="shared" si="160"/>
        <v>0</v>
      </c>
      <c r="BU155" s="308">
        <f t="shared" si="161"/>
        <v>0</v>
      </c>
      <c r="BV155" s="309">
        <f t="shared" si="162"/>
        <v>0</v>
      </c>
      <c r="BW155" s="249"/>
      <c r="BX155" s="310">
        <f t="shared" si="163"/>
        <v>0</v>
      </c>
      <c r="BY155" s="311">
        <f t="shared" si="164"/>
        <v>0</v>
      </c>
      <c r="BZ155" s="311">
        <f t="shared" si="165"/>
        <v>0</v>
      </c>
      <c r="CA155" s="312">
        <f t="shared" si="166"/>
        <v>0</v>
      </c>
      <c r="CB155" s="249"/>
      <c r="CC155" s="313">
        <f t="shared" si="167"/>
        <v>0</v>
      </c>
      <c r="CD155" s="314">
        <f t="shared" si="168"/>
        <v>0</v>
      </c>
      <c r="CE155" s="314">
        <f t="shared" si="169"/>
        <v>0</v>
      </c>
      <c r="CF155" s="315">
        <f t="shared" si="170"/>
        <v>0</v>
      </c>
      <c r="CG155" s="249"/>
      <c r="CH155" s="316"/>
    </row>
    <row r="156" spans="1:86" ht="15.75" hidden="1" customHeight="1" outlineLevel="1" x14ac:dyDescent="0.2">
      <c r="A156" s="242" t="str">
        <f>IF(OR(E156&lt;&gt;FALSE,F156&lt;&gt;FALSE,G156&lt;&gt;FALSE),MAX(A$16:A155)+1,"")</f>
        <v/>
      </c>
      <c r="B156" s="284"/>
      <c r="C156" s="284" t="s">
        <v>42</v>
      </c>
      <c r="D156" s="245" t="s">
        <v>11</v>
      </c>
      <c r="E156" s="285" t="b">
        <v>0</v>
      </c>
      <c r="F156" s="286" t="b">
        <v>0</v>
      </c>
      <c r="G156" s="287" t="b">
        <v>0</v>
      </c>
      <c r="H156" s="249"/>
      <c r="I156" s="288">
        <v>1</v>
      </c>
      <c r="J156" s="249"/>
      <c r="K156" s="289"/>
      <c r="L156" s="290"/>
      <c r="M156" s="290"/>
      <c r="N156" s="290"/>
      <c r="O156" s="290"/>
      <c r="P156" s="290"/>
      <c r="Q156" s="290"/>
      <c r="R156" s="290"/>
      <c r="S156" s="290"/>
      <c r="T156" s="290"/>
      <c r="U156" s="289"/>
      <c r="V156" s="290"/>
      <c r="W156" s="290"/>
      <c r="X156" s="290"/>
      <c r="Y156" s="290"/>
      <c r="Z156" s="290"/>
      <c r="AA156" s="291"/>
      <c r="AB156" s="289"/>
      <c r="AC156" s="290"/>
      <c r="AD156" s="290"/>
      <c r="AE156" s="291"/>
      <c r="AF156" s="249"/>
      <c r="AG156" s="295">
        <f>IF(OR(AND($E156=TRUE,'[1]Pricing Summary'!$B$33=$E$2),AND($F156=TRUE,'[1]Pricing Summary'!$B$33=$F$2),AND($G156=TRUE,'[1]Pricing Summary'!$B$33=$G$2)),1,0)</f>
        <v>0</v>
      </c>
      <c r="AH156" s="295">
        <f t="shared" si="133"/>
        <v>0</v>
      </c>
      <c r="AI156" s="296">
        <f t="shared" si="134"/>
        <v>0</v>
      </c>
      <c r="AJ156" s="297">
        <f t="shared" si="135"/>
        <v>0</v>
      </c>
      <c r="AK156" s="249"/>
      <c r="AL156" s="298">
        <f t="shared" si="136"/>
        <v>0</v>
      </c>
      <c r="AM156" s="383">
        <f t="shared" si="137"/>
        <v>0</v>
      </c>
      <c r="AN156" s="383">
        <f t="shared" si="137"/>
        <v>0</v>
      </c>
      <c r="AO156" s="299">
        <f t="shared" si="137"/>
        <v>0</v>
      </c>
      <c r="AP156" s="300">
        <f>IF(AN$7=0,0,MROUND(AN156/AN$7*AP$8/'[1]Core Assumptions'!$D$28,'[1]Core Assumptions'!$E$23))</f>
        <v>0</v>
      </c>
      <c r="AQ156" s="301">
        <f t="shared" si="139"/>
        <v>0</v>
      </c>
      <c r="AR156" s="302">
        <f t="shared" si="140"/>
        <v>0</v>
      </c>
      <c r="AS156" s="249"/>
      <c r="AT156" s="303">
        <f t="shared" si="141"/>
        <v>0</v>
      </c>
      <c r="AU156" s="267"/>
      <c r="AV156" s="295">
        <f>IF(OR(AND($E156=TRUE,'[1]Pricing Summary'!$B$33="Ultimate"),AND($F156=TRUE,'[1]Pricing Summary'!$B$33="Enhanced"),AND($G156=TRUE,'[1]Pricing Summary'!$B$33="Essential")),1,0)</f>
        <v>0</v>
      </c>
      <c r="AW156" s="304">
        <f t="shared" si="142"/>
        <v>0</v>
      </c>
      <c r="AX156" s="305">
        <f t="shared" si="143"/>
        <v>0</v>
      </c>
      <c r="AY156" s="267"/>
      <c r="AZ156" s="304">
        <f t="shared" si="144"/>
        <v>0</v>
      </c>
      <c r="BA156" s="222">
        <f t="shared" si="145"/>
        <v>0</v>
      </c>
      <c r="BB156" s="306">
        <f t="shared" si="146"/>
        <v>0</v>
      </c>
      <c r="BC156" s="272"/>
      <c r="BD156" s="307">
        <f t="shared" si="147"/>
        <v>0</v>
      </c>
      <c r="BE156" s="308">
        <f t="shared" si="148"/>
        <v>0</v>
      </c>
      <c r="BF156" s="308">
        <f t="shared" si="149"/>
        <v>0</v>
      </c>
      <c r="BG156" s="309">
        <f t="shared" si="150"/>
        <v>0</v>
      </c>
      <c r="BH156" s="249"/>
      <c r="BI156" s="310">
        <f t="shared" si="151"/>
        <v>0</v>
      </c>
      <c r="BJ156" s="311">
        <f t="shared" si="152"/>
        <v>0</v>
      </c>
      <c r="BK156" s="311">
        <f t="shared" si="153"/>
        <v>0</v>
      </c>
      <c r="BL156" s="312">
        <f t="shared" si="154"/>
        <v>0</v>
      </c>
      <c r="BM156" s="249"/>
      <c r="BN156" s="313">
        <f t="shared" si="155"/>
        <v>0</v>
      </c>
      <c r="BO156" s="314">
        <f t="shared" si="156"/>
        <v>0</v>
      </c>
      <c r="BP156" s="314">
        <f t="shared" si="157"/>
        <v>0</v>
      </c>
      <c r="BQ156" s="315">
        <f t="shared" si="158"/>
        <v>0</v>
      </c>
      <c r="BR156" s="249"/>
      <c r="BS156" s="307">
        <f t="shared" si="159"/>
        <v>0</v>
      </c>
      <c r="BT156" s="308">
        <f t="shared" si="160"/>
        <v>0</v>
      </c>
      <c r="BU156" s="308">
        <f t="shared" si="161"/>
        <v>0</v>
      </c>
      <c r="BV156" s="309">
        <f t="shared" si="162"/>
        <v>0</v>
      </c>
      <c r="BW156" s="249"/>
      <c r="BX156" s="310">
        <f t="shared" si="163"/>
        <v>0</v>
      </c>
      <c r="BY156" s="311">
        <f t="shared" si="164"/>
        <v>0</v>
      </c>
      <c r="BZ156" s="311">
        <f t="shared" si="165"/>
        <v>0</v>
      </c>
      <c r="CA156" s="312">
        <f t="shared" si="166"/>
        <v>0</v>
      </c>
      <c r="CB156" s="249"/>
      <c r="CC156" s="313">
        <f t="shared" si="167"/>
        <v>0</v>
      </c>
      <c r="CD156" s="314">
        <f t="shared" si="168"/>
        <v>0</v>
      </c>
      <c r="CE156" s="314">
        <f t="shared" si="169"/>
        <v>0</v>
      </c>
      <c r="CF156" s="315">
        <f t="shared" si="170"/>
        <v>0</v>
      </c>
      <c r="CG156" s="249"/>
      <c r="CH156" s="316"/>
    </row>
    <row r="157" spans="1:86" ht="15.75" hidden="1" customHeight="1" outlineLevel="1" x14ac:dyDescent="0.2">
      <c r="A157" s="242" t="str">
        <f>IF(OR(E157&lt;&gt;FALSE,F157&lt;&gt;FALSE,G157&lt;&gt;FALSE),MAX(A$16:A156)+1,"")</f>
        <v/>
      </c>
      <c r="B157" s="284"/>
      <c r="C157" s="284" t="s">
        <v>42</v>
      </c>
      <c r="D157" s="245" t="s">
        <v>11</v>
      </c>
      <c r="E157" s="285" t="b">
        <v>0</v>
      </c>
      <c r="F157" s="286" t="b">
        <v>0</v>
      </c>
      <c r="G157" s="287" t="b">
        <v>0</v>
      </c>
      <c r="H157" s="249"/>
      <c r="I157" s="288">
        <v>1</v>
      </c>
      <c r="J157" s="249"/>
      <c r="K157" s="289"/>
      <c r="L157" s="290"/>
      <c r="M157" s="290"/>
      <c r="N157" s="290"/>
      <c r="O157" s="290"/>
      <c r="P157" s="290"/>
      <c r="Q157" s="290"/>
      <c r="R157" s="290"/>
      <c r="S157" s="290"/>
      <c r="T157" s="290"/>
      <c r="U157" s="289"/>
      <c r="V157" s="290"/>
      <c r="W157" s="290"/>
      <c r="X157" s="290"/>
      <c r="Y157" s="290"/>
      <c r="Z157" s="290"/>
      <c r="AA157" s="291"/>
      <c r="AB157" s="289"/>
      <c r="AC157" s="290"/>
      <c r="AD157" s="290"/>
      <c r="AE157" s="291"/>
      <c r="AF157" s="249"/>
      <c r="AG157" s="295">
        <f>IF(OR(AND($E157=TRUE,'[1]Pricing Summary'!$B$33=$E$2),AND($F157=TRUE,'[1]Pricing Summary'!$B$33=$F$2),AND($G157=TRUE,'[1]Pricing Summary'!$B$33=$G$2)),1,0)</f>
        <v>0</v>
      </c>
      <c r="AH157" s="295">
        <f t="shared" si="133"/>
        <v>0</v>
      </c>
      <c r="AI157" s="296">
        <f t="shared" si="134"/>
        <v>0</v>
      </c>
      <c r="AJ157" s="297">
        <f t="shared" si="135"/>
        <v>0</v>
      </c>
      <c r="AK157" s="249"/>
      <c r="AL157" s="298">
        <f t="shared" si="136"/>
        <v>0</v>
      </c>
      <c r="AM157" s="383">
        <f t="shared" si="137"/>
        <v>0</v>
      </c>
      <c r="AN157" s="383">
        <f t="shared" si="137"/>
        <v>0</v>
      </c>
      <c r="AO157" s="299">
        <f t="shared" si="137"/>
        <v>0</v>
      </c>
      <c r="AP157" s="300">
        <f>IF(AN$7=0,0,MROUND(AN157/AN$7*AP$8/'[1]Core Assumptions'!$D$28,'[1]Core Assumptions'!$E$23))</f>
        <v>0</v>
      </c>
      <c r="AQ157" s="301">
        <f t="shared" si="139"/>
        <v>0</v>
      </c>
      <c r="AR157" s="302">
        <f t="shared" si="140"/>
        <v>0</v>
      </c>
      <c r="AS157" s="249"/>
      <c r="AT157" s="303">
        <f t="shared" si="141"/>
        <v>0</v>
      </c>
      <c r="AU157" s="267"/>
      <c r="AV157" s="295">
        <f>IF(OR(AND($E157=TRUE,'[1]Pricing Summary'!$B$33="Ultimate"),AND($F157=TRUE,'[1]Pricing Summary'!$B$33="Enhanced"),AND($G157=TRUE,'[1]Pricing Summary'!$B$33="Essential")),1,0)</f>
        <v>0</v>
      </c>
      <c r="AW157" s="304">
        <f t="shared" si="142"/>
        <v>0</v>
      </c>
      <c r="AX157" s="305">
        <f t="shared" si="143"/>
        <v>0</v>
      </c>
      <c r="AY157" s="267"/>
      <c r="AZ157" s="304">
        <f t="shared" si="144"/>
        <v>0</v>
      </c>
      <c r="BA157" s="222">
        <f t="shared" si="145"/>
        <v>0</v>
      </c>
      <c r="BB157" s="306">
        <f t="shared" si="146"/>
        <v>0</v>
      </c>
      <c r="BC157" s="272"/>
      <c r="BD157" s="307">
        <f t="shared" si="147"/>
        <v>0</v>
      </c>
      <c r="BE157" s="308">
        <f t="shared" si="148"/>
        <v>0</v>
      </c>
      <c r="BF157" s="308">
        <f t="shared" si="149"/>
        <v>0</v>
      </c>
      <c r="BG157" s="309">
        <f t="shared" si="150"/>
        <v>0</v>
      </c>
      <c r="BH157" s="249"/>
      <c r="BI157" s="310">
        <f t="shared" si="151"/>
        <v>0</v>
      </c>
      <c r="BJ157" s="311">
        <f t="shared" si="152"/>
        <v>0</v>
      </c>
      <c r="BK157" s="311">
        <f t="shared" si="153"/>
        <v>0</v>
      </c>
      <c r="BL157" s="312">
        <f t="shared" si="154"/>
        <v>0</v>
      </c>
      <c r="BM157" s="249"/>
      <c r="BN157" s="313">
        <f t="shared" si="155"/>
        <v>0</v>
      </c>
      <c r="BO157" s="314">
        <f t="shared" si="156"/>
        <v>0</v>
      </c>
      <c r="BP157" s="314">
        <f t="shared" si="157"/>
        <v>0</v>
      </c>
      <c r="BQ157" s="315">
        <f t="shared" si="158"/>
        <v>0</v>
      </c>
      <c r="BR157" s="249"/>
      <c r="BS157" s="307">
        <f t="shared" si="159"/>
        <v>0</v>
      </c>
      <c r="BT157" s="308">
        <f t="shared" si="160"/>
        <v>0</v>
      </c>
      <c r="BU157" s="308">
        <f t="shared" si="161"/>
        <v>0</v>
      </c>
      <c r="BV157" s="309">
        <f t="shared" si="162"/>
        <v>0</v>
      </c>
      <c r="BW157" s="249"/>
      <c r="BX157" s="310">
        <f t="shared" si="163"/>
        <v>0</v>
      </c>
      <c r="BY157" s="311">
        <f t="shared" si="164"/>
        <v>0</v>
      </c>
      <c r="BZ157" s="311">
        <f t="shared" si="165"/>
        <v>0</v>
      </c>
      <c r="CA157" s="312">
        <f t="shared" si="166"/>
        <v>0</v>
      </c>
      <c r="CB157" s="249"/>
      <c r="CC157" s="313">
        <f t="shared" si="167"/>
        <v>0</v>
      </c>
      <c r="CD157" s="314">
        <f t="shared" si="168"/>
        <v>0</v>
      </c>
      <c r="CE157" s="314">
        <f t="shared" si="169"/>
        <v>0</v>
      </c>
      <c r="CF157" s="315">
        <f t="shared" si="170"/>
        <v>0</v>
      </c>
      <c r="CG157" s="249"/>
      <c r="CH157" s="316"/>
    </row>
    <row r="158" spans="1:86" ht="15.75" hidden="1" customHeight="1" outlineLevel="1" x14ac:dyDescent="0.2">
      <c r="A158" s="242" t="str">
        <f>IF(OR(E158&lt;&gt;FALSE,F158&lt;&gt;FALSE,G158&lt;&gt;FALSE),MAX(A$16:A157)+1,"")</f>
        <v/>
      </c>
      <c r="B158" s="284"/>
      <c r="C158" s="284" t="s">
        <v>42</v>
      </c>
      <c r="D158" s="245" t="s">
        <v>11</v>
      </c>
      <c r="E158" s="285" t="b">
        <v>0</v>
      </c>
      <c r="F158" s="286" t="b">
        <v>0</v>
      </c>
      <c r="G158" s="287" t="b">
        <v>0</v>
      </c>
      <c r="H158" s="249"/>
      <c r="I158" s="288">
        <v>1</v>
      </c>
      <c r="J158" s="249"/>
      <c r="K158" s="289"/>
      <c r="L158" s="290"/>
      <c r="M158" s="290"/>
      <c r="N158" s="290"/>
      <c r="O158" s="290"/>
      <c r="P158" s="290"/>
      <c r="Q158" s="290"/>
      <c r="R158" s="290"/>
      <c r="S158" s="290"/>
      <c r="T158" s="290"/>
      <c r="U158" s="289"/>
      <c r="V158" s="290"/>
      <c r="W158" s="290"/>
      <c r="X158" s="290"/>
      <c r="Y158" s="290"/>
      <c r="Z158" s="290"/>
      <c r="AA158" s="291"/>
      <c r="AB158" s="289"/>
      <c r="AC158" s="290"/>
      <c r="AD158" s="290"/>
      <c r="AE158" s="291"/>
      <c r="AF158" s="249"/>
      <c r="AG158" s="295">
        <f>IF(OR(AND($E158=TRUE,'[1]Pricing Summary'!$B$33=$E$2),AND($F158=TRUE,'[1]Pricing Summary'!$B$33=$F$2),AND($G158=TRUE,'[1]Pricing Summary'!$B$33=$G$2)),1,0)</f>
        <v>0</v>
      </c>
      <c r="AH158" s="295">
        <f t="shared" si="133"/>
        <v>0</v>
      </c>
      <c r="AI158" s="296">
        <f t="shared" si="134"/>
        <v>0</v>
      </c>
      <c r="AJ158" s="297">
        <f t="shared" si="135"/>
        <v>0</v>
      </c>
      <c r="AK158" s="249"/>
      <c r="AL158" s="298">
        <f t="shared" si="136"/>
        <v>0</v>
      </c>
      <c r="AM158" s="383">
        <f t="shared" si="137"/>
        <v>0</v>
      </c>
      <c r="AN158" s="383">
        <f t="shared" si="137"/>
        <v>0</v>
      </c>
      <c r="AO158" s="299">
        <f t="shared" si="137"/>
        <v>0</v>
      </c>
      <c r="AP158" s="300">
        <f>IF(AN$7=0,0,MROUND(AN158/AN$7*AP$8/'[1]Core Assumptions'!$D$28,'[1]Core Assumptions'!$E$23))</f>
        <v>0</v>
      </c>
      <c r="AQ158" s="301">
        <f t="shared" si="139"/>
        <v>0</v>
      </c>
      <c r="AR158" s="302">
        <f t="shared" si="140"/>
        <v>0</v>
      </c>
      <c r="AS158" s="249"/>
      <c r="AT158" s="303">
        <f t="shared" si="141"/>
        <v>0</v>
      </c>
      <c r="AU158" s="267"/>
      <c r="AV158" s="295">
        <f>IF(OR(AND($E158=TRUE,'[1]Pricing Summary'!$B$33="Ultimate"),AND($F158=TRUE,'[1]Pricing Summary'!$B$33="Enhanced"),AND($G158=TRUE,'[1]Pricing Summary'!$B$33="Essential")),1,0)</f>
        <v>0</v>
      </c>
      <c r="AW158" s="304">
        <f t="shared" si="142"/>
        <v>0</v>
      </c>
      <c r="AX158" s="305">
        <f t="shared" si="143"/>
        <v>0</v>
      </c>
      <c r="AY158" s="267"/>
      <c r="AZ158" s="304">
        <f t="shared" si="144"/>
        <v>0</v>
      </c>
      <c r="BA158" s="222">
        <f t="shared" si="145"/>
        <v>0</v>
      </c>
      <c r="BB158" s="306">
        <f t="shared" si="146"/>
        <v>0</v>
      </c>
      <c r="BC158" s="272"/>
      <c r="BD158" s="307">
        <f t="shared" si="147"/>
        <v>0</v>
      </c>
      <c r="BE158" s="308">
        <f t="shared" si="148"/>
        <v>0</v>
      </c>
      <c r="BF158" s="308">
        <f t="shared" si="149"/>
        <v>0</v>
      </c>
      <c r="BG158" s="309">
        <f t="shared" si="150"/>
        <v>0</v>
      </c>
      <c r="BH158" s="249"/>
      <c r="BI158" s="310">
        <f t="shared" si="151"/>
        <v>0</v>
      </c>
      <c r="BJ158" s="311">
        <f t="shared" si="152"/>
        <v>0</v>
      </c>
      <c r="BK158" s="311">
        <f t="shared" si="153"/>
        <v>0</v>
      </c>
      <c r="BL158" s="312">
        <f t="shared" si="154"/>
        <v>0</v>
      </c>
      <c r="BM158" s="249"/>
      <c r="BN158" s="313">
        <f t="shared" si="155"/>
        <v>0</v>
      </c>
      <c r="BO158" s="314">
        <f t="shared" si="156"/>
        <v>0</v>
      </c>
      <c r="BP158" s="314">
        <f t="shared" si="157"/>
        <v>0</v>
      </c>
      <c r="BQ158" s="315">
        <f t="shared" si="158"/>
        <v>0</v>
      </c>
      <c r="BR158" s="249"/>
      <c r="BS158" s="307">
        <f t="shared" si="159"/>
        <v>0</v>
      </c>
      <c r="BT158" s="308">
        <f t="shared" si="160"/>
        <v>0</v>
      </c>
      <c r="BU158" s="308">
        <f t="shared" si="161"/>
        <v>0</v>
      </c>
      <c r="BV158" s="309">
        <f t="shared" si="162"/>
        <v>0</v>
      </c>
      <c r="BW158" s="249"/>
      <c r="BX158" s="310">
        <f t="shared" si="163"/>
        <v>0</v>
      </c>
      <c r="BY158" s="311">
        <f t="shared" si="164"/>
        <v>0</v>
      </c>
      <c r="BZ158" s="311">
        <f t="shared" si="165"/>
        <v>0</v>
      </c>
      <c r="CA158" s="312">
        <f t="shared" si="166"/>
        <v>0</v>
      </c>
      <c r="CB158" s="249"/>
      <c r="CC158" s="313">
        <f t="shared" si="167"/>
        <v>0</v>
      </c>
      <c r="CD158" s="314">
        <f t="shared" si="168"/>
        <v>0</v>
      </c>
      <c r="CE158" s="314">
        <f t="shared" si="169"/>
        <v>0</v>
      </c>
      <c r="CF158" s="315">
        <f t="shared" si="170"/>
        <v>0</v>
      </c>
      <c r="CG158" s="249"/>
      <c r="CH158" s="316"/>
    </row>
    <row r="159" spans="1:86" ht="15.75" hidden="1" customHeight="1" outlineLevel="1" x14ac:dyDescent="0.2">
      <c r="A159" s="242" t="str">
        <f>IF(OR(E159&lt;&gt;FALSE,F159&lt;&gt;FALSE,G159&lt;&gt;FALSE),MAX(A$16:A158)+1,"")</f>
        <v/>
      </c>
      <c r="B159" s="284"/>
      <c r="C159" s="284" t="s">
        <v>42</v>
      </c>
      <c r="D159" s="245" t="s">
        <v>11</v>
      </c>
      <c r="E159" s="285" t="b">
        <v>0</v>
      </c>
      <c r="F159" s="286" t="b">
        <v>0</v>
      </c>
      <c r="G159" s="287" t="b">
        <v>0</v>
      </c>
      <c r="H159" s="249"/>
      <c r="I159" s="288">
        <v>1</v>
      </c>
      <c r="J159" s="249"/>
      <c r="K159" s="289"/>
      <c r="L159" s="290"/>
      <c r="M159" s="290"/>
      <c r="N159" s="290"/>
      <c r="O159" s="290"/>
      <c r="P159" s="290"/>
      <c r="Q159" s="290"/>
      <c r="R159" s="290"/>
      <c r="S159" s="290"/>
      <c r="T159" s="290"/>
      <c r="U159" s="289"/>
      <c r="V159" s="290"/>
      <c r="W159" s="290"/>
      <c r="X159" s="290"/>
      <c r="Y159" s="290"/>
      <c r="Z159" s="290"/>
      <c r="AA159" s="291"/>
      <c r="AB159" s="289"/>
      <c r="AC159" s="290"/>
      <c r="AD159" s="290"/>
      <c r="AE159" s="291"/>
      <c r="AF159" s="249"/>
      <c r="AG159" s="295">
        <f>IF(OR(AND($E159=TRUE,'[1]Pricing Summary'!$B$33=$E$2),AND($F159=TRUE,'[1]Pricing Summary'!$B$33=$F$2),AND($G159=TRUE,'[1]Pricing Summary'!$B$33=$G$2)),1,0)</f>
        <v>0</v>
      </c>
      <c r="AH159" s="295">
        <f t="shared" si="133"/>
        <v>0</v>
      </c>
      <c r="AI159" s="296">
        <f t="shared" si="134"/>
        <v>0</v>
      </c>
      <c r="AJ159" s="297">
        <f t="shared" si="135"/>
        <v>0</v>
      </c>
      <c r="AK159" s="249"/>
      <c r="AL159" s="298">
        <f t="shared" si="136"/>
        <v>0</v>
      </c>
      <c r="AM159" s="383">
        <f t="shared" si="137"/>
        <v>0</v>
      </c>
      <c r="AN159" s="383">
        <f t="shared" si="137"/>
        <v>0</v>
      </c>
      <c r="AO159" s="299">
        <f t="shared" si="137"/>
        <v>0</v>
      </c>
      <c r="AP159" s="300">
        <f>IF(AN$7=0,0,MROUND(AN159/AN$7*AP$8/'[1]Core Assumptions'!$D$28,'[1]Core Assumptions'!$E$23))</f>
        <v>0</v>
      </c>
      <c r="AQ159" s="301">
        <f t="shared" si="139"/>
        <v>0</v>
      </c>
      <c r="AR159" s="302">
        <f t="shared" si="140"/>
        <v>0</v>
      </c>
      <c r="AS159" s="249"/>
      <c r="AT159" s="303">
        <f t="shared" si="141"/>
        <v>0</v>
      </c>
      <c r="AU159" s="267"/>
      <c r="AV159" s="295">
        <f>IF(OR(AND($E159=TRUE,'[1]Pricing Summary'!$B$33="Ultimate"),AND($F159=TRUE,'[1]Pricing Summary'!$B$33="Enhanced"),AND($G159=TRUE,'[1]Pricing Summary'!$B$33="Essential")),1,0)</f>
        <v>0</v>
      </c>
      <c r="AW159" s="304">
        <f t="shared" si="142"/>
        <v>0</v>
      </c>
      <c r="AX159" s="305">
        <f t="shared" si="143"/>
        <v>0</v>
      </c>
      <c r="AY159" s="267"/>
      <c r="AZ159" s="304">
        <f t="shared" si="144"/>
        <v>0</v>
      </c>
      <c r="BA159" s="222">
        <f t="shared" si="145"/>
        <v>0</v>
      </c>
      <c r="BB159" s="306">
        <f t="shared" si="146"/>
        <v>0</v>
      </c>
      <c r="BC159" s="272"/>
      <c r="BD159" s="307">
        <f t="shared" si="147"/>
        <v>0</v>
      </c>
      <c r="BE159" s="308">
        <f t="shared" si="148"/>
        <v>0</v>
      </c>
      <c r="BF159" s="308">
        <f t="shared" si="149"/>
        <v>0</v>
      </c>
      <c r="BG159" s="309">
        <f t="shared" si="150"/>
        <v>0</v>
      </c>
      <c r="BH159" s="249"/>
      <c r="BI159" s="310">
        <f t="shared" si="151"/>
        <v>0</v>
      </c>
      <c r="BJ159" s="311">
        <f t="shared" si="152"/>
        <v>0</v>
      </c>
      <c r="BK159" s="311">
        <f t="shared" si="153"/>
        <v>0</v>
      </c>
      <c r="BL159" s="312">
        <f t="shared" si="154"/>
        <v>0</v>
      </c>
      <c r="BM159" s="249"/>
      <c r="BN159" s="313">
        <f t="shared" si="155"/>
        <v>0</v>
      </c>
      <c r="BO159" s="314">
        <f t="shared" si="156"/>
        <v>0</v>
      </c>
      <c r="BP159" s="314">
        <f t="shared" si="157"/>
        <v>0</v>
      </c>
      <c r="BQ159" s="315">
        <f t="shared" si="158"/>
        <v>0</v>
      </c>
      <c r="BR159" s="249"/>
      <c r="BS159" s="307">
        <f t="shared" si="159"/>
        <v>0</v>
      </c>
      <c r="BT159" s="308">
        <f t="shared" si="160"/>
        <v>0</v>
      </c>
      <c r="BU159" s="308">
        <f t="shared" si="161"/>
        <v>0</v>
      </c>
      <c r="BV159" s="309">
        <f t="shared" si="162"/>
        <v>0</v>
      </c>
      <c r="BW159" s="249"/>
      <c r="BX159" s="310">
        <f t="shared" si="163"/>
        <v>0</v>
      </c>
      <c r="BY159" s="311">
        <f t="shared" si="164"/>
        <v>0</v>
      </c>
      <c r="BZ159" s="311">
        <f t="shared" si="165"/>
        <v>0</v>
      </c>
      <c r="CA159" s="312">
        <f t="shared" si="166"/>
        <v>0</v>
      </c>
      <c r="CB159" s="249"/>
      <c r="CC159" s="313">
        <f t="shared" si="167"/>
        <v>0</v>
      </c>
      <c r="CD159" s="314">
        <f t="shared" si="168"/>
        <v>0</v>
      </c>
      <c r="CE159" s="314">
        <f t="shared" si="169"/>
        <v>0</v>
      </c>
      <c r="CF159" s="315">
        <f t="shared" si="170"/>
        <v>0</v>
      </c>
      <c r="CG159" s="249"/>
      <c r="CH159" s="316"/>
    </row>
    <row r="160" spans="1:86" ht="15.75" hidden="1" customHeight="1" outlineLevel="1" x14ac:dyDescent="0.2">
      <c r="A160" s="242" t="str">
        <f>IF(OR(E160&lt;&gt;FALSE,F160&lt;&gt;FALSE,G160&lt;&gt;FALSE),MAX(A$16:A159)+1,"")</f>
        <v/>
      </c>
      <c r="B160" s="284"/>
      <c r="C160" s="284" t="s">
        <v>42</v>
      </c>
      <c r="D160" s="245" t="s">
        <v>11</v>
      </c>
      <c r="E160" s="285" t="b">
        <v>0</v>
      </c>
      <c r="F160" s="286" t="b">
        <v>0</v>
      </c>
      <c r="G160" s="287" t="b">
        <v>0</v>
      </c>
      <c r="H160" s="249"/>
      <c r="I160" s="288">
        <v>1</v>
      </c>
      <c r="J160" s="249"/>
      <c r="K160" s="289"/>
      <c r="L160" s="290"/>
      <c r="M160" s="290"/>
      <c r="N160" s="290"/>
      <c r="O160" s="290"/>
      <c r="P160" s="290"/>
      <c r="Q160" s="290"/>
      <c r="R160" s="290"/>
      <c r="S160" s="290"/>
      <c r="T160" s="290"/>
      <c r="U160" s="289"/>
      <c r="V160" s="290"/>
      <c r="W160" s="290"/>
      <c r="X160" s="290"/>
      <c r="Y160" s="290"/>
      <c r="Z160" s="290"/>
      <c r="AA160" s="291"/>
      <c r="AB160" s="289"/>
      <c r="AC160" s="290"/>
      <c r="AD160" s="290"/>
      <c r="AE160" s="291"/>
      <c r="AF160" s="249"/>
      <c r="AG160" s="295">
        <f>IF(OR(AND($E160=TRUE,'[1]Pricing Summary'!$B$33=$E$2),AND($F160=TRUE,'[1]Pricing Summary'!$B$33=$F$2),AND($G160=TRUE,'[1]Pricing Summary'!$B$33=$G$2)),1,0)</f>
        <v>0</v>
      </c>
      <c r="AH160" s="295">
        <f t="shared" si="133"/>
        <v>0</v>
      </c>
      <c r="AI160" s="296">
        <f t="shared" si="134"/>
        <v>0</v>
      </c>
      <c r="AJ160" s="297">
        <f t="shared" si="135"/>
        <v>0</v>
      </c>
      <c r="AK160" s="249"/>
      <c r="AL160" s="298">
        <f t="shared" si="136"/>
        <v>0</v>
      </c>
      <c r="AM160" s="383">
        <f t="shared" si="137"/>
        <v>0</v>
      </c>
      <c r="AN160" s="383">
        <f t="shared" si="137"/>
        <v>0</v>
      </c>
      <c r="AO160" s="299">
        <f t="shared" si="137"/>
        <v>0</v>
      </c>
      <c r="AP160" s="300">
        <f>IF(AN$7=0,0,MROUND(AN160/AN$7*AP$8/'[1]Core Assumptions'!$D$28,'[1]Core Assumptions'!$E$23))</f>
        <v>0</v>
      </c>
      <c r="AQ160" s="301">
        <f t="shared" si="139"/>
        <v>0</v>
      </c>
      <c r="AR160" s="302">
        <f t="shared" si="140"/>
        <v>0</v>
      </c>
      <c r="AS160" s="249"/>
      <c r="AT160" s="303">
        <f t="shared" si="141"/>
        <v>0</v>
      </c>
      <c r="AU160" s="267"/>
      <c r="AV160" s="295">
        <f>IF(OR(AND($E160=TRUE,'[1]Pricing Summary'!$B$33="Ultimate"),AND($F160=TRUE,'[1]Pricing Summary'!$B$33="Enhanced"),AND($G160=TRUE,'[1]Pricing Summary'!$B$33="Essential")),1,0)</f>
        <v>0</v>
      </c>
      <c r="AW160" s="304">
        <f t="shared" si="142"/>
        <v>0</v>
      </c>
      <c r="AX160" s="305">
        <f t="shared" si="143"/>
        <v>0</v>
      </c>
      <c r="AY160" s="267"/>
      <c r="AZ160" s="304">
        <f t="shared" si="144"/>
        <v>0</v>
      </c>
      <c r="BA160" s="222">
        <f t="shared" si="145"/>
        <v>0</v>
      </c>
      <c r="BB160" s="306">
        <f t="shared" si="146"/>
        <v>0</v>
      </c>
      <c r="BC160" s="272"/>
      <c r="BD160" s="307">
        <f t="shared" si="147"/>
        <v>0</v>
      </c>
      <c r="BE160" s="308">
        <f t="shared" si="148"/>
        <v>0</v>
      </c>
      <c r="BF160" s="308">
        <f t="shared" si="149"/>
        <v>0</v>
      </c>
      <c r="BG160" s="309">
        <f t="shared" si="150"/>
        <v>0</v>
      </c>
      <c r="BH160" s="249"/>
      <c r="BI160" s="310">
        <f t="shared" si="151"/>
        <v>0</v>
      </c>
      <c r="BJ160" s="311">
        <f t="shared" si="152"/>
        <v>0</v>
      </c>
      <c r="BK160" s="311">
        <f t="shared" si="153"/>
        <v>0</v>
      </c>
      <c r="BL160" s="312">
        <f t="shared" si="154"/>
        <v>0</v>
      </c>
      <c r="BM160" s="249"/>
      <c r="BN160" s="313">
        <f t="shared" si="155"/>
        <v>0</v>
      </c>
      <c r="BO160" s="314">
        <f t="shared" si="156"/>
        <v>0</v>
      </c>
      <c r="BP160" s="314">
        <f t="shared" si="157"/>
        <v>0</v>
      </c>
      <c r="BQ160" s="315">
        <f t="shared" si="158"/>
        <v>0</v>
      </c>
      <c r="BR160" s="249"/>
      <c r="BS160" s="307">
        <f t="shared" si="159"/>
        <v>0</v>
      </c>
      <c r="BT160" s="308">
        <f t="shared" si="160"/>
        <v>0</v>
      </c>
      <c r="BU160" s="308">
        <f t="shared" si="161"/>
        <v>0</v>
      </c>
      <c r="BV160" s="309">
        <f t="shared" si="162"/>
        <v>0</v>
      </c>
      <c r="BW160" s="249"/>
      <c r="BX160" s="310">
        <f t="shared" si="163"/>
        <v>0</v>
      </c>
      <c r="BY160" s="311">
        <f t="shared" si="164"/>
        <v>0</v>
      </c>
      <c r="BZ160" s="311">
        <f t="shared" si="165"/>
        <v>0</v>
      </c>
      <c r="CA160" s="312">
        <f t="shared" si="166"/>
        <v>0</v>
      </c>
      <c r="CB160" s="249"/>
      <c r="CC160" s="313">
        <f t="shared" si="167"/>
        <v>0</v>
      </c>
      <c r="CD160" s="314">
        <f t="shared" si="168"/>
        <v>0</v>
      </c>
      <c r="CE160" s="314">
        <f t="shared" si="169"/>
        <v>0</v>
      </c>
      <c r="CF160" s="315">
        <f t="shared" si="170"/>
        <v>0</v>
      </c>
      <c r="CG160" s="249"/>
      <c r="CH160" s="316"/>
    </row>
    <row r="161" spans="1:86" ht="15.75" hidden="1" customHeight="1" outlineLevel="1" x14ac:dyDescent="0.2">
      <c r="A161" s="242" t="str">
        <f>IF(OR(E161&lt;&gt;FALSE,F161&lt;&gt;FALSE,G161&lt;&gt;FALSE),MAX(A$16:A160)+1,"")</f>
        <v/>
      </c>
      <c r="B161" s="284"/>
      <c r="C161" s="284" t="s">
        <v>42</v>
      </c>
      <c r="D161" s="245" t="s">
        <v>11</v>
      </c>
      <c r="E161" s="285" t="b">
        <v>0</v>
      </c>
      <c r="F161" s="286" t="b">
        <v>0</v>
      </c>
      <c r="G161" s="287" t="b">
        <v>0</v>
      </c>
      <c r="H161" s="249"/>
      <c r="I161" s="288">
        <v>1</v>
      </c>
      <c r="J161" s="249"/>
      <c r="K161" s="289"/>
      <c r="L161" s="290"/>
      <c r="M161" s="290"/>
      <c r="N161" s="290"/>
      <c r="O161" s="290"/>
      <c r="P161" s="290"/>
      <c r="Q161" s="290"/>
      <c r="R161" s="290"/>
      <c r="S161" s="290"/>
      <c r="T161" s="290"/>
      <c r="U161" s="289"/>
      <c r="V161" s="290"/>
      <c r="W161" s="290"/>
      <c r="X161" s="290"/>
      <c r="Y161" s="290"/>
      <c r="Z161" s="290"/>
      <c r="AA161" s="291"/>
      <c r="AB161" s="289"/>
      <c r="AC161" s="290"/>
      <c r="AD161" s="290"/>
      <c r="AE161" s="291"/>
      <c r="AF161" s="249"/>
      <c r="AG161" s="295">
        <f>IF(OR(AND($E161=TRUE,'[1]Pricing Summary'!$B$33=$E$2),AND($F161=TRUE,'[1]Pricing Summary'!$B$33=$F$2),AND($G161=TRUE,'[1]Pricing Summary'!$B$33=$G$2)),1,0)</f>
        <v>0</v>
      </c>
      <c r="AH161" s="295">
        <f t="shared" si="133"/>
        <v>0</v>
      </c>
      <c r="AI161" s="296">
        <f t="shared" si="134"/>
        <v>0</v>
      </c>
      <c r="AJ161" s="297">
        <f t="shared" si="135"/>
        <v>0</v>
      </c>
      <c r="AK161" s="249"/>
      <c r="AL161" s="298">
        <f t="shared" si="136"/>
        <v>0</v>
      </c>
      <c r="AM161" s="383">
        <f t="shared" si="137"/>
        <v>0</v>
      </c>
      <c r="AN161" s="383">
        <f t="shared" si="137"/>
        <v>0</v>
      </c>
      <c r="AO161" s="299">
        <f t="shared" si="137"/>
        <v>0</v>
      </c>
      <c r="AP161" s="300">
        <f>IF(AN$7=0,0,MROUND(AN161/AN$7*AP$8/'[1]Core Assumptions'!$D$28,'[1]Core Assumptions'!$E$23))</f>
        <v>0</v>
      </c>
      <c r="AQ161" s="301">
        <f t="shared" si="139"/>
        <v>0</v>
      </c>
      <c r="AR161" s="302">
        <f t="shared" si="140"/>
        <v>0</v>
      </c>
      <c r="AS161" s="249"/>
      <c r="AT161" s="303">
        <f t="shared" si="141"/>
        <v>0</v>
      </c>
      <c r="AU161" s="267"/>
      <c r="AV161" s="295">
        <f>IF(OR(AND($E161=TRUE,'[1]Pricing Summary'!$B$33="Ultimate"),AND($F161=TRUE,'[1]Pricing Summary'!$B$33="Enhanced"),AND($G161=TRUE,'[1]Pricing Summary'!$B$33="Essential")),1,0)</f>
        <v>0</v>
      </c>
      <c r="AW161" s="304">
        <f t="shared" si="142"/>
        <v>0</v>
      </c>
      <c r="AX161" s="305">
        <f t="shared" si="143"/>
        <v>0</v>
      </c>
      <c r="AY161" s="267"/>
      <c r="AZ161" s="304">
        <f t="shared" si="144"/>
        <v>0</v>
      </c>
      <c r="BA161" s="222">
        <f t="shared" si="145"/>
        <v>0</v>
      </c>
      <c r="BB161" s="306">
        <f t="shared" si="146"/>
        <v>0</v>
      </c>
      <c r="BC161" s="272"/>
      <c r="BD161" s="307">
        <f t="shared" si="147"/>
        <v>0</v>
      </c>
      <c r="BE161" s="308">
        <f t="shared" si="148"/>
        <v>0</v>
      </c>
      <c r="BF161" s="308">
        <f t="shared" si="149"/>
        <v>0</v>
      </c>
      <c r="BG161" s="309">
        <f t="shared" si="150"/>
        <v>0</v>
      </c>
      <c r="BH161" s="249"/>
      <c r="BI161" s="310">
        <f t="shared" si="151"/>
        <v>0</v>
      </c>
      <c r="BJ161" s="311">
        <f t="shared" si="152"/>
        <v>0</v>
      </c>
      <c r="BK161" s="311">
        <f t="shared" si="153"/>
        <v>0</v>
      </c>
      <c r="BL161" s="312">
        <f t="shared" si="154"/>
        <v>0</v>
      </c>
      <c r="BM161" s="249"/>
      <c r="BN161" s="313">
        <f t="shared" si="155"/>
        <v>0</v>
      </c>
      <c r="BO161" s="314">
        <f t="shared" si="156"/>
        <v>0</v>
      </c>
      <c r="BP161" s="314">
        <f t="shared" si="157"/>
        <v>0</v>
      </c>
      <c r="BQ161" s="315">
        <f t="shared" si="158"/>
        <v>0</v>
      </c>
      <c r="BR161" s="249"/>
      <c r="BS161" s="307">
        <f t="shared" si="159"/>
        <v>0</v>
      </c>
      <c r="BT161" s="308">
        <f t="shared" si="160"/>
        <v>0</v>
      </c>
      <c r="BU161" s="308">
        <f t="shared" si="161"/>
        <v>0</v>
      </c>
      <c r="BV161" s="309">
        <f t="shared" si="162"/>
        <v>0</v>
      </c>
      <c r="BW161" s="249"/>
      <c r="BX161" s="310">
        <f t="shared" si="163"/>
        <v>0</v>
      </c>
      <c r="BY161" s="311">
        <f t="shared" si="164"/>
        <v>0</v>
      </c>
      <c r="BZ161" s="311">
        <f t="shared" si="165"/>
        <v>0</v>
      </c>
      <c r="CA161" s="312">
        <f t="shared" si="166"/>
        <v>0</v>
      </c>
      <c r="CB161" s="249"/>
      <c r="CC161" s="313">
        <f t="shared" si="167"/>
        <v>0</v>
      </c>
      <c r="CD161" s="314">
        <f t="shared" si="168"/>
        <v>0</v>
      </c>
      <c r="CE161" s="314">
        <f t="shared" si="169"/>
        <v>0</v>
      </c>
      <c r="CF161" s="315">
        <f t="shared" si="170"/>
        <v>0</v>
      </c>
      <c r="CG161" s="249"/>
      <c r="CH161" s="316"/>
    </row>
    <row r="162" spans="1:86" ht="15.75" hidden="1" customHeight="1" outlineLevel="1" x14ac:dyDescent="0.2">
      <c r="A162" s="242" t="str">
        <f>IF(OR(E162&lt;&gt;FALSE,F162&lt;&gt;FALSE,G162&lt;&gt;FALSE),MAX(A$16:A161)+1,"")</f>
        <v/>
      </c>
      <c r="B162" s="284"/>
      <c r="C162" s="284" t="s">
        <v>42</v>
      </c>
      <c r="D162" s="245" t="s">
        <v>11</v>
      </c>
      <c r="E162" s="285" t="b">
        <v>0</v>
      </c>
      <c r="F162" s="286" t="b">
        <v>0</v>
      </c>
      <c r="G162" s="287" t="b">
        <v>0</v>
      </c>
      <c r="H162" s="249"/>
      <c r="I162" s="288">
        <v>1</v>
      </c>
      <c r="J162" s="249"/>
      <c r="K162" s="289"/>
      <c r="L162" s="290"/>
      <c r="M162" s="290"/>
      <c r="N162" s="290"/>
      <c r="O162" s="290"/>
      <c r="P162" s="290"/>
      <c r="Q162" s="290"/>
      <c r="R162" s="290"/>
      <c r="S162" s="290"/>
      <c r="T162" s="290"/>
      <c r="U162" s="289"/>
      <c r="V162" s="290"/>
      <c r="W162" s="290"/>
      <c r="X162" s="290"/>
      <c r="Y162" s="290"/>
      <c r="Z162" s="290"/>
      <c r="AA162" s="291"/>
      <c r="AB162" s="289"/>
      <c r="AC162" s="290"/>
      <c r="AD162" s="290"/>
      <c r="AE162" s="291"/>
      <c r="AF162" s="249"/>
      <c r="AG162" s="295">
        <f>IF(OR(AND($E162=TRUE,'[1]Pricing Summary'!$B$33=$E$2),AND($F162=TRUE,'[1]Pricing Summary'!$B$33=$F$2),AND($G162=TRUE,'[1]Pricing Summary'!$B$33=$G$2)),1,0)</f>
        <v>0</v>
      </c>
      <c r="AH162" s="295">
        <f t="shared" si="133"/>
        <v>0</v>
      </c>
      <c r="AI162" s="296">
        <f t="shared" si="134"/>
        <v>0</v>
      </c>
      <c r="AJ162" s="297">
        <f t="shared" si="135"/>
        <v>0</v>
      </c>
      <c r="AK162" s="249"/>
      <c r="AL162" s="298">
        <f t="shared" si="136"/>
        <v>0</v>
      </c>
      <c r="AM162" s="383">
        <f t="shared" si="137"/>
        <v>0</v>
      </c>
      <c r="AN162" s="383">
        <f t="shared" si="137"/>
        <v>0</v>
      </c>
      <c r="AO162" s="299">
        <f t="shared" si="137"/>
        <v>0</v>
      </c>
      <c r="AP162" s="300">
        <f>IF(AN$7=0,0,MROUND(AN162/AN$7*AP$8/'[1]Core Assumptions'!$D$28,'[1]Core Assumptions'!$E$23))</f>
        <v>0</v>
      </c>
      <c r="AQ162" s="301">
        <f t="shared" si="139"/>
        <v>0</v>
      </c>
      <c r="AR162" s="302">
        <f t="shared" si="140"/>
        <v>0</v>
      </c>
      <c r="AS162" s="249"/>
      <c r="AT162" s="303">
        <f t="shared" si="141"/>
        <v>0</v>
      </c>
      <c r="AU162" s="267"/>
      <c r="AV162" s="295">
        <f>IF(OR(AND($E162=TRUE,'[1]Pricing Summary'!$B$33="Ultimate"),AND($F162=TRUE,'[1]Pricing Summary'!$B$33="Enhanced"),AND($G162=TRUE,'[1]Pricing Summary'!$B$33="Essential")),1,0)</f>
        <v>0</v>
      </c>
      <c r="AW162" s="304">
        <f t="shared" si="142"/>
        <v>0</v>
      </c>
      <c r="AX162" s="305">
        <f t="shared" si="143"/>
        <v>0</v>
      </c>
      <c r="AY162" s="267"/>
      <c r="AZ162" s="304">
        <f t="shared" si="144"/>
        <v>0</v>
      </c>
      <c r="BA162" s="222">
        <f t="shared" si="145"/>
        <v>0</v>
      </c>
      <c r="BB162" s="306">
        <f t="shared" si="146"/>
        <v>0</v>
      </c>
      <c r="BC162" s="272"/>
      <c r="BD162" s="307">
        <f t="shared" si="147"/>
        <v>0</v>
      </c>
      <c r="BE162" s="308">
        <f t="shared" si="148"/>
        <v>0</v>
      </c>
      <c r="BF162" s="308">
        <f t="shared" si="149"/>
        <v>0</v>
      </c>
      <c r="BG162" s="309">
        <f t="shared" si="150"/>
        <v>0</v>
      </c>
      <c r="BH162" s="249"/>
      <c r="BI162" s="310">
        <f t="shared" si="151"/>
        <v>0</v>
      </c>
      <c r="BJ162" s="311">
        <f t="shared" si="152"/>
        <v>0</v>
      </c>
      <c r="BK162" s="311">
        <f t="shared" si="153"/>
        <v>0</v>
      </c>
      <c r="BL162" s="312">
        <f t="shared" si="154"/>
        <v>0</v>
      </c>
      <c r="BM162" s="249"/>
      <c r="BN162" s="313">
        <f t="shared" si="155"/>
        <v>0</v>
      </c>
      <c r="BO162" s="314">
        <f t="shared" si="156"/>
        <v>0</v>
      </c>
      <c r="BP162" s="314">
        <f t="shared" si="157"/>
        <v>0</v>
      </c>
      <c r="BQ162" s="315">
        <f t="shared" si="158"/>
        <v>0</v>
      </c>
      <c r="BR162" s="249"/>
      <c r="BS162" s="307">
        <f t="shared" si="159"/>
        <v>0</v>
      </c>
      <c r="BT162" s="308">
        <f t="shared" si="160"/>
        <v>0</v>
      </c>
      <c r="BU162" s="308">
        <f t="shared" si="161"/>
        <v>0</v>
      </c>
      <c r="BV162" s="309">
        <f t="shared" si="162"/>
        <v>0</v>
      </c>
      <c r="BW162" s="249"/>
      <c r="BX162" s="310">
        <f t="shared" si="163"/>
        <v>0</v>
      </c>
      <c r="BY162" s="311">
        <f t="shared" si="164"/>
        <v>0</v>
      </c>
      <c r="BZ162" s="311">
        <f t="shared" si="165"/>
        <v>0</v>
      </c>
      <c r="CA162" s="312">
        <f t="shared" si="166"/>
        <v>0</v>
      </c>
      <c r="CB162" s="249"/>
      <c r="CC162" s="313">
        <f t="shared" si="167"/>
        <v>0</v>
      </c>
      <c r="CD162" s="314">
        <f t="shared" si="168"/>
        <v>0</v>
      </c>
      <c r="CE162" s="314">
        <f t="shared" si="169"/>
        <v>0</v>
      </c>
      <c r="CF162" s="315">
        <f t="shared" si="170"/>
        <v>0</v>
      </c>
      <c r="CG162" s="249"/>
      <c r="CH162" s="316"/>
    </row>
    <row r="163" spans="1:86" ht="15.75" hidden="1" customHeight="1" outlineLevel="1" x14ac:dyDescent="0.2">
      <c r="A163" s="242" t="str">
        <f>IF(OR(E163&lt;&gt;FALSE,F163&lt;&gt;FALSE,G163&lt;&gt;FALSE),MAX(A$16:A162)+1,"")</f>
        <v/>
      </c>
      <c r="B163" s="284"/>
      <c r="C163" s="284" t="s">
        <v>42</v>
      </c>
      <c r="D163" s="245" t="s">
        <v>11</v>
      </c>
      <c r="E163" s="285" t="b">
        <v>0</v>
      </c>
      <c r="F163" s="286" t="b">
        <v>0</v>
      </c>
      <c r="G163" s="287" t="b">
        <v>0</v>
      </c>
      <c r="H163" s="249"/>
      <c r="I163" s="288">
        <v>1</v>
      </c>
      <c r="J163" s="249"/>
      <c r="K163" s="289"/>
      <c r="L163" s="290"/>
      <c r="M163" s="290"/>
      <c r="N163" s="290"/>
      <c r="O163" s="290"/>
      <c r="P163" s="290"/>
      <c r="Q163" s="290"/>
      <c r="R163" s="290"/>
      <c r="S163" s="290"/>
      <c r="T163" s="290"/>
      <c r="U163" s="289"/>
      <c r="V163" s="290"/>
      <c r="W163" s="290"/>
      <c r="X163" s="290"/>
      <c r="Y163" s="290"/>
      <c r="Z163" s="290"/>
      <c r="AA163" s="291"/>
      <c r="AB163" s="289"/>
      <c r="AC163" s="290"/>
      <c r="AD163" s="290"/>
      <c r="AE163" s="291"/>
      <c r="AF163" s="249"/>
      <c r="AG163" s="295">
        <f>IF(OR(AND($E163=TRUE,'[1]Pricing Summary'!$B$33=$E$2),AND($F163=TRUE,'[1]Pricing Summary'!$B$33=$F$2),AND($G163=TRUE,'[1]Pricing Summary'!$B$33=$G$2)),1,0)</f>
        <v>0</v>
      </c>
      <c r="AH163" s="295">
        <f t="shared" si="133"/>
        <v>0</v>
      </c>
      <c r="AI163" s="296">
        <f t="shared" si="134"/>
        <v>0</v>
      </c>
      <c r="AJ163" s="297">
        <f t="shared" si="135"/>
        <v>0</v>
      </c>
      <c r="AK163" s="249"/>
      <c r="AL163" s="298">
        <f t="shared" si="136"/>
        <v>0</v>
      </c>
      <c r="AM163" s="383">
        <f t="shared" si="137"/>
        <v>0</v>
      </c>
      <c r="AN163" s="383">
        <f t="shared" si="137"/>
        <v>0</v>
      </c>
      <c r="AO163" s="299">
        <f t="shared" si="137"/>
        <v>0</v>
      </c>
      <c r="AP163" s="300">
        <f>IF(AN$7=0,0,MROUND(AN163/AN$7*AP$8/'[1]Core Assumptions'!$D$28,'[1]Core Assumptions'!$E$23))</f>
        <v>0</v>
      </c>
      <c r="AQ163" s="301">
        <f t="shared" si="139"/>
        <v>0</v>
      </c>
      <c r="AR163" s="302">
        <f t="shared" si="140"/>
        <v>0</v>
      </c>
      <c r="AS163" s="249"/>
      <c r="AT163" s="303">
        <f t="shared" si="141"/>
        <v>0</v>
      </c>
      <c r="AU163" s="267"/>
      <c r="AV163" s="295">
        <f>IF(OR(AND($E163=TRUE,'[1]Pricing Summary'!$B$33="Ultimate"),AND($F163=TRUE,'[1]Pricing Summary'!$B$33="Enhanced"),AND($G163=TRUE,'[1]Pricing Summary'!$B$33="Essential")),1,0)</f>
        <v>0</v>
      </c>
      <c r="AW163" s="304">
        <f t="shared" si="142"/>
        <v>0</v>
      </c>
      <c r="AX163" s="305">
        <f t="shared" si="143"/>
        <v>0</v>
      </c>
      <c r="AY163" s="267"/>
      <c r="AZ163" s="304">
        <f t="shared" si="144"/>
        <v>0</v>
      </c>
      <c r="BA163" s="222">
        <f t="shared" si="145"/>
        <v>0</v>
      </c>
      <c r="BB163" s="306">
        <f t="shared" si="146"/>
        <v>0</v>
      </c>
      <c r="BC163" s="272"/>
      <c r="BD163" s="307">
        <f t="shared" si="147"/>
        <v>0</v>
      </c>
      <c r="BE163" s="308">
        <f t="shared" si="148"/>
        <v>0</v>
      </c>
      <c r="BF163" s="308">
        <f t="shared" si="149"/>
        <v>0</v>
      </c>
      <c r="BG163" s="309">
        <f t="shared" si="150"/>
        <v>0</v>
      </c>
      <c r="BH163" s="249"/>
      <c r="BI163" s="310">
        <f t="shared" si="151"/>
        <v>0</v>
      </c>
      <c r="BJ163" s="311">
        <f t="shared" si="152"/>
        <v>0</v>
      </c>
      <c r="BK163" s="311">
        <f t="shared" si="153"/>
        <v>0</v>
      </c>
      <c r="BL163" s="312">
        <f t="shared" si="154"/>
        <v>0</v>
      </c>
      <c r="BM163" s="249"/>
      <c r="BN163" s="313">
        <f t="shared" si="155"/>
        <v>0</v>
      </c>
      <c r="BO163" s="314">
        <f t="shared" si="156"/>
        <v>0</v>
      </c>
      <c r="BP163" s="314">
        <f t="shared" si="157"/>
        <v>0</v>
      </c>
      <c r="BQ163" s="315">
        <f t="shared" si="158"/>
        <v>0</v>
      </c>
      <c r="BR163" s="249"/>
      <c r="BS163" s="307">
        <f t="shared" si="159"/>
        <v>0</v>
      </c>
      <c r="BT163" s="308">
        <f t="shared" si="160"/>
        <v>0</v>
      </c>
      <c r="BU163" s="308">
        <f t="shared" si="161"/>
        <v>0</v>
      </c>
      <c r="BV163" s="309">
        <f t="shared" si="162"/>
        <v>0</v>
      </c>
      <c r="BW163" s="249"/>
      <c r="BX163" s="310">
        <f t="shared" si="163"/>
        <v>0</v>
      </c>
      <c r="BY163" s="311">
        <f t="shared" si="164"/>
        <v>0</v>
      </c>
      <c r="BZ163" s="311">
        <f t="shared" si="165"/>
        <v>0</v>
      </c>
      <c r="CA163" s="312">
        <f t="shared" si="166"/>
        <v>0</v>
      </c>
      <c r="CB163" s="249"/>
      <c r="CC163" s="313">
        <f t="shared" si="167"/>
        <v>0</v>
      </c>
      <c r="CD163" s="314">
        <f t="shared" si="168"/>
        <v>0</v>
      </c>
      <c r="CE163" s="314">
        <f t="shared" si="169"/>
        <v>0</v>
      </c>
      <c r="CF163" s="315">
        <f t="shared" si="170"/>
        <v>0</v>
      </c>
      <c r="CG163" s="249"/>
      <c r="CH163" s="316"/>
    </row>
    <row r="164" spans="1:86" ht="15.75" hidden="1" customHeight="1" outlineLevel="1" x14ac:dyDescent="0.2">
      <c r="A164" s="242" t="str">
        <f>IF(OR(E164&lt;&gt;FALSE,F164&lt;&gt;FALSE,G164&lt;&gt;FALSE),MAX(A$16:A163)+1,"")</f>
        <v/>
      </c>
      <c r="B164" s="284"/>
      <c r="C164" s="284" t="s">
        <v>42</v>
      </c>
      <c r="D164" s="245" t="s">
        <v>11</v>
      </c>
      <c r="E164" s="285" t="b">
        <v>0</v>
      </c>
      <c r="F164" s="286" t="b">
        <v>0</v>
      </c>
      <c r="G164" s="287" t="b">
        <v>0</v>
      </c>
      <c r="H164" s="249"/>
      <c r="I164" s="288">
        <v>1</v>
      </c>
      <c r="J164" s="249"/>
      <c r="K164" s="289"/>
      <c r="L164" s="290"/>
      <c r="M164" s="290"/>
      <c r="N164" s="290"/>
      <c r="O164" s="290"/>
      <c r="P164" s="290"/>
      <c r="Q164" s="290"/>
      <c r="R164" s="290"/>
      <c r="S164" s="290"/>
      <c r="T164" s="290"/>
      <c r="U164" s="289"/>
      <c r="V164" s="290"/>
      <c r="W164" s="290"/>
      <c r="X164" s="290"/>
      <c r="Y164" s="290"/>
      <c r="Z164" s="290"/>
      <c r="AA164" s="291"/>
      <c r="AB164" s="289"/>
      <c r="AC164" s="290"/>
      <c r="AD164" s="290"/>
      <c r="AE164" s="291"/>
      <c r="AF164" s="249"/>
      <c r="AG164" s="295">
        <f>IF(OR(AND($E164=TRUE,'[1]Pricing Summary'!$B$33=$E$2),AND($F164=TRUE,'[1]Pricing Summary'!$B$33=$F$2),AND($G164=TRUE,'[1]Pricing Summary'!$B$33=$G$2)),1,0)</f>
        <v>0</v>
      </c>
      <c r="AH164" s="295">
        <f t="shared" si="133"/>
        <v>0</v>
      </c>
      <c r="AI164" s="296">
        <f t="shared" si="134"/>
        <v>0</v>
      </c>
      <c r="AJ164" s="297">
        <f t="shared" si="135"/>
        <v>0</v>
      </c>
      <c r="AK164" s="249"/>
      <c r="AL164" s="298">
        <f t="shared" si="136"/>
        <v>0</v>
      </c>
      <c r="AM164" s="383">
        <f t="shared" si="137"/>
        <v>0</v>
      </c>
      <c r="AN164" s="383">
        <f t="shared" si="137"/>
        <v>0</v>
      </c>
      <c r="AO164" s="299">
        <f t="shared" si="137"/>
        <v>0</v>
      </c>
      <c r="AP164" s="300">
        <f>IF(AN$7=0,0,MROUND(AN164/AN$7*AP$8/'[1]Core Assumptions'!$D$28,'[1]Core Assumptions'!$E$23))</f>
        <v>0</v>
      </c>
      <c r="AQ164" s="301">
        <f t="shared" si="139"/>
        <v>0</v>
      </c>
      <c r="AR164" s="302">
        <f t="shared" si="140"/>
        <v>0</v>
      </c>
      <c r="AS164" s="249"/>
      <c r="AT164" s="303">
        <f t="shared" si="141"/>
        <v>0</v>
      </c>
      <c r="AU164" s="267"/>
      <c r="AV164" s="295">
        <f>IF(OR(AND($E164=TRUE,'[1]Pricing Summary'!$B$33="Ultimate"),AND($F164=TRUE,'[1]Pricing Summary'!$B$33="Enhanced"),AND($G164=TRUE,'[1]Pricing Summary'!$B$33="Essential")),1,0)</f>
        <v>0</v>
      </c>
      <c r="AW164" s="304">
        <f t="shared" si="142"/>
        <v>0</v>
      </c>
      <c r="AX164" s="305">
        <f t="shared" si="143"/>
        <v>0</v>
      </c>
      <c r="AY164" s="267"/>
      <c r="AZ164" s="304">
        <f t="shared" si="144"/>
        <v>0</v>
      </c>
      <c r="BA164" s="222">
        <f t="shared" si="145"/>
        <v>0</v>
      </c>
      <c r="BB164" s="306">
        <f t="shared" si="146"/>
        <v>0</v>
      </c>
      <c r="BC164" s="272"/>
      <c r="BD164" s="307">
        <f t="shared" si="147"/>
        <v>0</v>
      </c>
      <c r="BE164" s="308">
        <f t="shared" si="148"/>
        <v>0</v>
      </c>
      <c r="BF164" s="308">
        <f t="shared" si="149"/>
        <v>0</v>
      </c>
      <c r="BG164" s="309">
        <f t="shared" si="150"/>
        <v>0</v>
      </c>
      <c r="BH164" s="249"/>
      <c r="BI164" s="310">
        <f t="shared" si="151"/>
        <v>0</v>
      </c>
      <c r="BJ164" s="311">
        <f t="shared" si="152"/>
        <v>0</v>
      </c>
      <c r="BK164" s="311">
        <f t="shared" si="153"/>
        <v>0</v>
      </c>
      <c r="BL164" s="312">
        <f t="shared" si="154"/>
        <v>0</v>
      </c>
      <c r="BM164" s="249"/>
      <c r="BN164" s="313">
        <f t="shared" si="155"/>
        <v>0</v>
      </c>
      <c r="BO164" s="314">
        <f t="shared" si="156"/>
        <v>0</v>
      </c>
      <c r="BP164" s="314">
        <f t="shared" si="157"/>
        <v>0</v>
      </c>
      <c r="BQ164" s="315">
        <f t="shared" si="158"/>
        <v>0</v>
      </c>
      <c r="BR164" s="249"/>
      <c r="BS164" s="307">
        <f t="shared" si="159"/>
        <v>0</v>
      </c>
      <c r="BT164" s="308">
        <f t="shared" si="160"/>
        <v>0</v>
      </c>
      <c r="BU164" s="308">
        <f t="shared" si="161"/>
        <v>0</v>
      </c>
      <c r="BV164" s="309">
        <f t="shared" si="162"/>
        <v>0</v>
      </c>
      <c r="BW164" s="249"/>
      <c r="BX164" s="310">
        <f t="shared" si="163"/>
        <v>0</v>
      </c>
      <c r="BY164" s="311">
        <f t="shared" si="164"/>
        <v>0</v>
      </c>
      <c r="BZ164" s="311">
        <f t="shared" si="165"/>
        <v>0</v>
      </c>
      <c r="CA164" s="312">
        <f t="shared" si="166"/>
        <v>0</v>
      </c>
      <c r="CB164" s="249"/>
      <c r="CC164" s="313">
        <f t="shared" si="167"/>
        <v>0</v>
      </c>
      <c r="CD164" s="314">
        <f t="shared" si="168"/>
        <v>0</v>
      </c>
      <c r="CE164" s="314">
        <f t="shared" si="169"/>
        <v>0</v>
      </c>
      <c r="CF164" s="315">
        <f t="shared" si="170"/>
        <v>0</v>
      </c>
      <c r="CG164" s="249"/>
      <c r="CH164" s="316"/>
    </row>
    <row r="165" spans="1:86" ht="15.75" hidden="1" customHeight="1" outlineLevel="1" x14ac:dyDescent="0.2">
      <c r="A165" s="242" t="str">
        <f>IF(OR(E165&lt;&gt;FALSE,F165&lt;&gt;FALSE,G165&lt;&gt;FALSE),MAX(A$16:A164)+1,"")</f>
        <v/>
      </c>
      <c r="B165" s="284"/>
      <c r="C165" s="284" t="s">
        <v>42</v>
      </c>
      <c r="D165" s="245" t="s">
        <v>11</v>
      </c>
      <c r="E165" s="285" t="b">
        <v>0</v>
      </c>
      <c r="F165" s="286" t="b">
        <v>0</v>
      </c>
      <c r="G165" s="287" t="b">
        <v>0</v>
      </c>
      <c r="H165" s="249"/>
      <c r="I165" s="288">
        <v>1</v>
      </c>
      <c r="J165" s="249"/>
      <c r="K165" s="289"/>
      <c r="L165" s="290"/>
      <c r="M165" s="290"/>
      <c r="N165" s="290"/>
      <c r="O165" s="290"/>
      <c r="P165" s="290"/>
      <c r="Q165" s="290"/>
      <c r="R165" s="290"/>
      <c r="S165" s="290"/>
      <c r="T165" s="290"/>
      <c r="U165" s="289"/>
      <c r="V165" s="290"/>
      <c r="W165" s="290"/>
      <c r="X165" s="290"/>
      <c r="Y165" s="290"/>
      <c r="Z165" s="290"/>
      <c r="AA165" s="291"/>
      <c r="AB165" s="289"/>
      <c r="AC165" s="290"/>
      <c r="AD165" s="290"/>
      <c r="AE165" s="291"/>
      <c r="AF165" s="249"/>
      <c r="AG165" s="295">
        <f>IF(OR(AND($E165=TRUE,'[1]Pricing Summary'!$B$33=$E$2),AND($F165=TRUE,'[1]Pricing Summary'!$B$33=$F$2),AND($G165=TRUE,'[1]Pricing Summary'!$B$33=$G$2)),1,0)</f>
        <v>0</v>
      </c>
      <c r="AH165" s="295">
        <f t="shared" si="133"/>
        <v>0</v>
      </c>
      <c r="AI165" s="296">
        <f t="shared" ref="AI165:AI187" si="171">$I165*SUM($K165:$AE165)*$AH165</f>
        <v>0</v>
      </c>
      <c r="AJ165" s="297">
        <f t="shared" ref="AJ165:AJ187" si="172">IFERROR(SUM($U165:$AA165)/SUM($K165:$AA165)*$AH165,0)</f>
        <v>0</v>
      </c>
      <c r="AK165" s="249"/>
      <c r="AL165" s="298">
        <f t="shared" si="136"/>
        <v>0</v>
      </c>
      <c r="AM165" s="383">
        <f t="shared" si="137"/>
        <v>0</v>
      </c>
      <c r="AN165" s="383">
        <f t="shared" si="137"/>
        <v>0</v>
      </c>
      <c r="AO165" s="299">
        <f t="shared" si="137"/>
        <v>0</v>
      </c>
      <c r="AP165" s="300">
        <f>IF(AN$7=0,0,MROUND(AN165/AN$7*AP$8/'[1]Core Assumptions'!$D$28,'[1]Core Assumptions'!$E$23))</f>
        <v>0</v>
      </c>
      <c r="AQ165" s="301">
        <f t="shared" si="139"/>
        <v>0</v>
      </c>
      <c r="AR165" s="302">
        <f t="shared" si="140"/>
        <v>0</v>
      </c>
      <c r="AS165" s="249"/>
      <c r="AT165" s="303">
        <f t="shared" si="141"/>
        <v>0</v>
      </c>
      <c r="AU165" s="267"/>
      <c r="AV165" s="295">
        <f>IF(OR(AND($E165=TRUE,'[1]Pricing Summary'!$B$33="Ultimate"),AND($F165=TRUE,'[1]Pricing Summary'!$B$33="Enhanced"),AND($G165=TRUE,'[1]Pricing Summary'!$B$33="Essential")),1,0)</f>
        <v>0</v>
      </c>
      <c r="AW165" s="304">
        <f t="shared" si="142"/>
        <v>0</v>
      </c>
      <c r="AX165" s="305">
        <f t="shared" si="143"/>
        <v>0</v>
      </c>
      <c r="AY165" s="267"/>
      <c r="AZ165" s="304">
        <f t="shared" si="144"/>
        <v>0</v>
      </c>
      <c r="BA165" s="222">
        <f t="shared" si="145"/>
        <v>0</v>
      </c>
      <c r="BB165" s="306">
        <f t="shared" si="146"/>
        <v>0</v>
      </c>
      <c r="BC165" s="272"/>
      <c r="BD165" s="307">
        <f t="shared" si="147"/>
        <v>0</v>
      </c>
      <c r="BE165" s="308">
        <f t="shared" si="148"/>
        <v>0</v>
      </c>
      <c r="BF165" s="308">
        <f t="shared" si="149"/>
        <v>0</v>
      </c>
      <c r="BG165" s="309">
        <f t="shared" si="150"/>
        <v>0</v>
      </c>
      <c r="BH165" s="249"/>
      <c r="BI165" s="310">
        <f t="shared" si="151"/>
        <v>0</v>
      </c>
      <c r="BJ165" s="311">
        <f t="shared" si="152"/>
        <v>0</v>
      </c>
      <c r="BK165" s="311">
        <f t="shared" si="153"/>
        <v>0</v>
      </c>
      <c r="BL165" s="312">
        <f t="shared" si="154"/>
        <v>0</v>
      </c>
      <c r="BM165" s="249"/>
      <c r="BN165" s="313">
        <f t="shared" si="155"/>
        <v>0</v>
      </c>
      <c r="BO165" s="314">
        <f t="shared" si="156"/>
        <v>0</v>
      </c>
      <c r="BP165" s="314">
        <f t="shared" si="157"/>
        <v>0</v>
      </c>
      <c r="BQ165" s="315">
        <f t="shared" si="158"/>
        <v>0</v>
      </c>
      <c r="BR165" s="249"/>
      <c r="BS165" s="307">
        <f t="shared" si="159"/>
        <v>0</v>
      </c>
      <c r="BT165" s="308">
        <f t="shared" si="160"/>
        <v>0</v>
      </c>
      <c r="BU165" s="308">
        <f t="shared" si="161"/>
        <v>0</v>
      </c>
      <c r="BV165" s="309">
        <f t="shared" si="162"/>
        <v>0</v>
      </c>
      <c r="BW165" s="249"/>
      <c r="BX165" s="310">
        <f t="shared" si="163"/>
        <v>0</v>
      </c>
      <c r="BY165" s="311">
        <f t="shared" si="164"/>
        <v>0</v>
      </c>
      <c r="BZ165" s="311">
        <f t="shared" si="165"/>
        <v>0</v>
      </c>
      <c r="CA165" s="312">
        <f t="shared" si="166"/>
        <v>0</v>
      </c>
      <c r="CB165" s="249"/>
      <c r="CC165" s="313">
        <f t="shared" si="167"/>
        <v>0</v>
      </c>
      <c r="CD165" s="314">
        <f t="shared" si="168"/>
        <v>0</v>
      </c>
      <c r="CE165" s="314">
        <f t="shared" si="169"/>
        <v>0</v>
      </c>
      <c r="CF165" s="315">
        <f t="shared" si="170"/>
        <v>0</v>
      </c>
      <c r="CG165" s="249"/>
      <c r="CH165" s="316"/>
    </row>
    <row r="166" spans="1:86" ht="15.75" hidden="1" customHeight="1" outlineLevel="1" x14ac:dyDescent="0.2">
      <c r="A166" s="242" t="str">
        <f>IF(OR(E166&lt;&gt;FALSE,F166&lt;&gt;FALSE,G166&lt;&gt;FALSE),MAX(A$16:A165)+1,"")</f>
        <v/>
      </c>
      <c r="B166" s="284"/>
      <c r="C166" s="284" t="s">
        <v>42</v>
      </c>
      <c r="D166" s="245" t="s">
        <v>11</v>
      </c>
      <c r="E166" s="285" t="b">
        <v>0</v>
      </c>
      <c r="F166" s="286" t="b">
        <v>0</v>
      </c>
      <c r="G166" s="287" t="b">
        <v>0</v>
      </c>
      <c r="H166" s="249"/>
      <c r="I166" s="288">
        <v>1</v>
      </c>
      <c r="J166" s="249"/>
      <c r="K166" s="289"/>
      <c r="L166" s="290"/>
      <c r="M166" s="290"/>
      <c r="N166" s="290"/>
      <c r="O166" s="290"/>
      <c r="P166" s="290"/>
      <c r="Q166" s="290"/>
      <c r="R166" s="290"/>
      <c r="S166" s="290"/>
      <c r="T166" s="290"/>
      <c r="U166" s="289"/>
      <c r="V166" s="290"/>
      <c r="W166" s="290"/>
      <c r="X166" s="290"/>
      <c r="Y166" s="290"/>
      <c r="Z166" s="290"/>
      <c r="AA166" s="291"/>
      <c r="AB166" s="289"/>
      <c r="AC166" s="290"/>
      <c r="AD166" s="290"/>
      <c r="AE166" s="291"/>
      <c r="AF166" s="249"/>
      <c r="AG166" s="295">
        <f>IF(OR(AND($E166=TRUE,'[1]Pricing Summary'!$B$33=$E$2),AND($F166=TRUE,'[1]Pricing Summary'!$B$33=$F$2),AND($G166=TRUE,'[1]Pricing Summary'!$B$33=$G$2)),1,0)</f>
        <v>0</v>
      </c>
      <c r="AH166" s="295">
        <f t="shared" si="133"/>
        <v>0</v>
      </c>
      <c r="AI166" s="296">
        <f t="shared" si="171"/>
        <v>0</v>
      </c>
      <c r="AJ166" s="297">
        <f t="shared" si="172"/>
        <v>0</v>
      </c>
      <c r="AK166" s="249"/>
      <c r="AL166" s="298">
        <f t="shared" si="136"/>
        <v>0</v>
      </c>
      <c r="AM166" s="383">
        <f t="shared" si="137"/>
        <v>0</v>
      </c>
      <c r="AN166" s="383">
        <f t="shared" si="137"/>
        <v>0</v>
      </c>
      <c r="AO166" s="299">
        <f t="shared" si="137"/>
        <v>0</v>
      </c>
      <c r="AP166" s="300">
        <f>IF(AN$7=0,0,MROUND(AN166/AN$7*AP$8/'[1]Core Assumptions'!$D$28,'[1]Core Assumptions'!$E$23))</f>
        <v>0</v>
      </c>
      <c r="AQ166" s="301">
        <f t="shared" si="139"/>
        <v>0</v>
      </c>
      <c r="AR166" s="302">
        <f t="shared" si="140"/>
        <v>0</v>
      </c>
      <c r="AS166" s="249"/>
      <c r="AT166" s="303">
        <f t="shared" si="141"/>
        <v>0</v>
      </c>
      <c r="AU166" s="267"/>
      <c r="AV166" s="295">
        <f>IF(OR(AND($E166=TRUE,'[1]Pricing Summary'!$B$33="Ultimate"),AND($F166=TRUE,'[1]Pricing Summary'!$B$33="Enhanced"),AND($G166=TRUE,'[1]Pricing Summary'!$B$33="Essential")),1,0)</f>
        <v>0</v>
      </c>
      <c r="AW166" s="304">
        <f t="shared" si="142"/>
        <v>0</v>
      </c>
      <c r="AX166" s="305">
        <f t="shared" si="143"/>
        <v>0</v>
      </c>
      <c r="AY166" s="267"/>
      <c r="AZ166" s="304">
        <f t="shared" si="144"/>
        <v>0</v>
      </c>
      <c r="BA166" s="222">
        <f t="shared" si="145"/>
        <v>0</v>
      </c>
      <c r="BB166" s="306">
        <f t="shared" si="146"/>
        <v>0</v>
      </c>
      <c r="BC166" s="272"/>
      <c r="BD166" s="307">
        <f t="shared" si="147"/>
        <v>0</v>
      </c>
      <c r="BE166" s="308">
        <f t="shared" si="148"/>
        <v>0</v>
      </c>
      <c r="BF166" s="308">
        <f t="shared" si="149"/>
        <v>0</v>
      </c>
      <c r="BG166" s="309">
        <f t="shared" si="150"/>
        <v>0</v>
      </c>
      <c r="BH166" s="249"/>
      <c r="BI166" s="310">
        <f t="shared" si="151"/>
        <v>0</v>
      </c>
      <c r="BJ166" s="311">
        <f t="shared" si="152"/>
        <v>0</v>
      </c>
      <c r="BK166" s="311">
        <f t="shared" si="153"/>
        <v>0</v>
      </c>
      <c r="BL166" s="312">
        <f t="shared" si="154"/>
        <v>0</v>
      </c>
      <c r="BM166" s="249"/>
      <c r="BN166" s="313">
        <f t="shared" si="155"/>
        <v>0</v>
      </c>
      <c r="BO166" s="314">
        <f t="shared" si="156"/>
        <v>0</v>
      </c>
      <c r="BP166" s="314">
        <f t="shared" si="157"/>
        <v>0</v>
      </c>
      <c r="BQ166" s="315">
        <f t="shared" si="158"/>
        <v>0</v>
      </c>
      <c r="BR166" s="249"/>
      <c r="BS166" s="307">
        <f t="shared" si="159"/>
        <v>0</v>
      </c>
      <c r="BT166" s="308">
        <f t="shared" si="160"/>
        <v>0</v>
      </c>
      <c r="BU166" s="308">
        <f t="shared" si="161"/>
        <v>0</v>
      </c>
      <c r="BV166" s="309">
        <f t="shared" si="162"/>
        <v>0</v>
      </c>
      <c r="BW166" s="249"/>
      <c r="BX166" s="310">
        <f t="shared" si="163"/>
        <v>0</v>
      </c>
      <c r="BY166" s="311">
        <f t="shared" si="164"/>
        <v>0</v>
      </c>
      <c r="BZ166" s="311">
        <f t="shared" si="165"/>
        <v>0</v>
      </c>
      <c r="CA166" s="312">
        <f t="shared" si="166"/>
        <v>0</v>
      </c>
      <c r="CB166" s="249"/>
      <c r="CC166" s="313">
        <f t="shared" si="167"/>
        <v>0</v>
      </c>
      <c r="CD166" s="314">
        <f t="shared" si="168"/>
        <v>0</v>
      </c>
      <c r="CE166" s="314">
        <f t="shared" si="169"/>
        <v>0</v>
      </c>
      <c r="CF166" s="315">
        <f t="shared" si="170"/>
        <v>0</v>
      </c>
      <c r="CG166" s="249"/>
      <c r="CH166" s="316"/>
    </row>
    <row r="167" spans="1:86" ht="15.75" hidden="1" customHeight="1" outlineLevel="1" x14ac:dyDescent="0.2">
      <c r="A167" s="242" t="str">
        <f>IF(OR(E167&lt;&gt;FALSE,F167&lt;&gt;FALSE,G167&lt;&gt;FALSE),MAX(A$16:A166)+1,"")</f>
        <v/>
      </c>
      <c r="B167" s="284"/>
      <c r="C167" s="284" t="s">
        <v>42</v>
      </c>
      <c r="D167" s="245" t="s">
        <v>11</v>
      </c>
      <c r="E167" s="285" t="b">
        <v>0</v>
      </c>
      <c r="F167" s="286" t="b">
        <v>0</v>
      </c>
      <c r="G167" s="287" t="b">
        <v>0</v>
      </c>
      <c r="H167" s="249"/>
      <c r="I167" s="288">
        <v>1</v>
      </c>
      <c r="J167" s="249"/>
      <c r="K167" s="289"/>
      <c r="L167" s="290"/>
      <c r="M167" s="290"/>
      <c r="N167" s="290"/>
      <c r="O167" s="290"/>
      <c r="P167" s="290"/>
      <c r="Q167" s="290"/>
      <c r="R167" s="290"/>
      <c r="S167" s="290"/>
      <c r="T167" s="290"/>
      <c r="U167" s="289"/>
      <c r="V167" s="290"/>
      <c r="W167" s="290"/>
      <c r="X167" s="290"/>
      <c r="Y167" s="290"/>
      <c r="Z167" s="290"/>
      <c r="AA167" s="291"/>
      <c r="AB167" s="289"/>
      <c r="AC167" s="290"/>
      <c r="AD167" s="290"/>
      <c r="AE167" s="291"/>
      <c r="AF167" s="249"/>
      <c r="AG167" s="295">
        <f>IF(OR(AND($E167=TRUE,'[1]Pricing Summary'!$B$33=$E$2),AND($F167=TRUE,'[1]Pricing Summary'!$B$33=$F$2),AND($G167=TRUE,'[1]Pricing Summary'!$B$33=$G$2)),1,0)</f>
        <v>0</v>
      </c>
      <c r="AH167" s="295">
        <f t="shared" si="133"/>
        <v>0</v>
      </c>
      <c r="AI167" s="296">
        <f t="shared" si="171"/>
        <v>0</v>
      </c>
      <c r="AJ167" s="297">
        <f t="shared" si="172"/>
        <v>0</v>
      </c>
      <c r="AK167" s="249"/>
      <c r="AL167" s="298">
        <f t="shared" si="136"/>
        <v>0</v>
      </c>
      <c r="AM167" s="383">
        <f t="shared" si="137"/>
        <v>0</v>
      </c>
      <c r="AN167" s="383">
        <f t="shared" si="137"/>
        <v>0</v>
      </c>
      <c r="AO167" s="299">
        <f t="shared" si="137"/>
        <v>0</v>
      </c>
      <c r="AP167" s="300">
        <f>IF(AN$7=0,0,MROUND(AN167/AN$7*AP$8/'[1]Core Assumptions'!$D$28,'[1]Core Assumptions'!$E$23))</f>
        <v>0</v>
      </c>
      <c r="AQ167" s="301">
        <f t="shared" si="139"/>
        <v>0</v>
      </c>
      <c r="AR167" s="302">
        <f t="shared" si="140"/>
        <v>0</v>
      </c>
      <c r="AS167" s="249"/>
      <c r="AT167" s="303">
        <f t="shared" si="141"/>
        <v>0</v>
      </c>
      <c r="AU167" s="267"/>
      <c r="AV167" s="295">
        <f>IF(OR(AND($E167=TRUE,'[1]Pricing Summary'!$B$33="Ultimate"),AND($F167=TRUE,'[1]Pricing Summary'!$B$33="Enhanced"),AND($G167=TRUE,'[1]Pricing Summary'!$B$33="Essential")),1,0)</f>
        <v>0</v>
      </c>
      <c r="AW167" s="304">
        <f t="shared" si="142"/>
        <v>0</v>
      </c>
      <c r="AX167" s="305">
        <f t="shared" si="143"/>
        <v>0</v>
      </c>
      <c r="AY167" s="267"/>
      <c r="AZ167" s="304">
        <f t="shared" si="144"/>
        <v>0</v>
      </c>
      <c r="BA167" s="222">
        <f t="shared" si="145"/>
        <v>0</v>
      </c>
      <c r="BB167" s="306">
        <f t="shared" si="146"/>
        <v>0</v>
      </c>
      <c r="BC167" s="272"/>
      <c r="BD167" s="307">
        <f t="shared" si="147"/>
        <v>0</v>
      </c>
      <c r="BE167" s="308">
        <f t="shared" si="148"/>
        <v>0</v>
      </c>
      <c r="BF167" s="308">
        <f t="shared" si="149"/>
        <v>0</v>
      </c>
      <c r="BG167" s="309">
        <f t="shared" si="150"/>
        <v>0</v>
      </c>
      <c r="BH167" s="249"/>
      <c r="BI167" s="310">
        <f t="shared" si="151"/>
        <v>0</v>
      </c>
      <c r="BJ167" s="311">
        <f t="shared" si="152"/>
        <v>0</v>
      </c>
      <c r="BK167" s="311">
        <f t="shared" si="153"/>
        <v>0</v>
      </c>
      <c r="BL167" s="312">
        <f t="shared" si="154"/>
        <v>0</v>
      </c>
      <c r="BM167" s="249"/>
      <c r="BN167" s="313">
        <f t="shared" si="155"/>
        <v>0</v>
      </c>
      <c r="BO167" s="314">
        <f t="shared" si="156"/>
        <v>0</v>
      </c>
      <c r="BP167" s="314">
        <f t="shared" si="157"/>
        <v>0</v>
      </c>
      <c r="BQ167" s="315">
        <f t="shared" si="158"/>
        <v>0</v>
      </c>
      <c r="BR167" s="249"/>
      <c r="BS167" s="307">
        <f t="shared" si="159"/>
        <v>0</v>
      </c>
      <c r="BT167" s="308">
        <f t="shared" si="160"/>
        <v>0</v>
      </c>
      <c r="BU167" s="308">
        <f t="shared" si="161"/>
        <v>0</v>
      </c>
      <c r="BV167" s="309">
        <f t="shared" si="162"/>
        <v>0</v>
      </c>
      <c r="BW167" s="249"/>
      <c r="BX167" s="310">
        <f t="shared" si="163"/>
        <v>0</v>
      </c>
      <c r="BY167" s="311">
        <f t="shared" si="164"/>
        <v>0</v>
      </c>
      <c r="BZ167" s="311">
        <f t="shared" si="165"/>
        <v>0</v>
      </c>
      <c r="CA167" s="312">
        <f t="shared" si="166"/>
        <v>0</v>
      </c>
      <c r="CB167" s="249"/>
      <c r="CC167" s="313">
        <f t="shared" si="167"/>
        <v>0</v>
      </c>
      <c r="CD167" s="314">
        <f t="shared" si="168"/>
        <v>0</v>
      </c>
      <c r="CE167" s="314">
        <f t="shared" si="169"/>
        <v>0</v>
      </c>
      <c r="CF167" s="315">
        <f t="shared" si="170"/>
        <v>0</v>
      </c>
      <c r="CG167" s="249"/>
      <c r="CH167" s="316"/>
    </row>
    <row r="168" spans="1:86" ht="15.75" hidden="1" customHeight="1" outlineLevel="1" x14ac:dyDescent="0.2">
      <c r="A168" s="242" t="str">
        <f>IF(OR(E168&lt;&gt;FALSE,F168&lt;&gt;FALSE,G168&lt;&gt;FALSE),MAX(A$16:A167)+1,"")</f>
        <v/>
      </c>
      <c r="B168" s="284"/>
      <c r="C168" s="284" t="s">
        <v>42</v>
      </c>
      <c r="D168" s="245" t="s">
        <v>11</v>
      </c>
      <c r="E168" s="285" t="b">
        <v>0</v>
      </c>
      <c r="F168" s="286" t="b">
        <v>0</v>
      </c>
      <c r="G168" s="287" t="b">
        <v>0</v>
      </c>
      <c r="H168" s="249"/>
      <c r="I168" s="288">
        <v>1</v>
      </c>
      <c r="J168" s="249"/>
      <c r="K168" s="289"/>
      <c r="L168" s="290"/>
      <c r="M168" s="290"/>
      <c r="N168" s="290"/>
      <c r="O168" s="290"/>
      <c r="P168" s="290"/>
      <c r="Q168" s="290"/>
      <c r="R168" s="290"/>
      <c r="S168" s="290"/>
      <c r="T168" s="290"/>
      <c r="U168" s="289"/>
      <c r="V168" s="290"/>
      <c r="W168" s="290"/>
      <c r="X168" s="290"/>
      <c r="Y168" s="290"/>
      <c r="Z168" s="290"/>
      <c r="AA168" s="291"/>
      <c r="AB168" s="289"/>
      <c r="AC168" s="290"/>
      <c r="AD168" s="290"/>
      <c r="AE168" s="291"/>
      <c r="AF168" s="249"/>
      <c r="AG168" s="295">
        <f>IF(OR(AND($E168=TRUE,'[1]Pricing Summary'!$B$33=$E$2),AND($F168=TRUE,'[1]Pricing Summary'!$B$33=$F$2),AND($G168=TRUE,'[1]Pricing Summary'!$B$33=$G$2)),1,0)</f>
        <v>0</v>
      </c>
      <c r="AH168" s="295">
        <f t="shared" si="133"/>
        <v>0</v>
      </c>
      <c r="AI168" s="296">
        <f t="shared" si="171"/>
        <v>0</v>
      </c>
      <c r="AJ168" s="297">
        <f t="shared" si="172"/>
        <v>0</v>
      </c>
      <c r="AK168" s="249"/>
      <c r="AL168" s="298">
        <f t="shared" si="136"/>
        <v>0</v>
      </c>
      <c r="AM168" s="383">
        <f t="shared" si="137"/>
        <v>0</v>
      </c>
      <c r="AN168" s="383">
        <f t="shared" si="137"/>
        <v>0</v>
      </c>
      <c r="AO168" s="299">
        <f t="shared" si="137"/>
        <v>0</v>
      </c>
      <c r="AP168" s="300">
        <f>IF(AN$7=0,0,MROUND(AN168/AN$7*AP$8/'[1]Core Assumptions'!$D$28,'[1]Core Assumptions'!$E$23))</f>
        <v>0</v>
      </c>
      <c r="AQ168" s="301">
        <f t="shared" si="139"/>
        <v>0</v>
      </c>
      <c r="AR168" s="302">
        <f t="shared" si="140"/>
        <v>0</v>
      </c>
      <c r="AS168" s="249"/>
      <c r="AT168" s="303">
        <f t="shared" si="141"/>
        <v>0</v>
      </c>
      <c r="AU168" s="267"/>
      <c r="AV168" s="295">
        <f>IF(OR(AND($E168=TRUE,'[1]Pricing Summary'!$B$33="Ultimate"),AND($F168=TRUE,'[1]Pricing Summary'!$B$33="Enhanced"),AND($G168=TRUE,'[1]Pricing Summary'!$B$33="Essential")),1,0)</f>
        <v>0</v>
      </c>
      <c r="AW168" s="304">
        <f t="shared" si="142"/>
        <v>0</v>
      </c>
      <c r="AX168" s="305">
        <f t="shared" si="143"/>
        <v>0</v>
      </c>
      <c r="AY168" s="267"/>
      <c r="AZ168" s="304">
        <f t="shared" si="144"/>
        <v>0</v>
      </c>
      <c r="BA168" s="222">
        <f t="shared" si="145"/>
        <v>0</v>
      </c>
      <c r="BB168" s="306">
        <f t="shared" si="146"/>
        <v>0</v>
      </c>
      <c r="BC168" s="272"/>
      <c r="BD168" s="307">
        <f t="shared" si="147"/>
        <v>0</v>
      </c>
      <c r="BE168" s="308">
        <f t="shared" si="148"/>
        <v>0</v>
      </c>
      <c r="BF168" s="308">
        <f t="shared" si="149"/>
        <v>0</v>
      </c>
      <c r="BG168" s="309">
        <f t="shared" si="150"/>
        <v>0</v>
      </c>
      <c r="BH168" s="249"/>
      <c r="BI168" s="310">
        <f t="shared" si="151"/>
        <v>0</v>
      </c>
      <c r="BJ168" s="311">
        <f t="shared" si="152"/>
        <v>0</v>
      </c>
      <c r="BK168" s="311">
        <f t="shared" si="153"/>
        <v>0</v>
      </c>
      <c r="BL168" s="312">
        <f t="shared" si="154"/>
        <v>0</v>
      </c>
      <c r="BM168" s="249"/>
      <c r="BN168" s="313">
        <f t="shared" si="155"/>
        <v>0</v>
      </c>
      <c r="BO168" s="314">
        <f t="shared" si="156"/>
        <v>0</v>
      </c>
      <c r="BP168" s="314">
        <f t="shared" si="157"/>
        <v>0</v>
      </c>
      <c r="BQ168" s="315">
        <f t="shared" si="158"/>
        <v>0</v>
      </c>
      <c r="BR168" s="249"/>
      <c r="BS168" s="307">
        <f t="shared" si="159"/>
        <v>0</v>
      </c>
      <c r="BT168" s="308">
        <f t="shared" si="160"/>
        <v>0</v>
      </c>
      <c r="BU168" s="308">
        <f t="shared" si="161"/>
        <v>0</v>
      </c>
      <c r="BV168" s="309">
        <f t="shared" si="162"/>
        <v>0</v>
      </c>
      <c r="BW168" s="249"/>
      <c r="BX168" s="310">
        <f t="shared" si="163"/>
        <v>0</v>
      </c>
      <c r="BY168" s="311">
        <f t="shared" si="164"/>
        <v>0</v>
      </c>
      <c r="BZ168" s="311">
        <f t="shared" si="165"/>
        <v>0</v>
      </c>
      <c r="CA168" s="312">
        <f t="shared" si="166"/>
        <v>0</v>
      </c>
      <c r="CB168" s="249"/>
      <c r="CC168" s="313">
        <f t="shared" si="167"/>
        <v>0</v>
      </c>
      <c r="CD168" s="314">
        <f t="shared" si="168"/>
        <v>0</v>
      </c>
      <c r="CE168" s="314">
        <f t="shared" si="169"/>
        <v>0</v>
      </c>
      <c r="CF168" s="315">
        <f t="shared" si="170"/>
        <v>0</v>
      </c>
      <c r="CG168" s="249"/>
      <c r="CH168" s="316"/>
    </row>
    <row r="169" spans="1:86" ht="15.75" hidden="1" customHeight="1" outlineLevel="1" x14ac:dyDescent="0.2">
      <c r="A169" s="242" t="str">
        <f>IF(OR(E169&lt;&gt;FALSE,F169&lt;&gt;FALSE,G169&lt;&gt;FALSE),MAX(A$16:A168)+1,"")</f>
        <v/>
      </c>
      <c r="B169" s="284"/>
      <c r="C169" s="284" t="s">
        <v>42</v>
      </c>
      <c r="D169" s="245" t="s">
        <v>11</v>
      </c>
      <c r="E169" s="285" t="b">
        <v>0</v>
      </c>
      <c r="F169" s="286" t="b">
        <v>0</v>
      </c>
      <c r="G169" s="287" t="b">
        <v>0</v>
      </c>
      <c r="H169" s="249"/>
      <c r="I169" s="288">
        <v>1</v>
      </c>
      <c r="J169" s="249"/>
      <c r="K169" s="289"/>
      <c r="L169" s="290"/>
      <c r="M169" s="290"/>
      <c r="N169" s="290"/>
      <c r="O169" s="290"/>
      <c r="P169" s="290"/>
      <c r="Q169" s="290"/>
      <c r="R169" s="290"/>
      <c r="S169" s="290"/>
      <c r="T169" s="290"/>
      <c r="U169" s="289"/>
      <c r="V169" s="290"/>
      <c r="W169" s="290"/>
      <c r="X169" s="290"/>
      <c r="Y169" s="290"/>
      <c r="Z169" s="290"/>
      <c r="AA169" s="291"/>
      <c r="AB169" s="289"/>
      <c r="AC169" s="290"/>
      <c r="AD169" s="290"/>
      <c r="AE169" s="291"/>
      <c r="AF169" s="249"/>
      <c r="AG169" s="295">
        <f>IF(OR(AND($E169=TRUE,'[1]Pricing Summary'!$B$33=$E$2),AND($F169=TRUE,'[1]Pricing Summary'!$B$33=$F$2),AND($G169=TRUE,'[1]Pricing Summary'!$B$33=$G$2)),1,0)</f>
        <v>0</v>
      </c>
      <c r="AH169" s="295">
        <f t="shared" si="133"/>
        <v>0</v>
      </c>
      <c r="AI169" s="296">
        <f t="shared" si="171"/>
        <v>0</v>
      </c>
      <c r="AJ169" s="297">
        <f t="shared" si="172"/>
        <v>0</v>
      </c>
      <c r="AK169" s="249"/>
      <c r="AL169" s="298">
        <f t="shared" si="136"/>
        <v>0</v>
      </c>
      <c r="AM169" s="383">
        <f t="shared" si="137"/>
        <v>0</v>
      </c>
      <c r="AN169" s="383">
        <f t="shared" si="137"/>
        <v>0</v>
      </c>
      <c r="AO169" s="299">
        <f t="shared" si="137"/>
        <v>0</v>
      </c>
      <c r="AP169" s="300">
        <f>IF(AN$7=0,0,MROUND(AN169/AN$7*AP$8/'[1]Core Assumptions'!$D$28,'[1]Core Assumptions'!$E$23))</f>
        <v>0</v>
      </c>
      <c r="AQ169" s="301">
        <f t="shared" si="139"/>
        <v>0</v>
      </c>
      <c r="AR169" s="302">
        <f t="shared" si="140"/>
        <v>0</v>
      </c>
      <c r="AS169" s="249"/>
      <c r="AT169" s="303">
        <f t="shared" si="141"/>
        <v>0</v>
      </c>
      <c r="AU169" s="267"/>
      <c r="AV169" s="295">
        <f>IF(OR(AND($E169=TRUE,'[1]Pricing Summary'!$B$33="Ultimate"),AND($F169=TRUE,'[1]Pricing Summary'!$B$33="Enhanced"),AND($G169=TRUE,'[1]Pricing Summary'!$B$33="Essential")),1,0)</f>
        <v>0</v>
      </c>
      <c r="AW169" s="304">
        <f t="shared" si="142"/>
        <v>0</v>
      </c>
      <c r="AX169" s="305">
        <f t="shared" si="143"/>
        <v>0</v>
      </c>
      <c r="AY169" s="267"/>
      <c r="AZ169" s="304">
        <f t="shared" si="144"/>
        <v>0</v>
      </c>
      <c r="BA169" s="222">
        <f t="shared" si="145"/>
        <v>0</v>
      </c>
      <c r="BB169" s="306">
        <f t="shared" si="146"/>
        <v>0</v>
      </c>
      <c r="BC169" s="272"/>
      <c r="BD169" s="307">
        <f t="shared" si="147"/>
        <v>0</v>
      </c>
      <c r="BE169" s="308">
        <f t="shared" si="148"/>
        <v>0</v>
      </c>
      <c r="BF169" s="308">
        <f t="shared" si="149"/>
        <v>0</v>
      </c>
      <c r="BG169" s="309">
        <f t="shared" si="150"/>
        <v>0</v>
      </c>
      <c r="BH169" s="249"/>
      <c r="BI169" s="310">
        <f t="shared" si="151"/>
        <v>0</v>
      </c>
      <c r="BJ169" s="311">
        <f t="shared" si="152"/>
        <v>0</v>
      </c>
      <c r="BK169" s="311">
        <f t="shared" si="153"/>
        <v>0</v>
      </c>
      <c r="BL169" s="312">
        <f t="shared" si="154"/>
        <v>0</v>
      </c>
      <c r="BM169" s="249"/>
      <c r="BN169" s="313">
        <f t="shared" si="155"/>
        <v>0</v>
      </c>
      <c r="BO169" s="314">
        <f t="shared" si="156"/>
        <v>0</v>
      </c>
      <c r="BP169" s="314">
        <f t="shared" si="157"/>
        <v>0</v>
      </c>
      <c r="BQ169" s="315">
        <f t="shared" si="158"/>
        <v>0</v>
      </c>
      <c r="BR169" s="249"/>
      <c r="BS169" s="307">
        <f t="shared" si="159"/>
        <v>0</v>
      </c>
      <c r="BT169" s="308">
        <f t="shared" si="160"/>
        <v>0</v>
      </c>
      <c r="BU169" s="308">
        <f t="shared" si="161"/>
        <v>0</v>
      </c>
      <c r="BV169" s="309">
        <f t="shared" si="162"/>
        <v>0</v>
      </c>
      <c r="BW169" s="249"/>
      <c r="BX169" s="310">
        <f t="shared" si="163"/>
        <v>0</v>
      </c>
      <c r="BY169" s="311">
        <f t="shared" si="164"/>
        <v>0</v>
      </c>
      <c r="BZ169" s="311">
        <f t="shared" si="165"/>
        <v>0</v>
      </c>
      <c r="CA169" s="312">
        <f t="shared" si="166"/>
        <v>0</v>
      </c>
      <c r="CB169" s="249"/>
      <c r="CC169" s="313">
        <f t="shared" si="167"/>
        <v>0</v>
      </c>
      <c r="CD169" s="314">
        <f t="shared" si="168"/>
        <v>0</v>
      </c>
      <c r="CE169" s="314">
        <f t="shared" si="169"/>
        <v>0</v>
      </c>
      <c r="CF169" s="315">
        <f t="shared" si="170"/>
        <v>0</v>
      </c>
      <c r="CG169" s="249"/>
      <c r="CH169" s="316"/>
    </row>
    <row r="170" spans="1:86" ht="15.75" hidden="1" customHeight="1" outlineLevel="1" x14ac:dyDescent="0.2">
      <c r="A170" s="242" t="str">
        <f>IF(OR(E170&lt;&gt;FALSE,F170&lt;&gt;FALSE,G170&lt;&gt;FALSE),MAX(A$16:A169)+1,"")</f>
        <v/>
      </c>
      <c r="B170" s="284"/>
      <c r="C170" s="284" t="s">
        <v>42</v>
      </c>
      <c r="D170" s="245" t="s">
        <v>11</v>
      </c>
      <c r="E170" s="285" t="b">
        <v>0</v>
      </c>
      <c r="F170" s="286" t="b">
        <v>0</v>
      </c>
      <c r="G170" s="287" t="b">
        <v>0</v>
      </c>
      <c r="H170" s="249"/>
      <c r="I170" s="288">
        <v>1</v>
      </c>
      <c r="J170" s="249"/>
      <c r="K170" s="289"/>
      <c r="L170" s="290"/>
      <c r="M170" s="290"/>
      <c r="N170" s="290"/>
      <c r="O170" s="290"/>
      <c r="P170" s="290"/>
      <c r="Q170" s="290"/>
      <c r="R170" s="290"/>
      <c r="S170" s="290"/>
      <c r="T170" s="290"/>
      <c r="U170" s="289"/>
      <c r="V170" s="290"/>
      <c r="W170" s="290"/>
      <c r="X170" s="290"/>
      <c r="Y170" s="290"/>
      <c r="Z170" s="290"/>
      <c r="AA170" s="291"/>
      <c r="AB170" s="289"/>
      <c r="AC170" s="290"/>
      <c r="AD170" s="290"/>
      <c r="AE170" s="291"/>
      <c r="AF170" s="249"/>
      <c r="AG170" s="295">
        <f>IF(OR(AND($E170=TRUE,'[1]Pricing Summary'!$B$33=$E$2),AND($F170=TRUE,'[1]Pricing Summary'!$B$33=$F$2),AND($G170=TRUE,'[1]Pricing Summary'!$B$33=$G$2)),1,0)</f>
        <v>0</v>
      </c>
      <c r="AH170" s="295">
        <f t="shared" si="133"/>
        <v>0</v>
      </c>
      <c r="AI170" s="296">
        <f t="shared" si="171"/>
        <v>0</v>
      </c>
      <c r="AJ170" s="297">
        <f t="shared" si="172"/>
        <v>0</v>
      </c>
      <c r="AK170" s="249"/>
      <c r="AL170" s="298">
        <f t="shared" si="136"/>
        <v>0</v>
      </c>
      <c r="AM170" s="383">
        <f t="shared" si="137"/>
        <v>0</v>
      </c>
      <c r="AN170" s="383">
        <f t="shared" si="137"/>
        <v>0</v>
      </c>
      <c r="AO170" s="299">
        <f t="shared" si="137"/>
        <v>0</v>
      </c>
      <c r="AP170" s="300">
        <f>IF(AN$7=0,0,MROUND(AN170/AN$7*AP$8/'[1]Core Assumptions'!$D$28,'[1]Core Assumptions'!$E$23))</f>
        <v>0</v>
      </c>
      <c r="AQ170" s="301">
        <f t="shared" si="139"/>
        <v>0</v>
      </c>
      <c r="AR170" s="302">
        <f t="shared" si="140"/>
        <v>0</v>
      </c>
      <c r="AS170" s="249"/>
      <c r="AT170" s="303">
        <f t="shared" si="141"/>
        <v>0</v>
      </c>
      <c r="AU170" s="267"/>
      <c r="AV170" s="295">
        <f>IF(OR(AND($E170=TRUE,'[1]Pricing Summary'!$B$33="Ultimate"),AND($F170=TRUE,'[1]Pricing Summary'!$B$33="Enhanced"),AND($G170=TRUE,'[1]Pricing Summary'!$B$33="Essential")),1,0)</f>
        <v>0</v>
      </c>
      <c r="AW170" s="304">
        <f t="shared" si="142"/>
        <v>0</v>
      </c>
      <c r="AX170" s="305">
        <f t="shared" si="143"/>
        <v>0</v>
      </c>
      <c r="AY170" s="267"/>
      <c r="AZ170" s="304">
        <f t="shared" si="144"/>
        <v>0</v>
      </c>
      <c r="BA170" s="222">
        <f t="shared" si="145"/>
        <v>0</v>
      </c>
      <c r="BB170" s="306">
        <f t="shared" si="146"/>
        <v>0</v>
      </c>
      <c r="BC170" s="272"/>
      <c r="BD170" s="307">
        <f t="shared" si="147"/>
        <v>0</v>
      </c>
      <c r="BE170" s="308">
        <f t="shared" si="148"/>
        <v>0</v>
      </c>
      <c r="BF170" s="308">
        <f t="shared" si="149"/>
        <v>0</v>
      </c>
      <c r="BG170" s="309">
        <f t="shared" si="150"/>
        <v>0</v>
      </c>
      <c r="BH170" s="249"/>
      <c r="BI170" s="310">
        <f t="shared" si="151"/>
        <v>0</v>
      </c>
      <c r="BJ170" s="311">
        <f t="shared" si="152"/>
        <v>0</v>
      </c>
      <c r="BK170" s="311">
        <f t="shared" si="153"/>
        <v>0</v>
      </c>
      <c r="BL170" s="312">
        <f t="shared" si="154"/>
        <v>0</v>
      </c>
      <c r="BM170" s="249"/>
      <c r="BN170" s="313">
        <f t="shared" si="155"/>
        <v>0</v>
      </c>
      <c r="BO170" s="314">
        <f t="shared" si="156"/>
        <v>0</v>
      </c>
      <c r="BP170" s="314">
        <f t="shared" si="157"/>
        <v>0</v>
      </c>
      <c r="BQ170" s="315">
        <f t="shared" si="158"/>
        <v>0</v>
      </c>
      <c r="BR170" s="249"/>
      <c r="BS170" s="307">
        <f t="shared" si="159"/>
        <v>0</v>
      </c>
      <c r="BT170" s="308">
        <f t="shared" si="160"/>
        <v>0</v>
      </c>
      <c r="BU170" s="308">
        <f t="shared" si="161"/>
        <v>0</v>
      </c>
      <c r="BV170" s="309">
        <f t="shared" si="162"/>
        <v>0</v>
      </c>
      <c r="BW170" s="249"/>
      <c r="BX170" s="310">
        <f t="shared" si="163"/>
        <v>0</v>
      </c>
      <c r="BY170" s="311">
        <f t="shared" si="164"/>
        <v>0</v>
      </c>
      <c r="BZ170" s="311">
        <f t="shared" si="165"/>
        <v>0</v>
      </c>
      <c r="CA170" s="312">
        <f t="shared" si="166"/>
        <v>0</v>
      </c>
      <c r="CB170" s="249"/>
      <c r="CC170" s="313">
        <f t="shared" si="167"/>
        <v>0</v>
      </c>
      <c r="CD170" s="314">
        <f t="shared" si="168"/>
        <v>0</v>
      </c>
      <c r="CE170" s="314">
        <f t="shared" si="169"/>
        <v>0</v>
      </c>
      <c r="CF170" s="315">
        <f t="shared" si="170"/>
        <v>0</v>
      </c>
      <c r="CG170" s="249"/>
      <c r="CH170" s="316"/>
    </row>
    <row r="171" spans="1:86" ht="15.75" hidden="1" customHeight="1" outlineLevel="1" x14ac:dyDescent="0.2">
      <c r="A171" s="242" t="str">
        <f>IF(OR(E171&lt;&gt;FALSE,F171&lt;&gt;FALSE,G171&lt;&gt;FALSE),MAX(A$16:A170)+1,"")</f>
        <v/>
      </c>
      <c r="B171" s="284"/>
      <c r="C171" s="284" t="s">
        <v>42</v>
      </c>
      <c r="D171" s="245" t="s">
        <v>11</v>
      </c>
      <c r="E171" s="285" t="b">
        <v>0</v>
      </c>
      <c r="F171" s="286" t="b">
        <v>0</v>
      </c>
      <c r="G171" s="287" t="b">
        <v>0</v>
      </c>
      <c r="H171" s="249"/>
      <c r="I171" s="288">
        <v>1</v>
      </c>
      <c r="J171" s="249"/>
      <c r="K171" s="289"/>
      <c r="L171" s="290"/>
      <c r="M171" s="290"/>
      <c r="N171" s="290"/>
      <c r="O171" s="290"/>
      <c r="P171" s="290"/>
      <c r="Q171" s="290"/>
      <c r="R171" s="290"/>
      <c r="S171" s="290"/>
      <c r="T171" s="290"/>
      <c r="U171" s="289"/>
      <c r="V171" s="290"/>
      <c r="W171" s="290"/>
      <c r="X171" s="290"/>
      <c r="Y171" s="290"/>
      <c r="Z171" s="290"/>
      <c r="AA171" s="291"/>
      <c r="AB171" s="289"/>
      <c r="AC171" s="290"/>
      <c r="AD171" s="290"/>
      <c r="AE171" s="291"/>
      <c r="AF171" s="249"/>
      <c r="AG171" s="295">
        <f>IF(OR(AND($E171=TRUE,'[1]Pricing Summary'!$B$33=$E$2),AND($F171=TRUE,'[1]Pricing Summary'!$B$33=$F$2),AND($G171=TRUE,'[1]Pricing Summary'!$B$33=$G$2)),1,0)</f>
        <v>0</v>
      </c>
      <c r="AH171" s="295">
        <f t="shared" si="133"/>
        <v>0</v>
      </c>
      <c r="AI171" s="296">
        <f t="shared" si="171"/>
        <v>0</v>
      </c>
      <c r="AJ171" s="297">
        <f t="shared" si="172"/>
        <v>0</v>
      </c>
      <c r="AK171" s="249"/>
      <c r="AL171" s="298">
        <f t="shared" si="136"/>
        <v>0</v>
      </c>
      <c r="AM171" s="383">
        <f t="shared" si="137"/>
        <v>0</v>
      </c>
      <c r="AN171" s="383">
        <f t="shared" si="137"/>
        <v>0</v>
      </c>
      <c r="AO171" s="299">
        <f t="shared" si="137"/>
        <v>0</v>
      </c>
      <c r="AP171" s="300">
        <f>IF(AN$7=0,0,MROUND(AN171/AN$7*AP$8/'[1]Core Assumptions'!$D$28,'[1]Core Assumptions'!$E$23))</f>
        <v>0</v>
      </c>
      <c r="AQ171" s="301">
        <f t="shared" si="139"/>
        <v>0</v>
      </c>
      <c r="AR171" s="302">
        <f t="shared" si="140"/>
        <v>0</v>
      </c>
      <c r="AS171" s="249"/>
      <c r="AT171" s="303">
        <f t="shared" si="141"/>
        <v>0</v>
      </c>
      <c r="AU171" s="267"/>
      <c r="AV171" s="295">
        <f>IF(OR(AND($E171=TRUE,'[1]Pricing Summary'!$B$33="Ultimate"),AND($F171=TRUE,'[1]Pricing Summary'!$B$33="Enhanced"),AND($G171=TRUE,'[1]Pricing Summary'!$B$33="Essential")),1,0)</f>
        <v>0</v>
      </c>
      <c r="AW171" s="304">
        <f t="shared" si="142"/>
        <v>0</v>
      </c>
      <c r="AX171" s="305">
        <f t="shared" si="143"/>
        <v>0</v>
      </c>
      <c r="AY171" s="267"/>
      <c r="AZ171" s="304">
        <f t="shared" si="144"/>
        <v>0</v>
      </c>
      <c r="BA171" s="222">
        <f t="shared" si="145"/>
        <v>0</v>
      </c>
      <c r="BB171" s="306">
        <f t="shared" si="146"/>
        <v>0</v>
      </c>
      <c r="BC171" s="272"/>
      <c r="BD171" s="307">
        <f t="shared" si="147"/>
        <v>0</v>
      </c>
      <c r="BE171" s="308">
        <f t="shared" si="148"/>
        <v>0</v>
      </c>
      <c r="BF171" s="308">
        <f t="shared" si="149"/>
        <v>0</v>
      </c>
      <c r="BG171" s="309">
        <f t="shared" si="150"/>
        <v>0</v>
      </c>
      <c r="BH171" s="249"/>
      <c r="BI171" s="310">
        <f t="shared" si="151"/>
        <v>0</v>
      </c>
      <c r="BJ171" s="311">
        <f t="shared" si="152"/>
        <v>0</v>
      </c>
      <c r="BK171" s="311">
        <f t="shared" si="153"/>
        <v>0</v>
      </c>
      <c r="BL171" s="312">
        <f t="shared" si="154"/>
        <v>0</v>
      </c>
      <c r="BM171" s="249"/>
      <c r="BN171" s="313">
        <f t="shared" si="155"/>
        <v>0</v>
      </c>
      <c r="BO171" s="314">
        <f t="shared" si="156"/>
        <v>0</v>
      </c>
      <c r="BP171" s="314">
        <f t="shared" si="157"/>
        <v>0</v>
      </c>
      <c r="BQ171" s="315">
        <f t="shared" si="158"/>
        <v>0</v>
      </c>
      <c r="BR171" s="249"/>
      <c r="BS171" s="307">
        <f t="shared" si="159"/>
        <v>0</v>
      </c>
      <c r="BT171" s="308">
        <f t="shared" si="160"/>
        <v>0</v>
      </c>
      <c r="BU171" s="308">
        <f t="shared" si="161"/>
        <v>0</v>
      </c>
      <c r="BV171" s="309">
        <f t="shared" si="162"/>
        <v>0</v>
      </c>
      <c r="BW171" s="249"/>
      <c r="BX171" s="310">
        <f t="shared" si="163"/>
        <v>0</v>
      </c>
      <c r="BY171" s="311">
        <f t="shared" si="164"/>
        <v>0</v>
      </c>
      <c r="BZ171" s="311">
        <f t="shared" si="165"/>
        <v>0</v>
      </c>
      <c r="CA171" s="312">
        <f t="shared" si="166"/>
        <v>0</v>
      </c>
      <c r="CB171" s="249"/>
      <c r="CC171" s="313">
        <f t="shared" si="167"/>
        <v>0</v>
      </c>
      <c r="CD171" s="314">
        <f t="shared" si="168"/>
        <v>0</v>
      </c>
      <c r="CE171" s="314">
        <f t="shared" si="169"/>
        <v>0</v>
      </c>
      <c r="CF171" s="315">
        <f t="shared" si="170"/>
        <v>0</v>
      </c>
      <c r="CG171" s="249"/>
      <c r="CH171" s="316"/>
    </row>
    <row r="172" spans="1:86" ht="15.75" hidden="1" customHeight="1" outlineLevel="1" x14ac:dyDescent="0.2">
      <c r="A172" s="242" t="str">
        <f>IF(OR(E172&lt;&gt;FALSE,F172&lt;&gt;FALSE,G172&lt;&gt;FALSE),MAX(A$16:A171)+1,"")</f>
        <v/>
      </c>
      <c r="B172" s="284"/>
      <c r="C172" s="284" t="s">
        <v>42</v>
      </c>
      <c r="D172" s="245" t="s">
        <v>11</v>
      </c>
      <c r="E172" s="285" t="b">
        <v>0</v>
      </c>
      <c r="F172" s="286" t="b">
        <v>0</v>
      </c>
      <c r="G172" s="287" t="b">
        <v>0</v>
      </c>
      <c r="H172" s="249"/>
      <c r="I172" s="288">
        <v>1</v>
      </c>
      <c r="J172" s="249"/>
      <c r="K172" s="289"/>
      <c r="L172" s="290"/>
      <c r="M172" s="290"/>
      <c r="N172" s="290"/>
      <c r="O172" s="290"/>
      <c r="P172" s="290"/>
      <c r="Q172" s="290"/>
      <c r="R172" s="290"/>
      <c r="S172" s="290"/>
      <c r="T172" s="290"/>
      <c r="U172" s="289"/>
      <c r="V172" s="290"/>
      <c r="W172" s="290"/>
      <c r="X172" s="290"/>
      <c r="Y172" s="290"/>
      <c r="Z172" s="290"/>
      <c r="AA172" s="291"/>
      <c r="AB172" s="289"/>
      <c r="AC172" s="290"/>
      <c r="AD172" s="290"/>
      <c r="AE172" s="291"/>
      <c r="AF172" s="249"/>
      <c r="AG172" s="295">
        <f>IF(OR(AND($E172=TRUE,'[1]Pricing Summary'!$B$33=$E$2),AND($F172=TRUE,'[1]Pricing Summary'!$B$33=$F$2),AND($G172=TRUE,'[1]Pricing Summary'!$B$33=$G$2)),1,0)</f>
        <v>0</v>
      </c>
      <c r="AH172" s="295">
        <f t="shared" si="133"/>
        <v>0</v>
      </c>
      <c r="AI172" s="296">
        <f t="shared" si="171"/>
        <v>0</v>
      </c>
      <c r="AJ172" s="297">
        <f t="shared" si="172"/>
        <v>0</v>
      </c>
      <c r="AK172" s="249"/>
      <c r="AL172" s="298">
        <f t="shared" si="136"/>
        <v>0</v>
      </c>
      <c r="AM172" s="383">
        <f t="shared" si="137"/>
        <v>0</v>
      </c>
      <c r="AN172" s="383">
        <f t="shared" si="137"/>
        <v>0</v>
      </c>
      <c r="AO172" s="299">
        <f t="shared" si="137"/>
        <v>0</v>
      </c>
      <c r="AP172" s="300">
        <f>IF(AN$7=0,0,MROUND(AN172/AN$7*AP$8/'[1]Core Assumptions'!$D$28,'[1]Core Assumptions'!$E$23))</f>
        <v>0</v>
      </c>
      <c r="AQ172" s="301">
        <f t="shared" si="139"/>
        <v>0</v>
      </c>
      <c r="AR172" s="302">
        <f t="shared" si="140"/>
        <v>0</v>
      </c>
      <c r="AS172" s="249"/>
      <c r="AT172" s="303">
        <f t="shared" si="141"/>
        <v>0</v>
      </c>
      <c r="AU172" s="267"/>
      <c r="AV172" s="295">
        <f>IF(OR(AND($E172=TRUE,'[1]Pricing Summary'!$B$33="Ultimate"),AND($F172=TRUE,'[1]Pricing Summary'!$B$33="Enhanced"),AND($G172=TRUE,'[1]Pricing Summary'!$B$33="Essential")),1,0)</f>
        <v>0</v>
      </c>
      <c r="AW172" s="304">
        <f t="shared" si="142"/>
        <v>0</v>
      </c>
      <c r="AX172" s="305">
        <f t="shared" si="143"/>
        <v>0</v>
      </c>
      <c r="AY172" s="267"/>
      <c r="AZ172" s="304">
        <f t="shared" si="144"/>
        <v>0</v>
      </c>
      <c r="BA172" s="222">
        <f t="shared" si="145"/>
        <v>0</v>
      </c>
      <c r="BB172" s="306">
        <f t="shared" si="146"/>
        <v>0</v>
      </c>
      <c r="BC172" s="272"/>
      <c r="BD172" s="307">
        <f t="shared" si="147"/>
        <v>0</v>
      </c>
      <c r="BE172" s="308">
        <f t="shared" si="148"/>
        <v>0</v>
      </c>
      <c r="BF172" s="308">
        <f t="shared" si="149"/>
        <v>0</v>
      </c>
      <c r="BG172" s="309">
        <f t="shared" si="150"/>
        <v>0</v>
      </c>
      <c r="BH172" s="249"/>
      <c r="BI172" s="310">
        <f t="shared" si="151"/>
        <v>0</v>
      </c>
      <c r="BJ172" s="311">
        <f t="shared" si="152"/>
        <v>0</v>
      </c>
      <c r="BK172" s="311">
        <f t="shared" si="153"/>
        <v>0</v>
      </c>
      <c r="BL172" s="312">
        <f t="shared" si="154"/>
        <v>0</v>
      </c>
      <c r="BM172" s="249"/>
      <c r="BN172" s="313">
        <f t="shared" si="155"/>
        <v>0</v>
      </c>
      <c r="BO172" s="314">
        <f t="shared" si="156"/>
        <v>0</v>
      </c>
      <c r="BP172" s="314">
        <f t="shared" si="157"/>
        <v>0</v>
      </c>
      <c r="BQ172" s="315">
        <f t="shared" si="158"/>
        <v>0</v>
      </c>
      <c r="BR172" s="249"/>
      <c r="BS172" s="307">
        <f t="shared" si="159"/>
        <v>0</v>
      </c>
      <c r="BT172" s="308">
        <f t="shared" si="160"/>
        <v>0</v>
      </c>
      <c r="BU172" s="308">
        <f t="shared" si="161"/>
        <v>0</v>
      </c>
      <c r="BV172" s="309">
        <f t="shared" si="162"/>
        <v>0</v>
      </c>
      <c r="BW172" s="249"/>
      <c r="BX172" s="310">
        <f t="shared" si="163"/>
        <v>0</v>
      </c>
      <c r="BY172" s="311">
        <f t="shared" si="164"/>
        <v>0</v>
      </c>
      <c r="BZ172" s="311">
        <f t="shared" si="165"/>
        <v>0</v>
      </c>
      <c r="CA172" s="312">
        <f t="shared" si="166"/>
        <v>0</v>
      </c>
      <c r="CB172" s="249"/>
      <c r="CC172" s="313">
        <f t="shared" si="167"/>
        <v>0</v>
      </c>
      <c r="CD172" s="314">
        <f t="shared" si="168"/>
        <v>0</v>
      </c>
      <c r="CE172" s="314">
        <f t="shared" si="169"/>
        <v>0</v>
      </c>
      <c r="CF172" s="315">
        <f t="shared" si="170"/>
        <v>0</v>
      </c>
      <c r="CG172" s="249"/>
      <c r="CH172" s="316"/>
    </row>
    <row r="173" spans="1:86" ht="15.75" hidden="1" customHeight="1" outlineLevel="1" x14ac:dyDescent="0.2">
      <c r="A173" s="242" t="str">
        <f>IF(OR(E173&lt;&gt;FALSE,F173&lt;&gt;FALSE,G173&lt;&gt;FALSE),MAX(A$16:A172)+1,"")</f>
        <v/>
      </c>
      <c r="B173" s="284"/>
      <c r="C173" s="284" t="s">
        <v>42</v>
      </c>
      <c r="D173" s="245" t="s">
        <v>11</v>
      </c>
      <c r="E173" s="285" t="b">
        <v>0</v>
      </c>
      <c r="F173" s="286" t="b">
        <v>0</v>
      </c>
      <c r="G173" s="287" t="b">
        <v>0</v>
      </c>
      <c r="H173" s="249"/>
      <c r="I173" s="288">
        <v>1</v>
      </c>
      <c r="J173" s="249"/>
      <c r="K173" s="289"/>
      <c r="L173" s="290"/>
      <c r="M173" s="290"/>
      <c r="N173" s="290"/>
      <c r="O173" s="290"/>
      <c r="P173" s="290"/>
      <c r="Q173" s="290"/>
      <c r="R173" s="290"/>
      <c r="S173" s="290"/>
      <c r="T173" s="290"/>
      <c r="U173" s="289"/>
      <c r="V173" s="290"/>
      <c r="W173" s="290"/>
      <c r="X173" s="290"/>
      <c r="Y173" s="290"/>
      <c r="Z173" s="290"/>
      <c r="AA173" s="291"/>
      <c r="AB173" s="289"/>
      <c r="AC173" s="290"/>
      <c r="AD173" s="290"/>
      <c r="AE173" s="291"/>
      <c r="AF173" s="249"/>
      <c r="AG173" s="295">
        <f>IF(OR(AND($E173=TRUE,'[1]Pricing Summary'!$B$33=$E$2),AND($F173=TRUE,'[1]Pricing Summary'!$B$33=$F$2),AND($G173=TRUE,'[1]Pricing Summary'!$B$33=$G$2)),1,0)</f>
        <v>0</v>
      </c>
      <c r="AH173" s="295">
        <f t="shared" si="133"/>
        <v>0</v>
      </c>
      <c r="AI173" s="296">
        <f t="shared" si="171"/>
        <v>0</v>
      </c>
      <c r="AJ173" s="297">
        <f t="shared" si="172"/>
        <v>0</v>
      </c>
      <c r="AK173" s="249"/>
      <c r="AL173" s="298">
        <f t="shared" si="136"/>
        <v>0</v>
      </c>
      <c r="AM173" s="383">
        <f t="shared" si="137"/>
        <v>0</v>
      </c>
      <c r="AN173" s="383">
        <f t="shared" si="137"/>
        <v>0</v>
      </c>
      <c r="AO173" s="299">
        <f t="shared" si="137"/>
        <v>0</v>
      </c>
      <c r="AP173" s="300">
        <f>IF(AN$7=0,0,MROUND(AN173/AN$7*AP$8/'[1]Core Assumptions'!$D$28,'[1]Core Assumptions'!$E$23))</f>
        <v>0</v>
      </c>
      <c r="AQ173" s="301">
        <f t="shared" si="139"/>
        <v>0</v>
      </c>
      <c r="AR173" s="302">
        <f t="shared" si="140"/>
        <v>0</v>
      </c>
      <c r="AS173" s="249"/>
      <c r="AT173" s="303">
        <f t="shared" si="141"/>
        <v>0</v>
      </c>
      <c r="AU173" s="267"/>
      <c r="AV173" s="295">
        <f>IF(OR(AND($E173=TRUE,'[1]Pricing Summary'!$B$33="Ultimate"),AND($F173=TRUE,'[1]Pricing Summary'!$B$33="Enhanced"),AND($G173=TRUE,'[1]Pricing Summary'!$B$33="Essential")),1,0)</f>
        <v>0</v>
      </c>
      <c r="AW173" s="304">
        <f t="shared" si="142"/>
        <v>0</v>
      </c>
      <c r="AX173" s="305">
        <f t="shared" si="143"/>
        <v>0</v>
      </c>
      <c r="AY173" s="267"/>
      <c r="AZ173" s="304">
        <f t="shared" si="144"/>
        <v>0</v>
      </c>
      <c r="BA173" s="222">
        <f t="shared" si="145"/>
        <v>0</v>
      </c>
      <c r="BB173" s="306">
        <f t="shared" si="146"/>
        <v>0</v>
      </c>
      <c r="BC173" s="272"/>
      <c r="BD173" s="307">
        <f t="shared" si="147"/>
        <v>0</v>
      </c>
      <c r="BE173" s="308">
        <f t="shared" si="148"/>
        <v>0</v>
      </c>
      <c r="BF173" s="308">
        <f t="shared" si="149"/>
        <v>0</v>
      </c>
      <c r="BG173" s="309">
        <f t="shared" si="150"/>
        <v>0</v>
      </c>
      <c r="BH173" s="249"/>
      <c r="BI173" s="310">
        <f t="shared" si="151"/>
        <v>0</v>
      </c>
      <c r="BJ173" s="311">
        <f t="shared" si="152"/>
        <v>0</v>
      </c>
      <c r="BK173" s="311">
        <f t="shared" si="153"/>
        <v>0</v>
      </c>
      <c r="BL173" s="312">
        <f t="shared" si="154"/>
        <v>0</v>
      </c>
      <c r="BM173" s="249"/>
      <c r="BN173" s="313">
        <f t="shared" si="155"/>
        <v>0</v>
      </c>
      <c r="BO173" s="314">
        <f t="shared" si="156"/>
        <v>0</v>
      </c>
      <c r="BP173" s="314">
        <f t="shared" si="157"/>
        <v>0</v>
      </c>
      <c r="BQ173" s="315">
        <f t="shared" si="158"/>
        <v>0</v>
      </c>
      <c r="BR173" s="249"/>
      <c r="BS173" s="307">
        <f t="shared" si="159"/>
        <v>0</v>
      </c>
      <c r="BT173" s="308">
        <f t="shared" si="160"/>
        <v>0</v>
      </c>
      <c r="BU173" s="308">
        <f t="shared" si="161"/>
        <v>0</v>
      </c>
      <c r="BV173" s="309">
        <f t="shared" si="162"/>
        <v>0</v>
      </c>
      <c r="BW173" s="249"/>
      <c r="BX173" s="310">
        <f t="shared" si="163"/>
        <v>0</v>
      </c>
      <c r="BY173" s="311">
        <f t="shared" si="164"/>
        <v>0</v>
      </c>
      <c r="BZ173" s="311">
        <f t="shared" si="165"/>
        <v>0</v>
      </c>
      <c r="CA173" s="312">
        <f t="shared" si="166"/>
        <v>0</v>
      </c>
      <c r="CB173" s="249"/>
      <c r="CC173" s="313">
        <f t="shared" si="167"/>
        <v>0</v>
      </c>
      <c r="CD173" s="314">
        <f t="shared" si="168"/>
        <v>0</v>
      </c>
      <c r="CE173" s="314">
        <f t="shared" si="169"/>
        <v>0</v>
      </c>
      <c r="CF173" s="315">
        <f t="shared" si="170"/>
        <v>0</v>
      </c>
      <c r="CG173" s="249"/>
      <c r="CH173" s="316"/>
    </row>
    <row r="174" spans="1:86" ht="15.75" hidden="1" customHeight="1" outlineLevel="1" x14ac:dyDescent="0.2">
      <c r="A174" s="242" t="str">
        <f>IF(OR(E174&lt;&gt;FALSE,F174&lt;&gt;FALSE,G174&lt;&gt;FALSE),MAX(A$16:A173)+1,"")</f>
        <v/>
      </c>
      <c r="B174" s="284"/>
      <c r="C174" s="284" t="s">
        <v>42</v>
      </c>
      <c r="D174" s="245" t="s">
        <v>11</v>
      </c>
      <c r="E174" s="285" t="b">
        <v>0</v>
      </c>
      <c r="F174" s="286" t="b">
        <v>0</v>
      </c>
      <c r="G174" s="287" t="b">
        <v>0</v>
      </c>
      <c r="H174" s="249"/>
      <c r="I174" s="288">
        <v>1</v>
      </c>
      <c r="J174" s="249"/>
      <c r="K174" s="289"/>
      <c r="L174" s="290"/>
      <c r="M174" s="290"/>
      <c r="N174" s="290"/>
      <c r="O174" s="290"/>
      <c r="P174" s="290"/>
      <c r="Q174" s="290"/>
      <c r="R174" s="290"/>
      <c r="S174" s="290"/>
      <c r="T174" s="290"/>
      <c r="U174" s="289"/>
      <c r="V174" s="290"/>
      <c r="W174" s="290"/>
      <c r="X174" s="290"/>
      <c r="Y174" s="290"/>
      <c r="Z174" s="290"/>
      <c r="AA174" s="291"/>
      <c r="AB174" s="289"/>
      <c r="AC174" s="290"/>
      <c r="AD174" s="290"/>
      <c r="AE174" s="291"/>
      <c r="AF174" s="249"/>
      <c r="AG174" s="295">
        <f>IF(OR(AND($E174=TRUE,'[1]Pricing Summary'!$B$33=$E$2),AND($F174=TRUE,'[1]Pricing Summary'!$B$33=$F$2),AND($G174=TRUE,'[1]Pricing Summary'!$B$33=$G$2)),1,0)</f>
        <v>0</v>
      </c>
      <c r="AH174" s="295">
        <f t="shared" si="133"/>
        <v>0</v>
      </c>
      <c r="AI174" s="296">
        <f t="shared" si="171"/>
        <v>0</v>
      </c>
      <c r="AJ174" s="297">
        <f t="shared" si="172"/>
        <v>0</v>
      </c>
      <c r="AK174" s="249"/>
      <c r="AL174" s="298">
        <f t="shared" si="136"/>
        <v>0</v>
      </c>
      <c r="AM174" s="383">
        <f t="shared" si="137"/>
        <v>0</v>
      </c>
      <c r="AN174" s="383">
        <f t="shared" si="137"/>
        <v>0</v>
      </c>
      <c r="AO174" s="299">
        <f t="shared" si="137"/>
        <v>0</v>
      </c>
      <c r="AP174" s="300">
        <f>IF(AN$7=0,0,MROUND(AN174/AN$7*AP$8/'[1]Core Assumptions'!$D$28,'[1]Core Assumptions'!$E$23))</f>
        <v>0</v>
      </c>
      <c r="AQ174" s="301">
        <f t="shared" si="139"/>
        <v>0</v>
      </c>
      <c r="AR174" s="302">
        <f t="shared" si="140"/>
        <v>0</v>
      </c>
      <c r="AS174" s="249"/>
      <c r="AT174" s="303">
        <f t="shared" si="141"/>
        <v>0</v>
      </c>
      <c r="AU174" s="267"/>
      <c r="AV174" s="295">
        <f>IF(OR(AND($E174=TRUE,'[1]Pricing Summary'!$B$33="Ultimate"),AND($F174=TRUE,'[1]Pricing Summary'!$B$33="Enhanced"),AND($G174=TRUE,'[1]Pricing Summary'!$B$33="Essential")),1,0)</f>
        <v>0</v>
      </c>
      <c r="AW174" s="304">
        <f t="shared" si="142"/>
        <v>0</v>
      </c>
      <c r="AX174" s="305">
        <f t="shared" si="143"/>
        <v>0</v>
      </c>
      <c r="AY174" s="267"/>
      <c r="AZ174" s="304">
        <f t="shared" si="144"/>
        <v>0</v>
      </c>
      <c r="BA174" s="222">
        <f t="shared" si="145"/>
        <v>0</v>
      </c>
      <c r="BB174" s="306">
        <f t="shared" si="146"/>
        <v>0</v>
      </c>
      <c r="BC174" s="272"/>
      <c r="BD174" s="307">
        <f t="shared" si="147"/>
        <v>0</v>
      </c>
      <c r="BE174" s="308">
        <f t="shared" si="148"/>
        <v>0</v>
      </c>
      <c r="BF174" s="308">
        <f t="shared" si="149"/>
        <v>0</v>
      </c>
      <c r="BG174" s="309">
        <f t="shared" si="150"/>
        <v>0</v>
      </c>
      <c r="BH174" s="249"/>
      <c r="BI174" s="310">
        <f t="shared" si="151"/>
        <v>0</v>
      </c>
      <c r="BJ174" s="311">
        <f t="shared" si="152"/>
        <v>0</v>
      </c>
      <c r="BK174" s="311">
        <f t="shared" si="153"/>
        <v>0</v>
      </c>
      <c r="BL174" s="312">
        <f t="shared" si="154"/>
        <v>0</v>
      </c>
      <c r="BM174" s="249"/>
      <c r="BN174" s="313">
        <f t="shared" si="155"/>
        <v>0</v>
      </c>
      <c r="BO174" s="314">
        <f t="shared" si="156"/>
        <v>0</v>
      </c>
      <c r="BP174" s="314">
        <f t="shared" si="157"/>
        <v>0</v>
      </c>
      <c r="BQ174" s="315">
        <f t="shared" si="158"/>
        <v>0</v>
      </c>
      <c r="BR174" s="249"/>
      <c r="BS174" s="307">
        <f t="shared" si="159"/>
        <v>0</v>
      </c>
      <c r="BT174" s="308">
        <f t="shared" si="160"/>
        <v>0</v>
      </c>
      <c r="BU174" s="308">
        <f t="shared" si="161"/>
        <v>0</v>
      </c>
      <c r="BV174" s="309">
        <f t="shared" si="162"/>
        <v>0</v>
      </c>
      <c r="BW174" s="249"/>
      <c r="BX174" s="310">
        <f t="shared" si="163"/>
        <v>0</v>
      </c>
      <c r="BY174" s="311">
        <f t="shared" si="164"/>
        <v>0</v>
      </c>
      <c r="BZ174" s="311">
        <f t="shared" si="165"/>
        <v>0</v>
      </c>
      <c r="CA174" s="312">
        <f t="shared" si="166"/>
        <v>0</v>
      </c>
      <c r="CB174" s="249"/>
      <c r="CC174" s="313">
        <f t="shared" si="167"/>
        <v>0</v>
      </c>
      <c r="CD174" s="314">
        <f t="shared" si="168"/>
        <v>0</v>
      </c>
      <c r="CE174" s="314">
        <f t="shared" si="169"/>
        <v>0</v>
      </c>
      <c r="CF174" s="315">
        <f t="shared" si="170"/>
        <v>0</v>
      </c>
      <c r="CG174" s="249"/>
      <c r="CH174" s="316"/>
    </row>
    <row r="175" spans="1:86" ht="15.75" hidden="1" customHeight="1" outlineLevel="1" x14ac:dyDescent="0.2">
      <c r="A175" s="242" t="str">
        <f>IF(OR(E175&lt;&gt;FALSE,F175&lt;&gt;FALSE,G175&lt;&gt;FALSE),MAX(A$16:A174)+1,"")</f>
        <v/>
      </c>
      <c r="B175" s="284"/>
      <c r="C175" s="284" t="s">
        <v>42</v>
      </c>
      <c r="D175" s="245" t="s">
        <v>11</v>
      </c>
      <c r="E175" s="285" t="b">
        <v>0</v>
      </c>
      <c r="F175" s="286" t="b">
        <v>0</v>
      </c>
      <c r="G175" s="287" t="b">
        <v>0</v>
      </c>
      <c r="H175" s="249"/>
      <c r="I175" s="288">
        <v>1</v>
      </c>
      <c r="J175" s="249"/>
      <c r="K175" s="289"/>
      <c r="L175" s="290"/>
      <c r="M175" s="290"/>
      <c r="N175" s="290"/>
      <c r="O175" s="290"/>
      <c r="P175" s="290"/>
      <c r="Q175" s="290"/>
      <c r="R175" s="290"/>
      <c r="S175" s="290"/>
      <c r="T175" s="290"/>
      <c r="U175" s="289"/>
      <c r="V175" s="290"/>
      <c r="W175" s="290"/>
      <c r="X175" s="290"/>
      <c r="Y175" s="290"/>
      <c r="Z175" s="290"/>
      <c r="AA175" s="291"/>
      <c r="AB175" s="289"/>
      <c r="AC175" s="290"/>
      <c r="AD175" s="290"/>
      <c r="AE175" s="291"/>
      <c r="AF175" s="249"/>
      <c r="AG175" s="295">
        <f>IF(OR(AND($E175=TRUE,'[1]Pricing Summary'!$B$33=$E$2),AND($F175=TRUE,'[1]Pricing Summary'!$B$33=$F$2),AND($G175=TRUE,'[1]Pricing Summary'!$B$33=$G$2)),1,0)</f>
        <v>0</v>
      </c>
      <c r="AH175" s="295">
        <f t="shared" si="133"/>
        <v>0</v>
      </c>
      <c r="AI175" s="296">
        <f t="shared" si="171"/>
        <v>0</v>
      </c>
      <c r="AJ175" s="297">
        <f t="shared" si="172"/>
        <v>0</v>
      </c>
      <c r="AK175" s="249"/>
      <c r="AL175" s="298">
        <f t="shared" si="136"/>
        <v>0</v>
      </c>
      <c r="AM175" s="383">
        <f t="shared" si="137"/>
        <v>0</v>
      </c>
      <c r="AN175" s="383">
        <f t="shared" si="137"/>
        <v>0</v>
      </c>
      <c r="AO175" s="299">
        <f t="shared" si="137"/>
        <v>0</v>
      </c>
      <c r="AP175" s="300">
        <f>IF(AN$7=0,0,MROUND(AN175/AN$7*AP$8/'[1]Core Assumptions'!$D$28,'[1]Core Assumptions'!$E$23))</f>
        <v>0</v>
      </c>
      <c r="AQ175" s="301">
        <f t="shared" si="139"/>
        <v>0</v>
      </c>
      <c r="AR175" s="302">
        <f t="shared" si="140"/>
        <v>0</v>
      </c>
      <c r="AS175" s="249"/>
      <c r="AT175" s="303">
        <f t="shared" si="141"/>
        <v>0</v>
      </c>
      <c r="AU175" s="267"/>
      <c r="AV175" s="295">
        <f>IF(OR(AND($E175=TRUE,'[1]Pricing Summary'!$B$33="Ultimate"),AND($F175=TRUE,'[1]Pricing Summary'!$B$33="Enhanced"),AND($G175=TRUE,'[1]Pricing Summary'!$B$33="Essential")),1,0)</f>
        <v>0</v>
      </c>
      <c r="AW175" s="304">
        <f t="shared" si="142"/>
        <v>0</v>
      </c>
      <c r="AX175" s="305">
        <f t="shared" si="143"/>
        <v>0</v>
      </c>
      <c r="AY175" s="267"/>
      <c r="AZ175" s="304">
        <f t="shared" si="144"/>
        <v>0</v>
      </c>
      <c r="BA175" s="222">
        <f t="shared" si="145"/>
        <v>0</v>
      </c>
      <c r="BB175" s="306">
        <f t="shared" si="146"/>
        <v>0</v>
      </c>
      <c r="BC175" s="272"/>
      <c r="BD175" s="307">
        <f t="shared" si="147"/>
        <v>0</v>
      </c>
      <c r="BE175" s="308">
        <f t="shared" si="148"/>
        <v>0</v>
      </c>
      <c r="BF175" s="308">
        <f t="shared" si="149"/>
        <v>0</v>
      </c>
      <c r="BG175" s="309">
        <f t="shared" si="150"/>
        <v>0</v>
      </c>
      <c r="BH175" s="249"/>
      <c r="BI175" s="310">
        <f t="shared" si="151"/>
        <v>0</v>
      </c>
      <c r="BJ175" s="311">
        <f t="shared" si="152"/>
        <v>0</v>
      </c>
      <c r="BK175" s="311">
        <f t="shared" si="153"/>
        <v>0</v>
      </c>
      <c r="BL175" s="312">
        <f t="shared" si="154"/>
        <v>0</v>
      </c>
      <c r="BM175" s="249"/>
      <c r="BN175" s="313">
        <f t="shared" si="155"/>
        <v>0</v>
      </c>
      <c r="BO175" s="314">
        <f t="shared" si="156"/>
        <v>0</v>
      </c>
      <c r="BP175" s="314">
        <f t="shared" si="157"/>
        <v>0</v>
      </c>
      <c r="BQ175" s="315">
        <f t="shared" si="158"/>
        <v>0</v>
      </c>
      <c r="BR175" s="249"/>
      <c r="BS175" s="307">
        <f t="shared" si="159"/>
        <v>0</v>
      </c>
      <c r="BT175" s="308">
        <f t="shared" si="160"/>
        <v>0</v>
      </c>
      <c r="BU175" s="308">
        <f t="shared" si="161"/>
        <v>0</v>
      </c>
      <c r="BV175" s="309">
        <f t="shared" si="162"/>
        <v>0</v>
      </c>
      <c r="BW175" s="249"/>
      <c r="BX175" s="310">
        <f t="shared" si="163"/>
        <v>0</v>
      </c>
      <c r="BY175" s="311">
        <f t="shared" si="164"/>
        <v>0</v>
      </c>
      <c r="BZ175" s="311">
        <f t="shared" si="165"/>
        <v>0</v>
      </c>
      <c r="CA175" s="312">
        <f t="shared" si="166"/>
        <v>0</v>
      </c>
      <c r="CB175" s="249"/>
      <c r="CC175" s="313">
        <f t="shared" si="167"/>
        <v>0</v>
      </c>
      <c r="CD175" s="314">
        <f t="shared" si="168"/>
        <v>0</v>
      </c>
      <c r="CE175" s="314">
        <f t="shared" si="169"/>
        <v>0</v>
      </c>
      <c r="CF175" s="315">
        <f t="shared" si="170"/>
        <v>0</v>
      </c>
      <c r="CG175" s="249"/>
      <c r="CH175" s="316"/>
    </row>
    <row r="176" spans="1:86" ht="15.75" hidden="1" customHeight="1" outlineLevel="1" x14ac:dyDescent="0.2">
      <c r="A176" s="242" t="str">
        <f>IF(OR(E176&lt;&gt;FALSE,F176&lt;&gt;FALSE,G176&lt;&gt;FALSE),MAX(A$16:A175)+1,"")</f>
        <v/>
      </c>
      <c r="B176" s="284"/>
      <c r="C176" s="284" t="s">
        <v>42</v>
      </c>
      <c r="D176" s="245" t="s">
        <v>11</v>
      </c>
      <c r="E176" s="285" t="b">
        <v>0</v>
      </c>
      <c r="F176" s="286" t="b">
        <v>0</v>
      </c>
      <c r="G176" s="287" t="b">
        <v>0</v>
      </c>
      <c r="H176" s="249"/>
      <c r="I176" s="288">
        <v>1</v>
      </c>
      <c r="J176" s="249"/>
      <c r="K176" s="289"/>
      <c r="L176" s="290"/>
      <c r="M176" s="290"/>
      <c r="N176" s="290"/>
      <c r="O176" s="290"/>
      <c r="P176" s="290"/>
      <c r="Q176" s="290"/>
      <c r="R176" s="290"/>
      <c r="S176" s="290"/>
      <c r="T176" s="290"/>
      <c r="U176" s="289"/>
      <c r="V176" s="290"/>
      <c r="W176" s="290"/>
      <c r="X176" s="290"/>
      <c r="Y176" s="290"/>
      <c r="Z176" s="290"/>
      <c r="AA176" s="291"/>
      <c r="AB176" s="289"/>
      <c r="AC176" s="290"/>
      <c r="AD176" s="290"/>
      <c r="AE176" s="291"/>
      <c r="AF176" s="249"/>
      <c r="AG176" s="295">
        <f>IF(OR(AND($E176=TRUE,'[1]Pricing Summary'!$B$33=$E$2),AND($F176=TRUE,'[1]Pricing Summary'!$B$33=$F$2),AND($G176=TRUE,'[1]Pricing Summary'!$B$33=$G$2)),1,0)</f>
        <v>0</v>
      </c>
      <c r="AH176" s="295">
        <f t="shared" si="133"/>
        <v>0</v>
      </c>
      <c r="AI176" s="296">
        <f t="shared" si="171"/>
        <v>0</v>
      </c>
      <c r="AJ176" s="297">
        <f t="shared" si="172"/>
        <v>0</v>
      </c>
      <c r="AK176" s="249"/>
      <c r="AL176" s="298">
        <f t="shared" si="136"/>
        <v>0</v>
      </c>
      <c r="AM176" s="383">
        <f t="shared" si="137"/>
        <v>0</v>
      </c>
      <c r="AN176" s="383">
        <f t="shared" si="137"/>
        <v>0</v>
      </c>
      <c r="AO176" s="299">
        <f t="shared" si="137"/>
        <v>0</v>
      </c>
      <c r="AP176" s="300">
        <f>IF(AN$7=0,0,MROUND(AN176/AN$7*AP$8/'[1]Core Assumptions'!$D$28,'[1]Core Assumptions'!$E$23))</f>
        <v>0</v>
      </c>
      <c r="AQ176" s="301">
        <f t="shared" si="139"/>
        <v>0</v>
      </c>
      <c r="AR176" s="302">
        <f t="shared" si="140"/>
        <v>0</v>
      </c>
      <c r="AS176" s="249"/>
      <c r="AT176" s="303">
        <f t="shared" si="141"/>
        <v>0</v>
      </c>
      <c r="AU176" s="267"/>
      <c r="AV176" s="295">
        <f>IF(OR(AND($E176=TRUE,'[1]Pricing Summary'!$B$33="Ultimate"),AND($F176=TRUE,'[1]Pricing Summary'!$B$33="Enhanced"),AND($G176=TRUE,'[1]Pricing Summary'!$B$33="Essential")),1,0)</f>
        <v>0</v>
      </c>
      <c r="AW176" s="304">
        <f t="shared" si="142"/>
        <v>0</v>
      </c>
      <c r="AX176" s="305">
        <f t="shared" si="143"/>
        <v>0</v>
      </c>
      <c r="AY176" s="267"/>
      <c r="AZ176" s="304">
        <f t="shared" si="144"/>
        <v>0</v>
      </c>
      <c r="BA176" s="222">
        <f t="shared" si="145"/>
        <v>0</v>
      </c>
      <c r="BB176" s="306">
        <f t="shared" si="146"/>
        <v>0</v>
      </c>
      <c r="BC176" s="272"/>
      <c r="BD176" s="307">
        <f t="shared" si="147"/>
        <v>0</v>
      </c>
      <c r="BE176" s="308">
        <f t="shared" si="148"/>
        <v>0</v>
      </c>
      <c r="BF176" s="308">
        <f t="shared" si="149"/>
        <v>0</v>
      </c>
      <c r="BG176" s="309">
        <f t="shared" si="150"/>
        <v>0</v>
      </c>
      <c r="BH176" s="249"/>
      <c r="BI176" s="310">
        <f t="shared" si="151"/>
        <v>0</v>
      </c>
      <c r="BJ176" s="311">
        <f t="shared" si="152"/>
        <v>0</v>
      </c>
      <c r="BK176" s="311">
        <f t="shared" si="153"/>
        <v>0</v>
      </c>
      <c r="BL176" s="312">
        <f t="shared" si="154"/>
        <v>0</v>
      </c>
      <c r="BM176" s="249"/>
      <c r="BN176" s="313">
        <f t="shared" si="155"/>
        <v>0</v>
      </c>
      <c r="BO176" s="314">
        <f t="shared" si="156"/>
        <v>0</v>
      </c>
      <c r="BP176" s="314">
        <f t="shared" si="157"/>
        <v>0</v>
      </c>
      <c r="BQ176" s="315">
        <f t="shared" si="158"/>
        <v>0</v>
      </c>
      <c r="BR176" s="249"/>
      <c r="BS176" s="307">
        <f t="shared" si="159"/>
        <v>0</v>
      </c>
      <c r="BT176" s="308">
        <f t="shared" si="160"/>
        <v>0</v>
      </c>
      <c r="BU176" s="308">
        <f t="shared" si="161"/>
        <v>0</v>
      </c>
      <c r="BV176" s="309">
        <f t="shared" si="162"/>
        <v>0</v>
      </c>
      <c r="BW176" s="249"/>
      <c r="BX176" s="310">
        <f t="shared" si="163"/>
        <v>0</v>
      </c>
      <c r="BY176" s="311">
        <f t="shared" si="164"/>
        <v>0</v>
      </c>
      <c r="BZ176" s="311">
        <f t="shared" si="165"/>
        <v>0</v>
      </c>
      <c r="CA176" s="312">
        <f t="shared" si="166"/>
        <v>0</v>
      </c>
      <c r="CB176" s="249"/>
      <c r="CC176" s="313">
        <f t="shared" si="167"/>
        <v>0</v>
      </c>
      <c r="CD176" s="314">
        <f t="shared" si="168"/>
        <v>0</v>
      </c>
      <c r="CE176" s="314">
        <f t="shared" si="169"/>
        <v>0</v>
      </c>
      <c r="CF176" s="315">
        <f t="shared" si="170"/>
        <v>0</v>
      </c>
      <c r="CG176" s="249"/>
      <c r="CH176" s="316"/>
    </row>
    <row r="177" spans="1:86" ht="15.75" hidden="1" customHeight="1" outlineLevel="1" x14ac:dyDescent="0.2">
      <c r="A177" s="242" t="str">
        <f>IF(OR(E177&lt;&gt;FALSE,F177&lt;&gt;FALSE,G177&lt;&gt;FALSE),MAX(A$16:A176)+1,"")</f>
        <v/>
      </c>
      <c r="B177" s="284"/>
      <c r="C177" s="284" t="s">
        <v>42</v>
      </c>
      <c r="D177" s="245" t="s">
        <v>11</v>
      </c>
      <c r="E177" s="285" t="b">
        <v>0</v>
      </c>
      <c r="F177" s="286" t="b">
        <v>0</v>
      </c>
      <c r="G177" s="287" t="b">
        <v>0</v>
      </c>
      <c r="H177" s="249"/>
      <c r="I177" s="288">
        <v>1</v>
      </c>
      <c r="J177" s="249"/>
      <c r="K177" s="289"/>
      <c r="L177" s="290"/>
      <c r="M177" s="290"/>
      <c r="N177" s="290"/>
      <c r="O177" s="290"/>
      <c r="P177" s="290"/>
      <c r="Q177" s="290"/>
      <c r="R177" s="290"/>
      <c r="S177" s="290"/>
      <c r="T177" s="290"/>
      <c r="U177" s="289"/>
      <c r="V177" s="290"/>
      <c r="W177" s="290"/>
      <c r="X177" s="290"/>
      <c r="Y177" s="290"/>
      <c r="Z177" s="290"/>
      <c r="AA177" s="291"/>
      <c r="AB177" s="289"/>
      <c r="AC177" s="290"/>
      <c r="AD177" s="290"/>
      <c r="AE177" s="291"/>
      <c r="AF177" s="249"/>
      <c r="AG177" s="295">
        <f>IF(OR(AND($E177=TRUE,'[1]Pricing Summary'!$B$33=$E$2),AND($F177=TRUE,'[1]Pricing Summary'!$B$33=$F$2),AND($G177=TRUE,'[1]Pricing Summary'!$B$33=$G$2)),1,0)</f>
        <v>0</v>
      </c>
      <c r="AH177" s="295">
        <f t="shared" si="133"/>
        <v>0</v>
      </c>
      <c r="AI177" s="296">
        <f t="shared" si="171"/>
        <v>0</v>
      </c>
      <c r="AJ177" s="297">
        <f t="shared" si="172"/>
        <v>0</v>
      </c>
      <c r="AK177" s="249"/>
      <c r="AL177" s="298">
        <f t="shared" si="136"/>
        <v>0</v>
      </c>
      <c r="AM177" s="383">
        <f t="shared" si="137"/>
        <v>0</v>
      </c>
      <c r="AN177" s="383">
        <f t="shared" si="137"/>
        <v>0</v>
      </c>
      <c r="AO177" s="299">
        <f t="shared" si="137"/>
        <v>0</v>
      </c>
      <c r="AP177" s="300">
        <f>IF(AN$7=0,0,MROUND(AN177/AN$7*AP$8/'[1]Core Assumptions'!$D$28,'[1]Core Assumptions'!$E$23))</f>
        <v>0</v>
      </c>
      <c r="AQ177" s="301">
        <f t="shared" si="139"/>
        <v>0</v>
      </c>
      <c r="AR177" s="302">
        <f t="shared" si="140"/>
        <v>0</v>
      </c>
      <c r="AS177" s="249"/>
      <c r="AT177" s="303">
        <f t="shared" si="141"/>
        <v>0</v>
      </c>
      <c r="AU177" s="267"/>
      <c r="AV177" s="295">
        <f>IF(OR(AND($E177=TRUE,'[1]Pricing Summary'!$B$33="Ultimate"),AND($F177=TRUE,'[1]Pricing Summary'!$B$33="Enhanced"),AND($G177=TRUE,'[1]Pricing Summary'!$B$33="Essential")),1,0)</f>
        <v>0</v>
      </c>
      <c r="AW177" s="304">
        <f t="shared" si="142"/>
        <v>0</v>
      </c>
      <c r="AX177" s="305">
        <f t="shared" si="143"/>
        <v>0</v>
      </c>
      <c r="AY177" s="267"/>
      <c r="AZ177" s="304">
        <f t="shared" si="144"/>
        <v>0</v>
      </c>
      <c r="BA177" s="222">
        <f t="shared" si="145"/>
        <v>0</v>
      </c>
      <c r="BB177" s="306">
        <f t="shared" si="146"/>
        <v>0</v>
      </c>
      <c r="BC177" s="272"/>
      <c r="BD177" s="307">
        <f t="shared" si="147"/>
        <v>0</v>
      </c>
      <c r="BE177" s="308">
        <f t="shared" si="148"/>
        <v>0</v>
      </c>
      <c r="BF177" s="308">
        <f t="shared" si="149"/>
        <v>0</v>
      </c>
      <c r="BG177" s="309">
        <f t="shared" si="150"/>
        <v>0</v>
      </c>
      <c r="BH177" s="249"/>
      <c r="BI177" s="310">
        <f t="shared" si="151"/>
        <v>0</v>
      </c>
      <c r="BJ177" s="311">
        <f t="shared" si="152"/>
        <v>0</v>
      </c>
      <c r="BK177" s="311">
        <f t="shared" si="153"/>
        <v>0</v>
      </c>
      <c r="BL177" s="312">
        <f t="shared" si="154"/>
        <v>0</v>
      </c>
      <c r="BM177" s="249"/>
      <c r="BN177" s="313">
        <f t="shared" si="155"/>
        <v>0</v>
      </c>
      <c r="BO177" s="314">
        <f t="shared" si="156"/>
        <v>0</v>
      </c>
      <c r="BP177" s="314">
        <f t="shared" si="157"/>
        <v>0</v>
      </c>
      <c r="BQ177" s="315">
        <f t="shared" si="158"/>
        <v>0</v>
      </c>
      <c r="BR177" s="249"/>
      <c r="BS177" s="307">
        <f t="shared" si="159"/>
        <v>0</v>
      </c>
      <c r="BT177" s="308">
        <f t="shared" si="160"/>
        <v>0</v>
      </c>
      <c r="BU177" s="308">
        <f t="shared" si="161"/>
        <v>0</v>
      </c>
      <c r="BV177" s="309">
        <f t="shared" si="162"/>
        <v>0</v>
      </c>
      <c r="BW177" s="249"/>
      <c r="BX177" s="310">
        <f t="shared" si="163"/>
        <v>0</v>
      </c>
      <c r="BY177" s="311">
        <f t="shared" si="164"/>
        <v>0</v>
      </c>
      <c r="BZ177" s="311">
        <f t="shared" si="165"/>
        <v>0</v>
      </c>
      <c r="CA177" s="312">
        <f t="shared" si="166"/>
        <v>0</v>
      </c>
      <c r="CB177" s="249"/>
      <c r="CC177" s="313">
        <f t="shared" si="167"/>
        <v>0</v>
      </c>
      <c r="CD177" s="314">
        <f t="shared" si="168"/>
        <v>0</v>
      </c>
      <c r="CE177" s="314">
        <f t="shared" si="169"/>
        <v>0</v>
      </c>
      <c r="CF177" s="315">
        <f t="shared" si="170"/>
        <v>0</v>
      </c>
      <c r="CG177" s="249"/>
      <c r="CH177" s="316"/>
    </row>
    <row r="178" spans="1:86" ht="15.75" hidden="1" customHeight="1" outlineLevel="1" x14ac:dyDescent="0.2">
      <c r="A178" s="242" t="str">
        <f>IF(OR(E178&lt;&gt;FALSE,F178&lt;&gt;FALSE,G178&lt;&gt;FALSE),MAX(A$16:A177)+1,"")</f>
        <v/>
      </c>
      <c r="B178" s="284"/>
      <c r="C178" s="284" t="s">
        <v>42</v>
      </c>
      <c r="D178" s="245" t="s">
        <v>11</v>
      </c>
      <c r="E178" s="285" t="b">
        <v>0</v>
      </c>
      <c r="F178" s="286" t="b">
        <v>0</v>
      </c>
      <c r="G178" s="287" t="b">
        <v>0</v>
      </c>
      <c r="H178" s="249"/>
      <c r="I178" s="288">
        <v>1</v>
      </c>
      <c r="J178" s="249"/>
      <c r="K178" s="289"/>
      <c r="L178" s="290"/>
      <c r="M178" s="290"/>
      <c r="N178" s="290"/>
      <c r="O178" s="290"/>
      <c r="P178" s="290"/>
      <c r="Q178" s="290"/>
      <c r="R178" s="290"/>
      <c r="S178" s="290"/>
      <c r="T178" s="290"/>
      <c r="U178" s="289"/>
      <c r="V178" s="290"/>
      <c r="W178" s="290"/>
      <c r="X178" s="290"/>
      <c r="Y178" s="290"/>
      <c r="Z178" s="290"/>
      <c r="AA178" s="291"/>
      <c r="AB178" s="289"/>
      <c r="AC178" s="290"/>
      <c r="AD178" s="290"/>
      <c r="AE178" s="291"/>
      <c r="AF178" s="249"/>
      <c r="AG178" s="295">
        <f>IF(OR(AND($E178=TRUE,'[1]Pricing Summary'!$B$33=$E$2),AND($F178=TRUE,'[1]Pricing Summary'!$B$33=$F$2),AND($G178=TRUE,'[1]Pricing Summary'!$B$33=$G$2)),1,0)</f>
        <v>0</v>
      </c>
      <c r="AH178" s="295">
        <f t="shared" si="133"/>
        <v>0</v>
      </c>
      <c r="AI178" s="296">
        <f t="shared" si="171"/>
        <v>0</v>
      </c>
      <c r="AJ178" s="297">
        <f t="shared" si="172"/>
        <v>0</v>
      </c>
      <c r="AK178" s="249"/>
      <c r="AL178" s="298">
        <f t="shared" si="136"/>
        <v>0</v>
      </c>
      <c r="AM178" s="383">
        <f t="shared" si="137"/>
        <v>0</v>
      </c>
      <c r="AN178" s="383">
        <f t="shared" si="137"/>
        <v>0</v>
      </c>
      <c r="AO178" s="299">
        <f t="shared" si="137"/>
        <v>0</v>
      </c>
      <c r="AP178" s="300">
        <f>IF(AN$7=0,0,MROUND(AN178/AN$7*AP$8/'[1]Core Assumptions'!$D$28,'[1]Core Assumptions'!$E$23))</f>
        <v>0</v>
      </c>
      <c r="AQ178" s="301">
        <f t="shared" si="139"/>
        <v>0</v>
      </c>
      <c r="AR178" s="302">
        <f t="shared" si="140"/>
        <v>0</v>
      </c>
      <c r="AS178" s="249"/>
      <c r="AT178" s="303">
        <f t="shared" si="141"/>
        <v>0</v>
      </c>
      <c r="AU178" s="267"/>
      <c r="AV178" s="295">
        <f>IF(OR(AND($E178=TRUE,'[1]Pricing Summary'!$B$33="Ultimate"),AND($F178=TRUE,'[1]Pricing Summary'!$B$33="Enhanced"),AND($G178=TRUE,'[1]Pricing Summary'!$B$33="Essential")),1,0)</f>
        <v>0</v>
      </c>
      <c r="AW178" s="304">
        <f t="shared" si="142"/>
        <v>0</v>
      </c>
      <c r="AX178" s="305">
        <f t="shared" si="143"/>
        <v>0</v>
      </c>
      <c r="AY178" s="267"/>
      <c r="AZ178" s="304">
        <f t="shared" si="144"/>
        <v>0</v>
      </c>
      <c r="BA178" s="222">
        <f t="shared" si="145"/>
        <v>0</v>
      </c>
      <c r="BB178" s="306">
        <f t="shared" si="146"/>
        <v>0</v>
      </c>
      <c r="BC178" s="272"/>
      <c r="BD178" s="307">
        <f t="shared" si="147"/>
        <v>0</v>
      </c>
      <c r="BE178" s="308">
        <f t="shared" si="148"/>
        <v>0</v>
      </c>
      <c r="BF178" s="308">
        <f t="shared" si="149"/>
        <v>0</v>
      </c>
      <c r="BG178" s="309">
        <f t="shared" si="150"/>
        <v>0</v>
      </c>
      <c r="BH178" s="249"/>
      <c r="BI178" s="310">
        <f t="shared" si="151"/>
        <v>0</v>
      </c>
      <c r="BJ178" s="311">
        <f t="shared" si="152"/>
        <v>0</v>
      </c>
      <c r="BK178" s="311">
        <f t="shared" si="153"/>
        <v>0</v>
      </c>
      <c r="BL178" s="312">
        <f t="shared" si="154"/>
        <v>0</v>
      </c>
      <c r="BM178" s="249"/>
      <c r="BN178" s="313">
        <f t="shared" si="155"/>
        <v>0</v>
      </c>
      <c r="BO178" s="314">
        <f t="shared" si="156"/>
        <v>0</v>
      </c>
      <c r="BP178" s="314">
        <f t="shared" si="157"/>
        <v>0</v>
      </c>
      <c r="BQ178" s="315">
        <f t="shared" si="158"/>
        <v>0</v>
      </c>
      <c r="BR178" s="249"/>
      <c r="BS178" s="307">
        <f t="shared" si="159"/>
        <v>0</v>
      </c>
      <c r="BT178" s="308">
        <f t="shared" si="160"/>
        <v>0</v>
      </c>
      <c r="BU178" s="308">
        <f t="shared" si="161"/>
        <v>0</v>
      </c>
      <c r="BV178" s="309">
        <f t="shared" si="162"/>
        <v>0</v>
      </c>
      <c r="BW178" s="249"/>
      <c r="BX178" s="310">
        <f t="shared" si="163"/>
        <v>0</v>
      </c>
      <c r="BY178" s="311">
        <f t="shared" si="164"/>
        <v>0</v>
      </c>
      <c r="BZ178" s="311">
        <f t="shared" si="165"/>
        <v>0</v>
      </c>
      <c r="CA178" s="312">
        <f t="shared" si="166"/>
        <v>0</v>
      </c>
      <c r="CB178" s="249"/>
      <c r="CC178" s="313">
        <f t="shared" si="167"/>
        <v>0</v>
      </c>
      <c r="CD178" s="314">
        <f t="shared" si="168"/>
        <v>0</v>
      </c>
      <c r="CE178" s="314">
        <f t="shared" si="169"/>
        <v>0</v>
      </c>
      <c r="CF178" s="315">
        <f t="shared" si="170"/>
        <v>0</v>
      </c>
      <c r="CG178" s="249"/>
      <c r="CH178" s="316"/>
    </row>
    <row r="179" spans="1:86" ht="15.75" hidden="1" customHeight="1" outlineLevel="1" x14ac:dyDescent="0.2">
      <c r="A179" s="242" t="str">
        <f>IF(OR(E179&lt;&gt;FALSE,F179&lt;&gt;FALSE,G179&lt;&gt;FALSE),MAX(A$16:A178)+1,"")</f>
        <v/>
      </c>
      <c r="B179" s="284"/>
      <c r="C179" s="284" t="s">
        <v>42</v>
      </c>
      <c r="D179" s="245" t="s">
        <v>11</v>
      </c>
      <c r="E179" s="285" t="b">
        <v>0</v>
      </c>
      <c r="F179" s="286" t="b">
        <v>0</v>
      </c>
      <c r="G179" s="287" t="b">
        <v>0</v>
      </c>
      <c r="H179" s="249"/>
      <c r="I179" s="288">
        <v>1</v>
      </c>
      <c r="J179" s="249"/>
      <c r="K179" s="289"/>
      <c r="L179" s="290"/>
      <c r="M179" s="290"/>
      <c r="N179" s="290"/>
      <c r="O179" s="290"/>
      <c r="P179" s="290"/>
      <c r="Q179" s="290"/>
      <c r="R179" s="290"/>
      <c r="S179" s="290"/>
      <c r="T179" s="290"/>
      <c r="U179" s="289"/>
      <c r="V179" s="290"/>
      <c r="W179" s="290"/>
      <c r="X179" s="290"/>
      <c r="Y179" s="290"/>
      <c r="Z179" s="290"/>
      <c r="AA179" s="291"/>
      <c r="AB179" s="289"/>
      <c r="AC179" s="290"/>
      <c r="AD179" s="290"/>
      <c r="AE179" s="291"/>
      <c r="AF179" s="249"/>
      <c r="AG179" s="295">
        <f>IF(OR(AND($E179=TRUE,'[1]Pricing Summary'!$B$33=$E$2),AND($F179=TRUE,'[1]Pricing Summary'!$B$33=$F$2),AND($G179=TRUE,'[1]Pricing Summary'!$B$33=$G$2)),1,0)</f>
        <v>0</v>
      </c>
      <c r="AH179" s="295">
        <f t="shared" si="133"/>
        <v>0</v>
      </c>
      <c r="AI179" s="296">
        <f t="shared" si="171"/>
        <v>0</v>
      </c>
      <c r="AJ179" s="297">
        <f t="shared" si="172"/>
        <v>0</v>
      </c>
      <c r="AK179" s="249"/>
      <c r="AL179" s="298">
        <f t="shared" si="136"/>
        <v>0</v>
      </c>
      <c r="AM179" s="383">
        <f t="shared" si="137"/>
        <v>0</v>
      </c>
      <c r="AN179" s="383">
        <f t="shared" si="137"/>
        <v>0</v>
      </c>
      <c r="AO179" s="299">
        <f t="shared" si="137"/>
        <v>0</v>
      </c>
      <c r="AP179" s="300">
        <f>IF(AN$7=0,0,MROUND(AN179/AN$7*AP$8/'[1]Core Assumptions'!$D$28,'[1]Core Assumptions'!$E$23))</f>
        <v>0</v>
      </c>
      <c r="AQ179" s="301">
        <f t="shared" si="139"/>
        <v>0</v>
      </c>
      <c r="AR179" s="302">
        <f t="shared" si="140"/>
        <v>0</v>
      </c>
      <c r="AS179" s="249"/>
      <c r="AT179" s="303">
        <f t="shared" si="141"/>
        <v>0</v>
      </c>
      <c r="AU179" s="267"/>
      <c r="AV179" s="295">
        <f>IF(OR(AND($E179=TRUE,'[1]Pricing Summary'!$B$33="Ultimate"),AND($F179=TRUE,'[1]Pricing Summary'!$B$33="Enhanced"),AND($G179=TRUE,'[1]Pricing Summary'!$B$33="Essential")),1,0)</f>
        <v>0</v>
      </c>
      <c r="AW179" s="304">
        <f t="shared" si="142"/>
        <v>0</v>
      </c>
      <c r="AX179" s="305">
        <f t="shared" si="143"/>
        <v>0</v>
      </c>
      <c r="AY179" s="267"/>
      <c r="AZ179" s="304">
        <f t="shared" si="144"/>
        <v>0</v>
      </c>
      <c r="BA179" s="222">
        <f t="shared" si="145"/>
        <v>0</v>
      </c>
      <c r="BB179" s="306">
        <f t="shared" si="146"/>
        <v>0</v>
      </c>
      <c r="BC179" s="272"/>
      <c r="BD179" s="307">
        <f t="shared" si="147"/>
        <v>0</v>
      </c>
      <c r="BE179" s="308">
        <f t="shared" si="148"/>
        <v>0</v>
      </c>
      <c r="BF179" s="308">
        <f t="shared" si="149"/>
        <v>0</v>
      </c>
      <c r="BG179" s="309">
        <f t="shared" si="150"/>
        <v>0</v>
      </c>
      <c r="BH179" s="249"/>
      <c r="BI179" s="310">
        <f t="shared" si="151"/>
        <v>0</v>
      </c>
      <c r="BJ179" s="311">
        <f t="shared" si="152"/>
        <v>0</v>
      </c>
      <c r="BK179" s="311">
        <f t="shared" si="153"/>
        <v>0</v>
      </c>
      <c r="BL179" s="312">
        <f t="shared" si="154"/>
        <v>0</v>
      </c>
      <c r="BM179" s="249"/>
      <c r="BN179" s="313">
        <f t="shared" si="155"/>
        <v>0</v>
      </c>
      <c r="BO179" s="314">
        <f t="shared" si="156"/>
        <v>0</v>
      </c>
      <c r="BP179" s="314">
        <f t="shared" si="157"/>
        <v>0</v>
      </c>
      <c r="BQ179" s="315">
        <f t="shared" si="158"/>
        <v>0</v>
      </c>
      <c r="BR179" s="249"/>
      <c r="BS179" s="307">
        <f t="shared" si="159"/>
        <v>0</v>
      </c>
      <c r="BT179" s="308">
        <f t="shared" si="160"/>
        <v>0</v>
      </c>
      <c r="BU179" s="308">
        <f t="shared" si="161"/>
        <v>0</v>
      </c>
      <c r="BV179" s="309">
        <f t="shared" si="162"/>
        <v>0</v>
      </c>
      <c r="BW179" s="249"/>
      <c r="BX179" s="310">
        <f t="shared" si="163"/>
        <v>0</v>
      </c>
      <c r="BY179" s="311">
        <f t="shared" si="164"/>
        <v>0</v>
      </c>
      <c r="BZ179" s="311">
        <f t="shared" si="165"/>
        <v>0</v>
      </c>
      <c r="CA179" s="312">
        <f t="shared" si="166"/>
        <v>0</v>
      </c>
      <c r="CB179" s="249"/>
      <c r="CC179" s="313">
        <f t="shared" si="167"/>
        <v>0</v>
      </c>
      <c r="CD179" s="314">
        <f t="shared" si="168"/>
        <v>0</v>
      </c>
      <c r="CE179" s="314">
        <f t="shared" si="169"/>
        <v>0</v>
      </c>
      <c r="CF179" s="315">
        <f t="shared" si="170"/>
        <v>0</v>
      </c>
      <c r="CG179" s="249"/>
      <c r="CH179" s="316"/>
    </row>
    <row r="180" spans="1:86" ht="15.75" hidden="1" customHeight="1" outlineLevel="1" x14ac:dyDescent="0.2">
      <c r="A180" s="242" t="str">
        <f>IF(OR(E180&lt;&gt;FALSE,F180&lt;&gt;FALSE,G180&lt;&gt;FALSE),MAX(A$16:A179)+1,"")</f>
        <v/>
      </c>
      <c r="B180" s="284"/>
      <c r="C180" s="284" t="s">
        <v>42</v>
      </c>
      <c r="D180" s="245" t="s">
        <v>11</v>
      </c>
      <c r="E180" s="285" t="b">
        <v>0</v>
      </c>
      <c r="F180" s="286" t="b">
        <v>0</v>
      </c>
      <c r="G180" s="287" t="b">
        <v>0</v>
      </c>
      <c r="H180" s="249"/>
      <c r="I180" s="288">
        <v>1</v>
      </c>
      <c r="J180" s="249"/>
      <c r="K180" s="289"/>
      <c r="L180" s="290"/>
      <c r="M180" s="290"/>
      <c r="N180" s="290"/>
      <c r="O180" s="290"/>
      <c r="P180" s="290"/>
      <c r="Q180" s="290"/>
      <c r="R180" s="290"/>
      <c r="S180" s="290"/>
      <c r="T180" s="290"/>
      <c r="U180" s="289"/>
      <c r="V180" s="290"/>
      <c r="W180" s="290"/>
      <c r="X180" s="290"/>
      <c r="Y180" s="290"/>
      <c r="Z180" s="290"/>
      <c r="AA180" s="291"/>
      <c r="AB180" s="289"/>
      <c r="AC180" s="290"/>
      <c r="AD180" s="290"/>
      <c r="AE180" s="291"/>
      <c r="AF180" s="249"/>
      <c r="AG180" s="295">
        <f>IF(OR(AND($E180=TRUE,'[1]Pricing Summary'!$B$33=$E$2),AND($F180=TRUE,'[1]Pricing Summary'!$B$33=$F$2),AND($G180=TRUE,'[1]Pricing Summary'!$B$33=$G$2)),1,0)</f>
        <v>0</v>
      </c>
      <c r="AH180" s="295">
        <f t="shared" si="133"/>
        <v>0</v>
      </c>
      <c r="AI180" s="296">
        <f t="shared" si="171"/>
        <v>0</v>
      </c>
      <c r="AJ180" s="297">
        <f t="shared" si="172"/>
        <v>0</v>
      </c>
      <c r="AK180" s="249"/>
      <c r="AL180" s="298">
        <f t="shared" si="136"/>
        <v>0</v>
      </c>
      <c r="AM180" s="383">
        <f t="shared" si="137"/>
        <v>0</v>
      </c>
      <c r="AN180" s="383">
        <f t="shared" si="137"/>
        <v>0</v>
      </c>
      <c r="AO180" s="299">
        <f t="shared" si="137"/>
        <v>0</v>
      </c>
      <c r="AP180" s="300">
        <f>IF(AN$7=0,0,MROUND(AN180/AN$7*AP$8/'[1]Core Assumptions'!$D$28,'[1]Core Assumptions'!$E$23))</f>
        <v>0</v>
      </c>
      <c r="AQ180" s="301">
        <f t="shared" si="139"/>
        <v>0</v>
      </c>
      <c r="AR180" s="302">
        <f t="shared" si="140"/>
        <v>0</v>
      </c>
      <c r="AS180" s="249"/>
      <c r="AT180" s="303">
        <f t="shared" si="141"/>
        <v>0</v>
      </c>
      <c r="AU180" s="267"/>
      <c r="AV180" s="295">
        <f>IF(OR(AND($E180=TRUE,'[1]Pricing Summary'!$B$33="Ultimate"),AND($F180=TRUE,'[1]Pricing Summary'!$B$33="Enhanced"),AND($G180=TRUE,'[1]Pricing Summary'!$B$33="Essential")),1,0)</f>
        <v>0</v>
      </c>
      <c r="AW180" s="304">
        <f t="shared" si="142"/>
        <v>0</v>
      </c>
      <c r="AX180" s="305">
        <f t="shared" si="143"/>
        <v>0</v>
      </c>
      <c r="AY180" s="267"/>
      <c r="AZ180" s="304">
        <f t="shared" si="144"/>
        <v>0</v>
      </c>
      <c r="BA180" s="222">
        <f t="shared" si="145"/>
        <v>0</v>
      </c>
      <c r="BB180" s="306">
        <f t="shared" si="146"/>
        <v>0</v>
      </c>
      <c r="BC180" s="272"/>
      <c r="BD180" s="307">
        <f t="shared" si="147"/>
        <v>0</v>
      </c>
      <c r="BE180" s="308">
        <f t="shared" si="148"/>
        <v>0</v>
      </c>
      <c r="BF180" s="308">
        <f t="shared" si="149"/>
        <v>0</v>
      </c>
      <c r="BG180" s="309">
        <f t="shared" si="150"/>
        <v>0</v>
      </c>
      <c r="BH180" s="249"/>
      <c r="BI180" s="310">
        <f t="shared" si="151"/>
        <v>0</v>
      </c>
      <c r="BJ180" s="311">
        <f t="shared" si="152"/>
        <v>0</v>
      </c>
      <c r="BK180" s="311">
        <f t="shared" si="153"/>
        <v>0</v>
      </c>
      <c r="BL180" s="312">
        <f t="shared" si="154"/>
        <v>0</v>
      </c>
      <c r="BM180" s="249"/>
      <c r="BN180" s="313">
        <f t="shared" si="155"/>
        <v>0</v>
      </c>
      <c r="BO180" s="314">
        <f t="shared" si="156"/>
        <v>0</v>
      </c>
      <c r="BP180" s="314">
        <f t="shared" si="157"/>
        <v>0</v>
      </c>
      <c r="BQ180" s="315">
        <f t="shared" si="158"/>
        <v>0</v>
      </c>
      <c r="BR180" s="249"/>
      <c r="BS180" s="307">
        <f t="shared" si="159"/>
        <v>0</v>
      </c>
      <c r="BT180" s="308">
        <f t="shared" si="160"/>
        <v>0</v>
      </c>
      <c r="BU180" s="308">
        <f t="shared" si="161"/>
        <v>0</v>
      </c>
      <c r="BV180" s="309">
        <f t="shared" si="162"/>
        <v>0</v>
      </c>
      <c r="BW180" s="249"/>
      <c r="BX180" s="310">
        <f t="shared" si="163"/>
        <v>0</v>
      </c>
      <c r="BY180" s="311">
        <f t="shared" si="164"/>
        <v>0</v>
      </c>
      <c r="BZ180" s="311">
        <f t="shared" si="165"/>
        <v>0</v>
      </c>
      <c r="CA180" s="312">
        <f t="shared" si="166"/>
        <v>0</v>
      </c>
      <c r="CB180" s="249"/>
      <c r="CC180" s="313">
        <f t="shared" si="167"/>
        <v>0</v>
      </c>
      <c r="CD180" s="314">
        <f t="shared" si="168"/>
        <v>0</v>
      </c>
      <c r="CE180" s="314">
        <f t="shared" si="169"/>
        <v>0</v>
      </c>
      <c r="CF180" s="315">
        <f t="shared" si="170"/>
        <v>0</v>
      </c>
      <c r="CG180" s="249"/>
      <c r="CH180" s="316"/>
    </row>
    <row r="181" spans="1:86" ht="15.75" hidden="1" customHeight="1" outlineLevel="1" x14ac:dyDescent="0.2">
      <c r="A181" s="242" t="str">
        <f>IF(OR(E181&lt;&gt;FALSE,F181&lt;&gt;FALSE,G181&lt;&gt;FALSE),MAX(A$16:A180)+1,"")</f>
        <v/>
      </c>
      <c r="B181" s="284"/>
      <c r="C181" s="284" t="s">
        <v>42</v>
      </c>
      <c r="D181" s="245" t="s">
        <v>11</v>
      </c>
      <c r="E181" s="285" t="b">
        <v>0</v>
      </c>
      <c r="F181" s="286" t="b">
        <v>0</v>
      </c>
      <c r="G181" s="287" t="b">
        <v>0</v>
      </c>
      <c r="H181" s="249"/>
      <c r="I181" s="288">
        <v>1</v>
      </c>
      <c r="J181" s="249"/>
      <c r="K181" s="289"/>
      <c r="L181" s="290"/>
      <c r="M181" s="290"/>
      <c r="N181" s="290"/>
      <c r="O181" s="290"/>
      <c r="P181" s="290"/>
      <c r="Q181" s="290"/>
      <c r="R181" s="290"/>
      <c r="S181" s="290"/>
      <c r="T181" s="290"/>
      <c r="U181" s="289"/>
      <c r="V181" s="290"/>
      <c r="W181" s="290"/>
      <c r="X181" s="290"/>
      <c r="Y181" s="290"/>
      <c r="Z181" s="290"/>
      <c r="AA181" s="291"/>
      <c r="AB181" s="289"/>
      <c r="AC181" s="290"/>
      <c r="AD181" s="290"/>
      <c r="AE181" s="291"/>
      <c r="AF181" s="249"/>
      <c r="AG181" s="295">
        <f>IF(OR(AND($E181=TRUE,'[1]Pricing Summary'!$B$33=$E$2),AND($F181=TRUE,'[1]Pricing Summary'!$B$33=$F$2),AND($G181=TRUE,'[1]Pricing Summary'!$B$33=$G$2)),1,0)</f>
        <v>0</v>
      </c>
      <c r="AH181" s="295">
        <f t="shared" si="133"/>
        <v>0</v>
      </c>
      <c r="AI181" s="296">
        <f t="shared" si="171"/>
        <v>0</v>
      </c>
      <c r="AJ181" s="297">
        <f t="shared" si="172"/>
        <v>0</v>
      </c>
      <c r="AK181" s="249"/>
      <c r="AL181" s="298">
        <f t="shared" si="136"/>
        <v>0</v>
      </c>
      <c r="AM181" s="383">
        <f t="shared" si="137"/>
        <v>0</v>
      </c>
      <c r="AN181" s="383">
        <f t="shared" si="137"/>
        <v>0</v>
      </c>
      <c r="AO181" s="299">
        <f t="shared" si="137"/>
        <v>0</v>
      </c>
      <c r="AP181" s="300">
        <f>IF(AN$7=0,0,MROUND(AN181/AN$7*AP$8/'[1]Core Assumptions'!$D$28,'[1]Core Assumptions'!$E$23))</f>
        <v>0</v>
      </c>
      <c r="AQ181" s="301">
        <f t="shared" si="139"/>
        <v>0</v>
      </c>
      <c r="AR181" s="302">
        <f t="shared" si="140"/>
        <v>0</v>
      </c>
      <c r="AS181" s="249"/>
      <c r="AT181" s="303">
        <f t="shared" si="141"/>
        <v>0</v>
      </c>
      <c r="AU181" s="267"/>
      <c r="AV181" s="295">
        <f>IF(OR(AND($E181=TRUE,'[1]Pricing Summary'!$B$33="Ultimate"),AND($F181=TRUE,'[1]Pricing Summary'!$B$33="Enhanced"),AND($G181=TRUE,'[1]Pricing Summary'!$B$33="Essential")),1,0)</f>
        <v>0</v>
      </c>
      <c r="AW181" s="304">
        <f t="shared" si="142"/>
        <v>0</v>
      </c>
      <c r="AX181" s="305">
        <f t="shared" si="143"/>
        <v>0</v>
      </c>
      <c r="AY181" s="267"/>
      <c r="AZ181" s="304">
        <f t="shared" si="144"/>
        <v>0</v>
      </c>
      <c r="BA181" s="222">
        <f t="shared" si="145"/>
        <v>0</v>
      </c>
      <c r="BB181" s="306">
        <f t="shared" si="146"/>
        <v>0</v>
      </c>
      <c r="BC181" s="272"/>
      <c r="BD181" s="307">
        <f t="shared" si="147"/>
        <v>0</v>
      </c>
      <c r="BE181" s="308">
        <f t="shared" si="148"/>
        <v>0</v>
      </c>
      <c r="BF181" s="308">
        <f t="shared" si="149"/>
        <v>0</v>
      </c>
      <c r="BG181" s="309">
        <f t="shared" si="150"/>
        <v>0</v>
      </c>
      <c r="BH181" s="249"/>
      <c r="BI181" s="310">
        <f t="shared" si="151"/>
        <v>0</v>
      </c>
      <c r="BJ181" s="311">
        <f t="shared" si="152"/>
        <v>0</v>
      </c>
      <c r="BK181" s="311">
        <f t="shared" si="153"/>
        <v>0</v>
      </c>
      <c r="BL181" s="312">
        <f t="shared" si="154"/>
        <v>0</v>
      </c>
      <c r="BM181" s="249"/>
      <c r="BN181" s="313">
        <f t="shared" si="155"/>
        <v>0</v>
      </c>
      <c r="BO181" s="314">
        <f t="shared" si="156"/>
        <v>0</v>
      </c>
      <c r="BP181" s="314">
        <f t="shared" si="157"/>
        <v>0</v>
      </c>
      <c r="BQ181" s="315">
        <f t="shared" si="158"/>
        <v>0</v>
      </c>
      <c r="BR181" s="249"/>
      <c r="BS181" s="307">
        <f t="shared" si="159"/>
        <v>0</v>
      </c>
      <c r="BT181" s="308">
        <f t="shared" si="160"/>
        <v>0</v>
      </c>
      <c r="BU181" s="308">
        <f t="shared" si="161"/>
        <v>0</v>
      </c>
      <c r="BV181" s="309">
        <f t="shared" si="162"/>
        <v>0</v>
      </c>
      <c r="BW181" s="249"/>
      <c r="BX181" s="310">
        <f t="shared" si="163"/>
        <v>0</v>
      </c>
      <c r="BY181" s="311">
        <f t="shared" si="164"/>
        <v>0</v>
      </c>
      <c r="BZ181" s="311">
        <f t="shared" si="165"/>
        <v>0</v>
      </c>
      <c r="CA181" s="312">
        <f t="shared" si="166"/>
        <v>0</v>
      </c>
      <c r="CB181" s="249"/>
      <c r="CC181" s="313">
        <f t="shared" si="167"/>
        <v>0</v>
      </c>
      <c r="CD181" s="314">
        <f t="shared" si="168"/>
        <v>0</v>
      </c>
      <c r="CE181" s="314">
        <f t="shared" si="169"/>
        <v>0</v>
      </c>
      <c r="CF181" s="315">
        <f t="shared" si="170"/>
        <v>0</v>
      </c>
      <c r="CG181" s="249"/>
      <c r="CH181" s="316"/>
    </row>
    <row r="182" spans="1:86" ht="15.75" hidden="1" customHeight="1" outlineLevel="1" x14ac:dyDescent="0.2">
      <c r="A182" s="242" t="str">
        <f>IF(OR(E182&lt;&gt;FALSE,F182&lt;&gt;FALSE,G182&lt;&gt;FALSE),MAX(A$16:A181)+1,"")</f>
        <v/>
      </c>
      <c r="B182" s="284"/>
      <c r="C182" s="284" t="s">
        <v>42</v>
      </c>
      <c r="D182" s="245" t="s">
        <v>11</v>
      </c>
      <c r="E182" s="285" t="b">
        <v>0</v>
      </c>
      <c r="F182" s="286" t="b">
        <v>0</v>
      </c>
      <c r="G182" s="287" t="b">
        <v>0</v>
      </c>
      <c r="H182" s="249"/>
      <c r="I182" s="288">
        <v>1</v>
      </c>
      <c r="J182" s="249"/>
      <c r="K182" s="289"/>
      <c r="L182" s="290"/>
      <c r="M182" s="290"/>
      <c r="N182" s="290"/>
      <c r="O182" s="290"/>
      <c r="P182" s="290"/>
      <c r="Q182" s="290"/>
      <c r="R182" s="290"/>
      <c r="S182" s="290"/>
      <c r="T182" s="290"/>
      <c r="U182" s="289"/>
      <c r="V182" s="290"/>
      <c r="W182" s="290"/>
      <c r="X182" s="290"/>
      <c r="Y182" s="290"/>
      <c r="Z182" s="290"/>
      <c r="AA182" s="291"/>
      <c r="AB182" s="289"/>
      <c r="AC182" s="290"/>
      <c r="AD182" s="290"/>
      <c r="AE182" s="291"/>
      <c r="AF182" s="249"/>
      <c r="AG182" s="295">
        <f>IF(OR(AND($E182=TRUE,'[1]Pricing Summary'!$B$33=$E$2),AND($F182=TRUE,'[1]Pricing Summary'!$B$33=$F$2),AND($G182=TRUE,'[1]Pricing Summary'!$B$33=$G$2)),1,0)</f>
        <v>0</v>
      </c>
      <c r="AH182" s="295">
        <f t="shared" si="133"/>
        <v>0</v>
      </c>
      <c r="AI182" s="296">
        <f t="shared" si="171"/>
        <v>0</v>
      </c>
      <c r="AJ182" s="297">
        <f t="shared" si="172"/>
        <v>0</v>
      </c>
      <c r="AK182" s="249"/>
      <c r="AL182" s="298">
        <f t="shared" si="136"/>
        <v>0</v>
      </c>
      <c r="AM182" s="383">
        <f t="shared" si="137"/>
        <v>0</v>
      </c>
      <c r="AN182" s="383">
        <f t="shared" si="137"/>
        <v>0</v>
      </c>
      <c r="AO182" s="299">
        <f t="shared" si="137"/>
        <v>0</v>
      </c>
      <c r="AP182" s="300">
        <f>IF(AN$7=0,0,MROUND(AN182/AN$7*AP$8/'[1]Core Assumptions'!$D$28,'[1]Core Assumptions'!$E$23))</f>
        <v>0</v>
      </c>
      <c r="AQ182" s="301">
        <f t="shared" si="139"/>
        <v>0</v>
      </c>
      <c r="AR182" s="302">
        <f t="shared" si="140"/>
        <v>0</v>
      </c>
      <c r="AS182" s="249"/>
      <c r="AT182" s="303">
        <f t="shared" si="141"/>
        <v>0</v>
      </c>
      <c r="AU182" s="267"/>
      <c r="AV182" s="295">
        <f>IF(OR(AND($E182=TRUE,'[1]Pricing Summary'!$B$33="Ultimate"),AND($F182=TRUE,'[1]Pricing Summary'!$B$33="Enhanced"),AND($G182=TRUE,'[1]Pricing Summary'!$B$33="Essential")),1,0)</f>
        <v>0</v>
      </c>
      <c r="AW182" s="304">
        <f t="shared" si="142"/>
        <v>0</v>
      </c>
      <c r="AX182" s="305">
        <f t="shared" si="143"/>
        <v>0</v>
      </c>
      <c r="AY182" s="267"/>
      <c r="AZ182" s="304">
        <f t="shared" si="144"/>
        <v>0</v>
      </c>
      <c r="BA182" s="222">
        <f t="shared" si="145"/>
        <v>0</v>
      </c>
      <c r="BB182" s="306">
        <f t="shared" si="146"/>
        <v>0</v>
      </c>
      <c r="BC182" s="272"/>
      <c r="BD182" s="307">
        <f t="shared" si="147"/>
        <v>0</v>
      </c>
      <c r="BE182" s="308">
        <f t="shared" si="148"/>
        <v>0</v>
      </c>
      <c r="BF182" s="308">
        <f t="shared" si="149"/>
        <v>0</v>
      </c>
      <c r="BG182" s="309">
        <f t="shared" si="150"/>
        <v>0</v>
      </c>
      <c r="BH182" s="249"/>
      <c r="BI182" s="310">
        <f t="shared" si="151"/>
        <v>0</v>
      </c>
      <c r="BJ182" s="311">
        <f t="shared" si="152"/>
        <v>0</v>
      </c>
      <c r="BK182" s="311">
        <f t="shared" si="153"/>
        <v>0</v>
      </c>
      <c r="BL182" s="312">
        <f t="shared" si="154"/>
        <v>0</v>
      </c>
      <c r="BM182" s="249"/>
      <c r="BN182" s="313">
        <f t="shared" si="155"/>
        <v>0</v>
      </c>
      <c r="BO182" s="314">
        <f t="shared" si="156"/>
        <v>0</v>
      </c>
      <c r="BP182" s="314">
        <f t="shared" si="157"/>
        <v>0</v>
      </c>
      <c r="BQ182" s="315">
        <f t="shared" si="158"/>
        <v>0</v>
      </c>
      <c r="BR182" s="249"/>
      <c r="BS182" s="307">
        <f t="shared" si="159"/>
        <v>0</v>
      </c>
      <c r="BT182" s="308">
        <f t="shared" si="160"/>
        <v>0</v>
      </c>
      <c r="BU182" s="308">
        <f t="shared" si="161"/>
        <v>0</v>
      </c>
      <c r="BV182" s="309">
        <f t="shared" si="162"/>
        <v>0</v>
      </c>
      <c r="BW182" s="249"/>
      <c r="BX182" s="310">
        <f t="shared" si="163"/>
        <v>0</v>
      </c>
      <c r="BY182" s="311">
        <f t="shared" si="164"/>
        <v>0</v>
      </c>
      <c r="BZ182" s="311">
        <f t="shared" si="165"/>
        <v>0</v>
      </c>
      <c r="CA182" s="312">
        <f t="shared" si="166"/>
        <v>0</v>
      </c>
      <c r="CB182" s="249"/>
      <c r="CC182" s="313">
        <f t="shared" si="167"/>
        <v>0</v>
      </c>
      <c r="CD182" s="314">
        <f t="shared" si="168"/>
        <v>0</v>
      </c>
      <c r="CE182" s="314">
        <f t="shared" si="169"/>
        <v>0</v>
      </c>
      <c r="CF182" s="315">
        <f t="shared" si="170"/>
        <v>0</v>
      </c>
      <c r="CG182" s="249"/>
      <c r="CH182" s="316"/>
    </row>
    <row r="183" spans="1:86" ht="15.75" hidden="1" customHeight="1" outlineLevel="1" x14ac:dyDescent="0.2">
      <c r="A183" s="242" t="str">
        <f>IF(OR(E183&lt;&gt;FALSE,F183&lt;&gt;FALSE,G183&lt;&gt;FALSE),MAX(A$16:A182)+1,"")</f>
        <v/>
      </c>
      <c r="B183" s="284"/>
      <c r="C183" s="284" t="s">
        <v>42</v>
      </c>
      <c r="D183" s="245" t="s">
        <v>11</v>
      </c>
      <c r="E183" s="285" t="b">
        <v>0</v>
      </c>
      <c r="F183" s="286" t="b">
        <v>0</v>
      </c>
      <c r="G183" s="287" t="b">
        <v>0</v>
      </c>
      <c r="H183" s="249"/>
      <c r="I183" s="288">
        <v>1</v>
      </c>
      <c r="J183" s="249"/>
      <c r="K183" s="289"/>
      <c r="L183" s="290"/>
      <c r="M183" s="290"/>
      <c r="N183" s="290"/>
      <c r="O183" s="290"/>
      <c r="P183" s="290"/>
      <c r="Q183" s="290"/>
      <c r="R183" s="290"/>
      <c r="S183" s="290"/>
      <c r="T183" s="290"/>
      <c r="U183" s="289"/>
      <c r="V183" s="290"/>
      <c r="W183" s="290"/>
      <c r="X183" s="290"/>
      <c r="Y183" s="290"/>
      <c r="Z183" s="290"/>
      <c r="AA183" s="291"/>
      <c r="AB183" s="289"/>
      <c r="AC183" s="290"/>
      <c r="AD183" s="290"/>
      <c r="AE183" s="291"/>
      <c r="AF183" s="249"/>
      <c r="AG183" s="295">
        <f>IF(OR(AND($E183=TRUE,'[1]Pricing Summary'!$B$33=$E$2),AND($F183=TRUE,'[1]Pricing Summary'!$B$33=$F$2),AND($G183=TRUE,'[1]Pricing Summary'!$B$33=$G$2)),1,0)</f>
        <v>0</v>
      </c>
      <c r="AH183" s="295">
        <f t="shared" si="133"/>
        <v>0</v>
      </c>
      <c r="AI183" s="296">
        <f t="shared" si="171"/>
        <v>0</v>
      </c>
      <c r="AJ183" s="297">
        <f t="shared" si="172"/>
        <v>0</v>
      </c>
      <c r="AK183" s="249"/>
      <c r="AL183" s="298">
        <f t="shared" si="136"/>
        <v>0</v>
      </c>
      <c r="AM183" s="383">
        <f t="shared" si="137"/>
        <v>0</v>
      </c>
      <c r="AN183" s="383">
        <f t="shared" si="137"/>
        <v>0</v>
      </c>
      <c r="AO183" s="299">
        <f t="shared" si="137"/>
        <v>0</v>
      </c>
      <c r="AP183" s="300">
        <f>IF(AN$7=0,0,MROUND(AN183/AN$7*AP$8/'[1]Core Assumptions'!$D$28,'[1]Core Assumptions'!$E$23))</f>
        <v>0</v>
      </c>
      <c r="AQ183" s="301">
        <f t="shared" si="139"/>
        <v>0</v>
      </c>
      <c r="AR183" s="302">
        <f t="shared" si="140"/>
        <v>0</v>
      </c>
      <c r="AS183" s="249"/>
      <c r="AT183" s="303">
        <f t="shared" si="141"/>
        <v>0</v>
      </c>
      <c r="AU183" s="267"/>
      <c r="AV183" s="295">
        <f>IF(OR(AND($E183=TRUE,'[1]Pricing Summary'!$B$33="Ultimate"),AND($F183=TRUE,'[1]Pricing Summary'!$B$33="Enhanced"),AND($G183=TRUE,'[1]Pricing Summary'!$B$33="Essential")),1,0)</f>
        <v>0</v>
      </c>
      <c r="AW183" s="304">
        <f t="shared" si="142"/>
        <v>0</v>
      </c>
      <c r="AX183" s="305">
        <f t="shared" si="143"/>
        <v>0</v>
      </c>
      <c r="AY183" s="267"/>
      <c r="AZ183" s="304">
        <f t="shared" si="144"/>
        <v>0</v>
      </c>
      <c r="BA183" s="222">
        <f t="shared" si="145"/>
        <v>0</v>
      </c>
      <c r="BB183" s="306">
        <f t="shared" si="146"/>
        <v>0</v>
      </c>
      <c r="BC183" s="272"/>
      <c r="BD183" s="307">
        <f t="shared" si="147"/>
        <v>0</v>
      </c>
      <c r="BE183" s="308">
        <f t="shared" si="148"/>
        <v>0</v>
      </c>
      <c r="BF183" s="308">
        <f t="shared" si="149"/>
        <v>0</v>
      </c>
      <c r="BG183" s="309">
        <f t="shared" si="150"/>
        <v>0</v>
      </c>
      <c r="BH183" s="249"/>
      <c r="BI183" s="310">
        <f t="shared" si="151"/>
        <v>0</v>
      </c>
      <c r="BJ183" s="311">
        <f t="shared" si="152"/>
        <v>0</v>
      </c>
      <c r="BK183" s="311">
        <f t="shared" si="153"/>
        <v>0</v>
      </c>
      <c r="BL183" s="312">
        <f t="shared" si="154"/>
        <v>0</v>
      </c>
      <c r="BM183" s="249"/>
      <c r="BN183" s="313">
        <f t="shared" si="155"/>
        <v>0</v>
      </c>
      <c r="BO183" s="314">
        <f t="shared" si="156"/>
        <v>0</v>
      </c>
      <c r="BP183" s="314">
        <f t="shared" si="157"/>
        <v>0</v>
      </c>
      <c r="BQ183" s="315">
        <f t="shared" si="158"/>
        <v>0</v>
      </c>
      <c r="BR183" s="249"/>
      <c r="BS183" s="307">
        <f t="shared" si="159"/>
        <v>0</v>
      </c>
      <c r="BT183" s="308">
        <f t="shared" si="160"/>
        <v>0</v>
      </c>
      <c r="BU183" s="308">
        <f t="shared" si="161"/>
        <v>0</v>
      </c>
      <c r="BV183" s="309">
        <f t="shared" si="162"/>
        <v>0</v>
      </c>
      <c r="BW183" s="249"/>
      <c r="BX183" s="310">
        <f t="shared" si="163"/>
        <v>0</v>
      </c>
      <c r="BY183" s="311">
        <f t="shared" si="164"/>
        <v>0</v>
      </c>
      <c r="BZ183" s="311">
        <f t="shared" si="165"/>
        <v>0</v>
      </c>
      <c r="CA183" s="312">
        <f t="shared" si="166"/>
        <v>0</v>
      </c>
      <c r="CB183" s="249"/>
      <c r="CC183" s="313">
        <f t="shared" si="167"/>
        <v>0</v>
      </c>
      <c r="CD183" s="314">
        <f t="shared" si="168"/>
        <v>0</v>
      </c>
      <c r="CE183" s="314">
        <f t="shared" si="169"/>
        <v>0</v>
      </c>
      <c r="CF183" s="315">
        <f t="shared" si="170"/>
        <v>0</v>
      </c>
      <c r="CG183" s="249"/>
      <c r="CH183" s="316"/>
    </row>
    <row r="184" spans="1:86" ht="15.75" hidden="1" customHeight="1" outlineLevel="1" x14ac:dyDescent="0.2">
      <c r="A184" s="242" t="str">
        <f>IF(OR(E184&lt;&gt;FALSE,F184&lt;&gt;FALSE,G184&lt;&gt;FALSE),MAX(A$16:A183)+1,"")</f>
        <v/>
      </c>
      <c r="B184" s="284"/>
      <c r="C184" s="284" t="s">
        <v>42</v>
      </c>
      <c r="D184" s="245" t="s">
        <v>11</v>
      </c>
      <c r="E184" s="285" t="b">
        <v>0</v>
      </c>
      <c r="F184" s="286" t="b">
        <v>0</v>
      </c>
      <c r="G184" s="287" t="b">
        <v>0</v>
      </c>
      <c r="H184" s="249"/>
      <c r="I184" s="288">
        <v>1</v>
      </c>
      <c r="J184" s="249"/>
      <c r="K184" s="289"/>
      <c r="L184" s="290"/>
      <c r="M184" s="290"/>
      <c r="N184" s="290"/>
      <c r="O184" s="290"/>
      <c r="P184" s="290"/>
      <c r="Q184" s="290"/>
      <c r="R184" s="290"/>
      <c r="S184" s="290"/>
      <c r="T184" s="290"/>
      <c r="U184" s="289"/>
      <c r="V184" s="290"/>
      <c r="W184" s="290"/>
      <c r="X184" s="290"/>
      <c r="Y184" s="290"/>
      <c r="Z184" s="290"/>
      <c r="AA184" s="291"/>
      <c r="AB184" s="289"/>
      <c r="AC184" s="290"/>
      <c r="AD184" s="290"/>
      <c r="AE184" s="291"/>
      <c r="AF184" s="249"/>
      <c r="AG184" s="295">
        <f>IF(OR(AND($E184=TRUE,'[1]Pricing Summary'!$B$33=$E$2),AND($F184=TRUE,'[1]Pricing Summary'!$B$33=$F$2),AND($G184=TRUE,'[1]Pricing Summary'!$B$33=$G$2)),1,0)</f>
        <v>0</v>
      </c>
      <c r="AH184" s="295">
        <f t="shared" si="133"/>
        <v>0</v>
      </c>
      <c r="AI184" s="296">
        <f t="shared" si="171"/>
        <v>0</v>
      </c>
      <c r="AJ184" s="297">
        <f t="shared" si="172"/>
        <v>0</v>
      </c>
      <c r="AK184" s="249"/>
      <c r="AL184" s="298">
        <f t="shared" si="136"/>
        <v>0</v>
      </c>
      <c r="AM184" s="383">
        <f t="shared" si="137"/>
        <v>0</v>
      </c>
      <c r="AN184" s="383">
        <f t="shared" si="137"/>
        <v>0</v>
      </c>
      <c r="AO184" s="299">
        <f t="shared" si="137"/>
        <v>0</v>
      </c>
      <c r="AP184" s="300">
        <f>IF(AN$7=0,0,MROUND(AN184/AN$7*AP$8/'[1]Core Assumptions'!$D$28,'[1]Core Assumptions'!$E$23))</f>
        <v>0</v>
      </c>
      <c r="AQ184" s="301">
        <f t="shared" si="139"/>
        <v>0</v>
      </c>
      <c r="AR184" s="302">
        <f t="shared" si="140"/>
        <v>0</v>
      </c>
      <c r="AS184" s="249"/>
      <c r="AT184" s="303">
        <f t="shared" si="141"/>
        <v>0</v>
      </c>
      <c r="AU184" s="267"/>
      <c r="AV184" s="295">
        <f>IF(OR(AND($E184=TRUE,'[1]Pricing Summary'!$B$33="Ultimate"),AND($F184=TRUE,'[1]Pricing Summary'!$B$33="Enhanced"),AND($G184=TRUE,'[1]Pricing Summary'!$B$33="Essential")),1,0)</f>
        <v>0</v>
      </c>
      <c r="AW184" s="304">
        <f t="shared" si="142"/>
        <v>0</v>
      </c>
      <c r="AX184" s="305">
        <f t="shared" si="143"/>
        <v>0</v>
      </c>
      <c r="AY184" s="267"/>
      <c r="AZ184" s="304">
        <f t="shared" si="144"/>
        <v>0</v>
      </c>
      <c r="BA184" s="222">
        <f t="shared" si="145"/>
        <v>0</v>
      </c>
      <c r="BB184" s="306">
        <f t="shared" si="146"/>
        <v>0</v>
      </c>
      <c r="BC184" s="272"/>
      <c r="BD184" s="307">
        <f t="shared" si="147"/>
        <v>0</v>
      </c>
      <c r="BE184" s="308">
        <f t="shared" si="148"/>
        <v>0</v>
      </c>
      <c r="BF184" s="308">
        <f t="shared" si="149"/>
        <v>0</v>
      </c>
      <c r="BG184" s="309">
        <f t="shared" si="150"/>
        <v>0</v>
      </c>
      <c r="BH184" s="249"/>
      <c r="BI184" s="310">
        <f t="shared" si="151"/>
        <v>0</v>
      </c>
      <c r="BJ184" s="311">
        <f t="shared" si="152"/>
        <v>0</v>
      </c>
      <c r="BK184" s="311">
        <f t="shared" si="153"/>
        <v>0</v>
      </c>
      <c r="BL184" s="312">
        <f t="shared" si="154"/>
        <v>0</v>
      </c>
      <c r="BM184" s="249"/>
      <c r="BN184" s="313">
        <f t="shared" si="155"/>
        <v>0</v>
      </c>
      <c r="BO184" s="314">
        <f t="shared" si="156"/>
        <v>0</v>
      </c>
      <c r="BP184" s="314">
        <f t="shared" si="157"/>
        <v>0</v>
      </c>
      <c r="BQ184" s="315">
        <f t="shared" si="158"/>
        <v>0</v>
      </c>
      <c r="BR184" s="249"/>
      <c r="BS184" s="307">
        <f t="shared" si="159"/>
        <v>0</v>
      </c>
      <c r="BT184" s="308">
        <f t="shared" si="160"/>
        <v>0</v>
      </c>
      <c r="BU184" s="308">
        <f t="shared" si="161"/>
        <v>0</v>
      </c>
      <c r="BV184" s="309">
        <f t="shared" si="162"/>
        <v>0</v>
      </c>
      <c r="BW184" s="249"/>
      <c r="BX184" s="310">
        <f t="shared" si="163"/>
        <v>0</v>
      </c>
      <c r="BY184" s="311">
        <f t="shared" si="164"/>
        <v>0</v>
      </c>
      <c r="BZ184" s="311">
        <f t="shared" si="165"/>
        <v>0</v>
      </c>
      <c r="CA184" s="312">
        <f t="shared" si="166"/>
        <v>0</v>
      </c>
      <c r="CB184" s="249"/>
      <c r="CC184" s="313">
        <f t="shared" si="167"/>
        <v>0</v>
      </c>
      <c r="CD184" s="314">
        <f t="shared" si="168"/>
        <v>0</v>
      </c>
      <c r="CE184" s="314">
        <f t="shared" si="169"/>
        <v>0</v>
      </c>
      <c r="CF184" s="315">
        <f t="shared" si="170"/>
        <v>0</v>
      </c>
      <c r="CG184" s="249"/>
      <c r="CH184" s="316"/>
    </row>
    <row r="185" spans="1:86" ht="15.75" hidden="1" customHeight="1" outlineLevel="1" x14ac:dyDescent="0.2">
      <c r="A185" s="242" t="str">
        <f>IF(OR(E185&lt;&gt;FALSE,F185&lt;&gt;FALSE,G185&lt;&gt;FALSE),MAX(A$16:A184)+1,"")</f>
        <v/>
      </c>
      <c r="B185" s="284"/>
      <c r="C185" s="284" t="s">
        <v>42</v>
      </c>
      <c r="D185" s="245" t="s">
        <v>11</v>
      </c>
      <c r="E185" s="285" t="b">
        <v>0</v>
      </c>
      <c r="F185" s="286" t="b">
        <v>0</v>
      </c>
      <c r="G185" s="287" t="b">
        <v>0</v>
      </c>
      <c r="H185" s="249"/>
      <c r="I185" s="288">
        <v>1</v>
      </c>
      <c r="J185" s="249"/>
      <c r="K185" s="289"/>
      <c r="L185" s="290"/>
      <c r="M185" s="290"/>
      <c r="N185" s="290"/>
      <c r="O185" s="290"/>
      <c r="P185" s="290"/>
      <c r="Q185" s="290"/>
      <c r="R185" s="290"/>
      <c r="S185" s="290"/>
      <c r="T185" s="290"/>
      <c r="U185" s="289"/>
      <c r="V185" s="290"/>
      <c r="W185" s="290"/>
      <c r="X185" s="290"/>
      <c r="Y185" s="290"/>
      <c r="Z185" s="290"/>
      <c r="AA185" s="291"/>
      <c r="AB185" s="289"/>
      <c r="AC185" s="290"/>
      <c r="AD185" s="290"/>
      <c r="AE185" s="291"/>
      <c r="AF185" s="249"/>
      <c r="AG185" s="295">
        <f>IF(OR(AND($E185=TRUE,'[1]Pricing Summary'!$B$33=$E$2),AND($F185=TRUE,'[1]Pricing Summary'!$B$33=$F$2),AND($G185=TRUE,'[1]Pricing Summary'!$B$33=$G$2)),1,0)</f>
        <v>0</v>
      </c>
      <c r="AH185" s="295">
        <f t="shared" si="133"/>
        <v>0</v>
      </c>
      <c r="AI185" s="296">
        <f t="shared" si="171"/>
        <v>0</v>
      </c>
      <c r="AJ185" s="297">
        <f t="shared" si="172"/>
        <v>0</v>
      </c>
      <c r="AK185" s="249"/>
      <c r="AL185" s="298">
        <f t="shared" si="136"/>
        <v>0</v>
      </c>
      <c r="AM185" s="383">
        <f t="shared" si="137"/>
        <v>0</v>
      </c>
      <c r="AN185" s="383">
        <f t="shared" si="137"/>
        <v>0</v>
      </c>
      <c r="AO185" s="299">
        <f t="shared" si="137"/>
        <v>0</v>
      </c>
      <c r="AP185" s="300">
        <f>IF(AN$7=0,0,MROUND(AN185/AN$7*AP$8/'[1]Core Assumptions'!$D$28,'[1]Core Assumptions'!$E$23))</f>
        <v>0</v>
      </c>
      <c r="AQ185" s="301">
        <f t="shared" si="139"/>
        <v>0</v>
      </c>
      <c r="AR185" s="302">
        <f t="shared" si="140"/>
        <v>0</v>
      </c>
      <c r="AS185" s="249"/>
      <c r="AT185" s="303">
        <f t="shared" si="141"/>
        <v>0</v>
      </c>
      <c r="AU185" s="267"/>
      <c r="AV185" s="295">
        <f>IF(OR(AND($E185=TRUE,'[1]Pricing Summary'!$B$33="Ultimate"),AND($F185=TRUE,'[1]Pricing Summary'!$B$33="Enhanced"),AND($G185=TRUE,'[1]Pricing Summary'!$B$33="Essential")),1,0)</f>
        <v>0</v>
      </c>
      <c r="AW185" s="304">
        <f t="shared" si="142"/>
        <v>0</v>
      </c>
      <c r="AX185" s="305">
        <f t="shared" si="143"/>
        <v>0</v>
      </c>
      <c r="AY185" s="267"/>
      <c r="AZ185" s="304">
        <f t="shared" si="144"/>
        <v>0</v>
      </c>
      <c r="BA185" s="222">
        <f t="shared" si="145"/>
        <v>0</v>
      </c>
      <c r="BB185" s="306">
        <f t="shared" si="146"/>
        <v>0</v>
      </c>
      <c r="BC185" s="272"/>
      <c r="BD185" s="307">
        <f t="shared" si="147"/>
        <v>0</v>
      </c>
      <c r="BE185" s="308">
        <f t="shared" si="148"/>
        <v>0</v>
      </c>
      <c r="BF185" s="308">
        <f t="shared" si="149"/>
        <v>0</v>
      </c>
      <c r="BG185" s="309">
        <f t="shared" si="150"/>
        <v>0</v>
      </c>
      <c r="BH185" s="249"/>
      <c r="BI185" s="310">
        <f t="shared" si="151"/>
        <v>0</v>
      </c>
      <c r="BJ185" s="311">
        <f t="shared" si="152"/>
        <v>0</v>
      </c>
      <c r="BK185" s="311">
        <f t="shared" si="153"/>
        <v>0</v>
      </c>
      <c r="BL185" s="312">
        <f t="shared" si="154"/>
        <v>0</v>
      </c>
      <c r="BM185" s="249"/>
      <c r="BN185" s="313">
        <f t="shared" si="155"/>
        <v>0</v>
      </c>
      <c r="BO185" s="314">
        <f t="shared" si="156"/>
        <v>0</v>
      </c>
      <c r="BP185" s="314">
        <f t="shared" si="157"/>
        <v>0</v>
      </c>
      <c r="BQ185" s="315">
        <f t="shared" si="158"/>
        <v>0</v>
      </c>
      <c r="BR185" s="249"/>
      <c r="BS185" s="307">
        <f t="shared" si="159"/>
        <v>0</v>
      </c>
      <c r="BT185" s="308">
        <f t="shared" si="160"/>
        <v>0</v>
      </c>
      <c r="BU185" s="308">
        <f t="shared" si="161"/>
        <v>0</v>
      </c>
      <c r="BV185" s="309">
        <f t="shared" si="162"/>
        <v>0</v>
      </c>
      <c r="BW185" s="249"/>
      <c r="BX185" s="310">
        <f t="shared" si="163"/>
        <v>0</v>
      </c>
      <c r="BY185" s="311">
        <f t="shared" si="164"/>
        <v>0</v>
      </c>
      <c r="BZ185" s="311">
        <f t="shared" si="165"/>
        <v>0</v>
      </c>
      <c r="CA185" s="312">
        <f t="shared" si="166"/>
        <v>0</v>
      </c>
      <c r="CB185" s="249"/>
      <c r="CC185" s="313">
        <f t="shared" si="167"/>
        <v>0</v>
      </c>
      <c r="CD185" s="314">
        <f t="shared" si="168"/>
        <v>0</v>
      </c>
      <c r="CE185" s="314">
        <f t="shared" si="169"/>
        <v>0</v>
      </c>
      <c r="CF185" s="315">
        <f t="shared" si="170"/>
        <v>0</v>
      </c>
      <c r="CG185" s="249"/>
      <c r="CH185" s="316"/>
    </row>
    <row r="186" spans="1:86" ht="15.75" hidden="1" customHeight="1" outlineLevel="1" x14ac:dyDescent="0.2">
      <c r="A186" s="242" t="str">
        <f>IF(OR(E186&lt;&gt;FALSE,F186&lt;&gt;FALSE,G186&lt;&gt;FALSE),MAX(A$16:A185)+1,"")</f>
        <v/>
      </c>
      <c r="B186" s="284"/>
      <c r="C186" s="284" t="s">
        <v>42</v>
      </c>
      <c r="D186" s="245" t="s">
        <v>11</v>
      </c>
      <c r="E186" s="285" t="b">
        <v>0</v>
      </c>
      <c r="F186" s="286" t="b">
        <v>0</v>
      </c>
      <c r="G186" s="287" t="b">
        <v>0</v>
      </c>
      <c r="H186" s="249"/>
      <c r="I186" s="288">
        <v>1</v>
      </c>
      <c r="J186" s="249"/>
      <c r="K186" s="289"/>
      <c r="L186" s="290"/>
      <c r="M186" s="290"/>
      <c r="N186" s="290"/>
      <c r="O186" s="290"/>
      <c r="P186" s="290"/>
      <c r="Q186" s="290"/>
      <c r="R186" s="290"/>
      <c r="S186" s="290"/>
      <c r="T186" s="290"/>
      <c r="U186" s="289"/>
      <c r="V186" s="290"/>
      <c r="W186" s="290"/>
      <c r="X186" s="290"/>
      <c r="Y186" s="290"/>
      <c r="Z186" s="290"/>
      <c r="AA186" s="291"/>
      <c r="AB186" s="289"/>
      <c r="AC186" s="290"/>
      <c r="AD186" s="290"/>
      <c r="AE186" s="291"/>
      <c r="AF186" s="249"/>
      <c r="AG186" s="295">
        <f>IF(OR(AND($E186=TRUE,'[1]Pricing Summary'!$B$33=$E$2),AND($F186=TRUE,'[1]Pricing Summary'!$B$33=$F$2),AND($G186=TRUE,'[1]Pricing Summary'!$B$33=$G$2)),1,0)</f>
        <v>0</v>
      </c>
      <c r="AH186" s="295">
        <f t="shared" si="133"/>
        <v>0</v>
      </c>
      <c r="AI186" s="296">
        <f t="shared" si="171"/>
        <v>0</v>
      </c>
      <c r="AJ186" s="297">
        <f t="shared" si="172"/>
        <v>0</v>
      </c>
      <c r="AK186" s="249"/>
      <c r="AL186" s="298">
        <f t="shared" si="136"/>
        <v>0</v>
      </c>
      <c r="AM186" s="383">
        <f t="shared" si="137"/>
        <v>0</v>
      </c>
      <c r="AN186" s="383">
        <f t="shared" si="137"/>
        <v>0</v>
      </c>
      <c r="AO186" s="299">
        <f t="shared" si="137"/>
        <v>0</v>
      </c>
      <c r="AP186" s="300">
        <f>IF(AN$7=0,0,MROUND(AN186/AN$7*AP$8/'[1]Core Assumptions'!$D$28,'[1]Core Assumptions'!$E$23))</f>
        <v>0</v>
      </c>
      <c r="AQ186" s="301">
        <f t="shared" si="139"/>
        <v>0</v>
      </c>
      <c r="AR186" s="302">
        <f t="shared" si="140"/>
        <v>0</v>
      </c>
      <c r="AS186" s="249"/>
      <c r="AT186" s="303">
        <f t="shared" si="141"/>
        <v>0</v>
      </c>
      <c r="AU186" s="267"/>
      <c r="AV186" s="295">
        <f>IF(OR(AND($E186=TRUE,'[1]Pricing Summary'!$B$33="Ultimate"),AND($F186=TRUE,'[1]Pricing Summary'!$B$33="Enhanced"),AND($G186=TRUE,'[1]Pricing Summary'!$B$33="Essential")),1,0)</f>
        <v>0</v>
      </c>
      <c r="AW186" s="304">
        <f t="shared" si="142"/>
        <v>0</v>
      </c>
      <c r="AX186" s="305">
        <f t="shared" si="143"/>
        <v>0</v>
      </c>
      <c r="AY186" s="267"/>
      <c r="AZ186" s="304">
        <f t="shared" si="144"/>
        <v>0</v>
      </c>
      <c r="BA186" s="222">
        <f t="shared" si="145"/>
        <v>0</v>
      </c>
      <c r="BB186" s="306">
        <f t="shared" si="146"/>
        <v>0</v>
      </c>
      <c r="BC186" s="272"/>
      <c r="BD186" s="307">
        <f t="shared" si="147"/>
        <v>0</v>
      </c>
      <c r="BE186" s="308">
        <f t="shared" si="148"/>
        <v>0</v>
      </c>
      <c r="BF186" s="308">
        <f t="shared" si="149"/>
        <v>0</v>
      </c>
      <c r="BG186" s="309">
        <f t="shared" si="150"/>
        <v>0</v>
      </c>
      <c r="BH186" s="249"/>
      <c r="BI186" s="310">
        <f t="shared" si="151"/>
        <v>0</v>
      </c>
      <c r="BJ186" s="311">
        <f t="shared" si="152"/>
        <v>0</v>
      </c>
      <c r="BK186" s="311">
        <f t="shared" si="153"/>
        <v>0</v>
      </c>
      <c r="BL186" s="312">
        <f t="shared" si="154"/>
        <v>0</v>
      </c>
      <c r="BM186" s="249"/>
      <c r="BN186" s="313">
        <f t="shared" si="155"/>
        <v>0</v>
      </c>
      <c r="BO186" s="314">
        <f t="shared" si="156"/>
        <v>0</v>
      </c>
      <c r="BP186" s="314">
        <f t="shared" si="157"/>
        <v>0</v>
      </c>
      <c r="BQ186" s="315">
        <f t="shared" si="158"/>
        <v>0</v>
      </c>
      <c r="BR186" s="249"/>
      <c r="BS186" s="307">
        <f t="shared" si="159"/>
        <v>0</v>
      </c>
      <c r="BT186" s="308">
        <f t="shared" si="160"/>
        <v>0</v>
      </c>
      <c r="BU186" s="308">
        <f t="shared" si="161"/>
        <v>0</v>
      </c>
      <c r="BV186" s="309">
        <f t="shared" si="162"/>
        <v>0</v>
      </c>
      <c r="BW186" s="249"/>
      <c r="BX186" s="310">
        <f t="shared" si="163"/>
        <v>0</v>
      </c>
      <c r="BY186" s="311">
        <f t="shared" si="164"/>
        <v>0</v>
      </c>
      <c r="BZ186" s="311">
        <f t="shared" si="165"/>
        <v>0</v>
      </c>
      <c r="CA186" s="312">
        <f t="shared" si="166"/>
        <v>0</v>
      </c>
      <c r="CB186" s="249"/>
      <c r="CC186" s="313">
        <f t="shared" si="167"/>
        <v>0</v>
      </c>
      <c r="CD186" s="314">
        <f t="shared" si="168"/>
        <v>0</v>
      </c>
      <c r="CE186" s="314">
        <f t="shared" si="169"/>
        <v>0</v>
      </c>
      <c r="CF186" s="315">
        <f t="shared" si="170"/>
        <v>0</v>
      </c>
      <c r="CG186" s="249"/>
      <c r="CH186" s="316"/>
    </row>
    <row r="187" spans="1:86" ht="15.75" hidden="1" customHeight="1" outlineLevel="1" x14ac:dyDescent="0.2">
      <c r="A187" s="242" t="str">
        <f>IF(OR(E187&lt;&gt;FALSE,F187&lt;&gt;FALSE,G187&lt;&gt;FALSE),MAX(A$16:A186)+1,"")</f>
        <v/>
      </c>
      <c r="B187" s="323"/>
      <c r="C187" s="323" t="s">
        <v>42</v>
      </c>
      <c r="D187" s="245" t="s">
        <v>11</v>
      </c>
      <c r="E187" s="324" t="b">
        <v>0</v>
      </c>
      <c r="F187" s="325" t="b">
        <v>0</v>
      </c>
      <c r="G187" s="326" t="b">
        <v>0</v>
      </c>
      <c r="H187" s="249"/>
      <c r="I187" s="327">
        <v>1</v>
      </c>
      <c r="J187" s="249"/>
      <c r="K187" s="328"/>
      <c r="L187" s="329"/>
      <c r="M187" s="329"/>
      <c r="N187" s="329"/>
      <c r="O187" s="329"/>
      <c r="P187" s="329"/>
      <c r="Q187" s="329"/>
      <c r="R187" s="329"/>
      <c r="S187" s="329"/>
      <c r="T187" s="329"/>
      <c r="U187" s="328"/>
      <c r="V187" s="329"/>
      <c r="W187" s="329"/>
      <c r="X187" s="329"/>
      <c r="Y187" s="329"/>
      <c r="Z187" s="329"/>
      <c r="AA187" s="330"/>
      <c r="AB187" s="328"/>
      <c r="AC187" s="329"/>
      <c r="AD187" s="329"/>
      <c r="AE187" s="330"/>
      <c r="AF187" s="249"/>
      <c r="AG187" s="331">
        <f>IF(OR(AND($E187=TRUE,'[1]Pricing Summary'!$B$33=$E$2),AND($F187=TRUE,'[1]Pricing Summary'!$B$33=$F$2),AND($G187=TRUE,'[1]Pricing Summary'!$B$33=$G$2)),1,0)</f>
        <v>0</v>
      </c>
      <c r="AH187" s="331">
        <f t="shared" si="133"/>
        <v>0</v>
      </c>
      <c r="AI187" s="332">
        <f t="shared" si="171"/>
        <v>0</v>
      </c>
      <c r="AJ187" s="333">
        <f t="shared" si="172"/>
        <v>0</v>
      </c>
      <c r="AK187" s="249"/>
      <c r="AL187" s="334">
        <f t="shared" si="136"/>
        <v>0</v>
      </c>
      <c r="AM187" s="384">
        <f t="shared" si="137"/>
        <v>0</v>
      </c>
      <c r="AN187" s="384">
        <f t="shared" si="137"/>
        <v>0</v>
      </c>
      <c r="AO187" s="336">
        <f>AN187</f>
        <v>0</v>
      </c>
      <c r="AP187" s="337">
        <f>IF(AN$7=0,0,MROUND(AN187/AN$7*AP$8/'[1]Core Assumptions'!$D$28,'[1]Core Assumptions'!$E$23))</f>
        <v>0</v>
      </c>
      <c r="AQ187" s="338">
        <f t="shared" si="139"/>
        <v>0</v>
      </c>
      <c r="AR187" s="339">
        <f t="shared" si="140"/>
        <v>0</v>
      </c>
      <c r="AS187" s="249"/>
      <c r="AT187" s="340">
        <f t="shared" si="141"/>
        <v>0</v>
      </c>
      <c r="AU187" s="267"/>
      <c r="AV187" s="331">
        <f>IF(OR(AND($E187=TRUE,'[1]Pricing Summary'!$B$33="Ultimate"),AND($F187=TRUE,'[1]Pricing Summary'!$B$33="Enhanced"),AND($G187=TRUE,'[1]Pricing Summary'!$B$33="Essential")),1,0)</f>
        <v>0</v>
      </c>
      <c r="AW187" s="341">
        <f t="shared" si="142"/>
        <v>0</v>
      </c>
      <c r="AX187" s="342">
        <f t="shared" si="143"/>
        <v>0</v>
      </c>
      <c r="AY187" s="267"/>
      <c r="AZ187" s="341">
        <f t="shared" si="144"/>
        <v>0</v>
      </c>
      <c r="BA187" s="343">
        <f t="shared" si="145"/>
        <v>0</v>
      </c>
      <c r="BB187" s="344">
        <f t="shared" si="146"/>
        <v>0</v>
      </c>
      <c r="BC187" s="272"/>
      <c r="BD187" s="345">
        <f t="shared" si="147"/>
        <v>0</v>
      </c>
      <c r="BE187" s="346">
        <f t="shared" si="148"/>
        <v>0</v>
      </c>
      <c r="BF187" s="346">
        <f t="shared" si="149"/>
        <v>0</v>
      </c>
      <c r="BG187" s="382">
        <f t="shared" si="150"/>
        <v>0</v>
      </c>
      <c r="BH187" s="249"/>
      <c r="BI187" s="348">
        <f t="shared" si="151"/>
        <v>0</v>
      </c>
      <c r="BJ187" s="349">
        <f t="shared" si="152"/>
        <v>0</v>
      </c>
      <c r="BK187" s="349">
        <f t="shared" si="153"/>
        <v>0</v>
      </c>
      <c r="BL187" s="350">
        <f t="shared" si="154"/>
        <v>0</v>
      </c>
      <c r="BM187" s="249"/>
      <c r="BN187" s="351">
        <f t="shared" si="155"/>
        <v>0</v>
      </c>
      <c r="BO187" s="352">
        <f t="shared" si="156"/>
        <v>0</v>
      </c>
      <c r="BP187" s="352">
        <f t="shared" si="157"/>
        <v>0</v>
      </c>
      <c r="BQ187" s="353">
        <f t="shared" si="158"/>
        <v>0</v>
      </c>
      <c r="BR187" s="249"/>
      <c r="BS187" s="345">
        <f t="shared" si="159"/>
        <v>0</v>
      </c>
      <c r="BT187" s="346">
        <f t="shared" si="160"/>
        <v>0</v>
      </c>
      <c r="BU187" s="346">
        <f t="shared" si="161"/>
        <v>0</v>
      </c>
      <c r="BV187" s="382">
        <f t="shared" si="162"/>
        <v>0</v>
      </c>
      <c r="BW187" s="249"/>
      <c r="BX187" s="348">
        <f t="shared" si="163"/>
        <v>0</v>
      </c>
      <c r="BY187" s="349">
        <f t="shared" si="164"/>
        <v>0</v>
      </c>
      <c r="BZ187" s="349">
        <f t="shared" si="165"/>
        <v>0</v>
      </c>
      <c r="CA187" s="350">
        <f t="shared" si="166"/>
        <v>0</v>
      </c>
      <c r="CB187" s="249"/>
      <c r="CC187" s="351">
        <f t="shared" si="167"/>
        <v>0</v>
      </c>
      <c r="CD187" s="352">
        <f t="shared" si="168"/>
        <v>0</v>
      </c>
      <c r="CE187" s="352">
        <f t="shared" si="169"/>
        <v>0</v>
      </c>
      <c r="CF187" s="353">
        <f t="shared" si="170"/>
        <v>0</v>
      </c>
      <c r="CG187" s="249"/>
      <c r="CH187" s="354"/>
    </row>
    <row r="188" spans="1:86" ht="16" collapsed="1" x14ac:dyDescent="0.2">
      <c r="A188" s="39" t="s">
        <v>139</v>
      </c>
      <c r="B188" s="40"/>
      <c r="C188" s="40"/>
      <c r="D188" s="355" t="s">
        <v>11</v>
      </c>
      <c r="E188" s="40"/>
      <c r="F188" s="40"/>
      <c r="G188" s="40"/>
      <c r="I188" s="356"/>
      <c r="K188" s="357"/>
      <c r="L188" s="357"/>
      <c r="M188" s="357"/>
      <c r="N188" s="357"/>
      <c r="O188" s="357"/>
      <c r="P188" s="357"/>
      <c r="Q188" s="357"/>
      <c r="R188" s="357"/>
      <c r="S188" s="357"/>
      <c r="T188" s="357"/>
      <c r="U188" s="357"/>
      <c r="V188" s="357"/>
      <c r="W188" s="357"/>
      <c r="X188" s="357"/>
      <c r="Y188" s="357"/>
      <c r="Z188" s="357"/>
      <c r="AA188" s="357"/>
      <c r="AB188" s="357"/>
      <c r="AC188" s="357"/>
      <c r="AD188" s="357"/>
      <c r="AE188" s="357"/>
      <c r="AG188" s="358"/>
      <c r="AH188" s="358"/>
      <c r="AI188" s="357"/>
      <c r="AJ188" s="40"/>
      <c r="AL188" s="359"/>
      <c r="AM188" s="359"/>
      <c r="AN188" s="359"/>
      <c r="AO188" s="359"/>
      <c r="AP188" s="359"/>
      <c r="AQ188" s="360"/>
      <c r="AR188" s="361"/>
      <c r="AT188" s="359"/>
      <c r="AV188" s="358"/>
      <c r="AW188" s="362"/>
      <c r="AX188" s="362"/>
      <c r="AZ188" s="363"/>
      <c r="BA188" s="363"/>
      <c r="BB188" s="363"/>
      <c r="BD188" s="357"/>
      <c r="BE188" s="359"/>
      <c r="BF188" s="359"/>
      <c r="BG188" s="364"/>
      <c r="BI188" s="357"/>
      <c r="BJ188" s="359"/>
      <c r="BK188" s="359"/>
      <c r="BL188" s="364"/>
      <c r="BN188" s="357"/>
      <c r="BO188" s="359"/>
      <c r="BP188" s="359"/>
      <c r="BQ188" s="364"/>
      <c r="BS188" s="357"/>
      <c r="BT188" s="359"/>
      <c r="BU188" s="359"/>
      <c r="BV188" s="364"/>
      <c r="BX188" s="357"/>
      <c r="BY188" s="359"/>
      <c r="BZ188" s="359"/>
      <c r="CA188" s="364"/>
      <c r="CC188" s="357"/>
      <c r="CD188" s="359"/>
      <c r="CE188" s="359"/>
      <c r="CF188" s="364"/>
      <c r="CH188" s="365"/>
    </row>
    <row r="189" spans="1:86" ht="8.25" customHeight="1" thickBot="1" x14ac:dyDescent="0.25">
      <c r="A189" s="160"/>
      <c r="B189" s="161"/>
      <c r="C189" s="161"/>
      <c r="D189" s="162"/>
      <c r="E189" s="162"/>
      <c r="F189" s="162"/>
      <c r="G189" s="162"/>
      <c r="H189" s="162"/>
      <c r="I189" s="378"/>
      <c r="J189" s="162"/>
      <c r="K189" s="370"/>
      <c r="L189" s="370"/>
      <c r="M189" s="370"/>
      <c r="N189" s="370"/>
      <c r="O189" s="370"/>
      <c r="P189" s="370"/>
      <c r="Q189" s="370"/>
      <c r="R189" s="370"/>
      <c r="S189" s="370"/>
      <c r="T189" s="370"/>
      <c r="U189" s="370"/>
      <c r="V189" s="370"/>
      <c r="W189" s="370"/>
      <c r="X189" s="370"/>
      <c r="Y189" s="370"/>
      <c r="Z189" s="370"/>
      <c r="AA189" s="370"/>
      <c r="AB189" s="370"/>
      <c r="AC189" s="370"/>
      <c r="AD189" s="370"/>
      <c r="AE189" s="370"/>
      <c r="AF189" s="162"/>
      <c r="AG189" s="371"/>
      <c r="AH189" s="371"/>
      <c r="AI189" s="370"/>
      <c r="AK189" s="162"/>
      <c r="AO189" s="11"/>
      <c r="AP189" s="11"/>
      <c r="AQ189" s="163"/>
      <c r="AS189" s="162"/>
      <c r="AU189" s="164"/>
      <c r="AV189" s="371"/>
      <c r="AX189" s="157"/>
      <c r="AY189" s="164"/>
      <c r="BC189" s="166"/>
      <c r="BD189" s="370"/>
      <c r="BG189" s="7"/>
      <c r="BH189" s="162"/>
      <c r="BI189" s="370"/>
      <c r="BM189" s="162"/>
      <c r="BN189" s="370"/>
      <c r="BR189" s="162"/>
      <c r="BS189" s="370"/>
      <c r="BV189" s="7"/>
      <c r="BW189" s="162"/>
      <c r="BX189" s="370"/>
      <c r="CB189" s="162"/>
      <c r="CC189" s="370"/>
      <c r="CG189" s="162"/>
    </row>
    <row r="190" spans="1:86" ht="16" x14ac:dyDescent="0.2">
      <c r="A190" s="385"/>
      <c r="B190" s="386" t="s">
        <v>172</v>
      </c>
      <c r="C190" s="7"/>
      <c r="D190" s="228"/>
      <c r="E190" s="228"/>
      <c r="F190" s="228"/>
      <c r="G190" s="228"/>
      <c r="H190" s="228"/>
      <c r="I190" s="228"/>
      <c r="J190" s="228"/>
      <c r="K190" s="387">
        <f t="shared" ref="K190:AE190" si="173">SUMPRODUCT($I$17:$I$131,K$17:K$131,$AH$17:$AH$131)</f>
        <v>0</v>
      </c>
      <c r="L190" s="357">
        <f t="shared" si="173"/>
        <v>0</v>
      </c>
      <c r="M190" s="357">
        <f t="shared" si="173"/>
        <v>0</v>
      </c>
      <c r="N190" s="357">
        <f t="shared" si="173"/>
        <v>0</v>
      </c>
      <c r="O190" s="357">
        <f t="shared" si="173"/>
        <v>0</v>
      </c>
      <c r="P190" s="357">
        <f t="shared" si="173"/>
        <v>0</v>
      </c>
      <c r="Q190" s="357">
        <f t="shared" si="173"/>
        <v>0</v>
      </c>
      <c r="R190" s="357">
        <f t="shared" si="173"/>
        <v>40</v>
      </c>
      <c r="S190" s="357">
        <f t="shared" si="173"/>
        <v>0</v>
      </c>
      <c r="T190" s="357">
        <f t="shared" si="173"/>
        <v>0</v>
      </c>
      <c r="U190" s="387">
        <f t="shared" si="173"/>
        <v>0</v>
      </c>
      <c r="V190" s="357">
        <f t="shared" si="173"/>
        <v>0</v>
      </c>
      <c r="W190" s="357">
        <f t="shared" si="173"/>
        <v>0</v>
      </c>
      <c r="X190" s="357">
        <f t="shared" si="173"/>
        <v>0</v>
      </c>
      <c r="Y190" s="357">
        <f t="shared" si="173"/>
        <v>0</v>
      </c>
      <c r="Z190" s="357">
        <f t="shared" si="173"/>
        <v>0</v>
      </c>
      <c r="AA190" s="388">
        <f t="shared" si="173"/>
        <v>0</v>
      </c>
      <c r="AB190" s="387">
        <f t="shared" si="173"/>
        <v>0</v>
      </c>
      <c r="AC190" s="357">
        <f t="shared" si="173"/>
        <v>0</v>
      </c>
      <c r="AD190" s="357">
        <f t="shared" si="173"/>
        <v>0</v>
      </c>
      <c r="AE190" s="388">
        <f t="shared" si="173"/>
        <v>0</v>
      </c>
      <c r="AF190" s="249"/>
      <c r="AG190" s="371"/>
      <c r="AH190" s="371"/>
      <c r="AI190" s="387">
        <f>SUM(AI16:AI131)</f>
        <v>40</v>
      </c>
      <c r="AJ190" s="389">
        <f>IFERROR(SUM($U190:$AA190)/SUM($K190:$AA190),0)</f>
        <v>0</v>
      </c>
      <c r="AK190" s="228"/>
      <c r="AL190" s="390">
        <f>SUMPRODUCT(AL$17:AL$131,$AH$17:$AH$131)</f>
        <v>23000</v>
      </c>
      <c r="AM190" s="391">
        <f>SUMPRODUCT(AM$17:AM$131,$AH$17:$AH$131)</f>
        <v>23000</v>
      </c>
      <c r="AN190" s="391">
        <f>SUMPRODUCT(AN$17:AN$131,$AH$17:$AH$131)</f>
        <v>23200</v>
      </c>
      <c r="AO190" s="392">
        <f>SUMPRODUCT(AO$17:AO$131,$AH$17:$AH$131)</f>
        <v>23100</v>
      </c>
      <c r="AP190" s="393">
        <f>SUMPRODUCT(AP$17:AP$131,$AH$17:$AH$131)</f>
        <v>16800</v>
      </c>
      <c r="AQ190" s="264">
        <f>IF(AL190=0,0,AO190/AL190)</f>
        <v>1.0043478260869565</v>
      </c>
      <c r="AR190" s="265">
        <f>IFERROR(AO190/SUM(K190:AE190),0)</f>
        <v>577.5</v>
      </c>
      <c r="AS190" s="249"/>
      <c r="AT190" s="394">
        <f>SUMPRODUCT(AT$17:AT$131,$AH$17:$AH$131)</f>
        <v>4280</v>
      </c>
      <c r="AU190" s="267"/>
      <c r="AV190" s="371"/>
      <c r="AW190" s="395">
        <f>SUM(AW16:AW131)</f>
        <v>23000</v>
      </c>
      <c r="AX190" s="396">
        <f>SUM(AX16:AX131)</f>
        <v>23100</v>
      </c>
      <c r="AY190" s="267"/>
      <c r="AZ190" s="395">
        <f>SUM(AZ16:AZ131)</f>
        <v>23000</v>
      </c>
      <c r="BA190" s="397">
        <f>SUM(BA16:BA131)</f>
        <v>23000</v>
      </c>
      <c r="BB190" s="396">
        <f>SUM(BB16:BB131)</f>
        <v>23000</v>
      </c>
      <c r="BC190" s="272"/>
      <c r="BD190" s="398">
        <f>SUM(BD16:BD131)</f>
        <v>40</v>
      </c>
      <c r="BE190" s="399">
        <f>SUM(BE16:BE131)</f>
        <v>23000</v>
      </c>
      <c r="BF190" s="399">
        <f>SUM(BF16:BF131)</f>
        <v>18720</v>
      </c>
      <c r="BG190" s="400">
        <f t="shared" ref="BG190:BG191" si="174">IFERROR(BF190/BE190,0)</f>
        <v>0.81391304347826088</v>
      </c>
      <c r="BH190" s="249"/>
      <c r="BI190" s="401">
        <f>SUM(BI16:BI131)</f>
        <v>40</v>
      </c>
      <c r="BJ190" s="402">
        <f>SUM(BJ16:BJ131)</f>
        <v>23000</v>
      </c>
      <c r="BK190" s="402">
        <f>SUM(BK16:BK131)</f>
        <v>18720</v>
      </c>
      <c r="BL190" s="403">
        <f t="shared" ref="BL190:BL191" si="175">IFERROR(BK190/BJ190,0)</f>
        <v>0.81391304347826088</v>
      </c>
      <c r="BM190" s="249"/>
      <c r="BN190" s="404">
        <f>SUM(BN16:BN131)</f>
        <v>40</v>
      </c>
      <c r="BO190" s="405">
        <f>SUM(BO16:BO131)</f>
        <v>23000</v>
      </c>
      <c r="BP190" s="405">
        <f>SUM(BP16:BP131)</f>
        <v>18720</v>
      </c>
      <c r="BQ190" s="406">
        <f t="shared" ref="BQ190:BQ191" si="176">IFERROR(BP190/BO190,0)</f>
        <v>0.81391304347826088</v>
      </c>
      <c r="BR190" s="249"/>
      <c r="BS190" s="398">
        <f>SUM(BS16:BS131)</f>
        <v>40</v>
      </c>
      <c r="BT190" s="399">
        <f>SUM(BT16:BT131)</f>
        <v>23100</v>
      </c>
      <c r="BU190" s="399">
        <f>SUM(BU16:BU131)</f>
        <v>18820</v>
      </c>
      <c r="BV190" s="400">
        <f t="shared" ref="BV190:BV191" si="177">IFERROR(BU190/BT190,0)</f>
        <v>0.81471861471861473</v>
      </c>
      <c r="BW190" s="249"/>
      <c r="BX190" s="401">
        <f>SUM(BX16:BX131)</f>
        <v>40</v>
      </c>
      <c r="BY190" s="402">
        <f>SUM(BY16:BY131)</f>
        <v>23100</v>
      </c>
      <c r="BZ190" s="402">
        <f>SUM(BZ16:BZ131)</f>
        <v>18820</v>
      </c>
      <c r="CA190" s="403">
        <f t="shared" ref="CA190:CA191" si="178">IFERROR(BZ190/BY190,0)</f>
        <v>0.81471861471861473</v>
      </c>
      <c r="CB190" s="249"/>
      <c r="CC190" s="404">
        <f>SUM(CC16:CC131)</f>
        <v>40</v>
      </c>
      <c r="CD190" s="405">
        <f>SUM(CD16:CD131)</f>
        <v>23100</v>
      </c>
      <c r="CE190" s="405">
        <f>SUM(CE16:CE131)</f>
        <v>18820</v>
      </c>
      <c r="CF190" s="406">
        <f t="shared" ref="CF190:CF191" si="179">IFERROR(CE190/CD190,0)</f>
        <v>0.81471861471861473</v>
      </c>
      <c r="CG190" s="249"/>
    </row>
    <row r="191" spans="1:86" ht="17" thickBot="1" x14ac:dyDescent="0.25">
      <c r="A191" s="385"/>
      <c r="B191" s="407" t="s">
        <v>173</v>
      </c>
      <c r="C191" s="7"/>
      <c r="D191" s="228"/>
      <c r="E191" s="228"/>
      <c r="F191" s="228"/>
      <c r="G191" s="228"/>
      <c r="H191" s="228"/>
      <c r="I191" s="228"/>
      <c r="J191" s="228"/>
      <c r="K191" s="408">
        <f t="shared" ref="K191:AE191" si="180">SUMPRODUCT($I$132:$I$189,K$132:K$189,$AH$132:$AH$189)</f>
        <v>0</v>
      </c>
      <c r="L191" s="370">
        <f t="shared" si="180"/>
        <v>0</v>
      </c>
      <c r="M191" s="370">
        <f t="shared" si="180"/>
        <v>0</v>
      </c>
      <c r="N191" s="370">
        <f t="shared" si="180"/>
        <v>0</v>
      </c>
      <c r="O191" s="370">
        <f t="shared" si="180"/>
        <v>0</v>
      </c>
      <c r="P191" s="370">
        <f t="shared" si="180"/>
        <v>0</v>
      </c>
      <c r="Q191" s="370">
        <f t="shared" si="180"/>
        <v>0</v>
      </c>
      <c r="R191" s="370">
        <f t="shared" si="180"/>
        <v>0</v>
      </c>
      <c r="S191" s="370">
        <f t="shared" si="180"/>
        <v>0</v>
      </c>
      <c r="T191" s="370">
        <f t="shared" si="180"/>
        <v>0</v>
      </c>
      <c r="U191" s="408">
        <f t="shared" si="180"/>
        <v>0</v>
      </c>
      <c r="V191" s="370">
        <f t="shared" si="180"/>
        <v>0</v>
      </c>
      <c r="W191" s="370">
        <f t="shared" si="180"/>
        <v>0</v>
      </c>
      <c r="X191" s="370">
        <f t="shared" si="180"/>
        <v>0</v>
      </c>
      <c r="Y191" s="370">
        <f t="shared" si="180"/>
        <v>0</v>
      </c>
      <c r="Z191" s="370">
        <f t="shared" si="180"/>
        <v>0</v>
      </c>
      <c r="AA191" s="409">
        <f t="shared" si="180"/>
        <v>0</v>
      </c>
      <c r="AB191" s="408">
        <f t="shared" si="180"/>
        <v>0</v>
      </c>
      <c r="AC191" s="370">
        <f t="shared" si="180"/>
        <v>0</v>
      </c>
      <c r="AD191" s="370">
        <f t="shared" si="180"/>
        <v>0</v>
      </c>
      <c r="AE191" s="409">
        <f t="shared" si="180"/>
        <v>0</v>
      </c>
      <c r="AF191" s="249"/>
      <c r="AG191" s="371"/>
      <c r="AH191" s="371"/>
      <c r="AI191" s="410">
        <f>SUM(AI132:AI189)</f>
        <v>0</v>
      </c>
      <c r="AJ191" s="411">
        <f>IFERROR(SUM($U191:$AA191)/SUM($K191:$AA191),0)</f>
        <v>0</v>
      </c>
      <c r="AK191" s="228"/>
      <c r="AL191" s="412">
        <f>SUMPRODUCT(AL$132:AL$189,$AH$132:$AH$189)</f>
        <v>0</v>
      </c>
      <c r="AM191" s="413">
        <f>SUMPRODUCT(AM$132:AM$189,$AH$132:$AH$189)</f>
        <v>0</v>
      </c>
      <c r="AN191" s="413">
        <f>SUMPRODUCT(AN$132:AN$189,$AH$132:$AH$189)</f>
        <v>0</v>
      </c>
      <c r="AO191" s="414">
        <f>SUMPRODUCT(AO$132:AO$189,$AH$132:$AH$189)</f>
        <v>0</v>
      </c>
      <c r="AP191" s="415">
        <f>SUMPRODUCT(AP$132:AP$189,$AH$132:$AH$189)</f>
        <v>0</v>
      </c>
      <c r="AQ191" s="338">
        <f>IF(AL191=0,0,AO191/AL191)</f>
        <v>0</v>
      </c>
      <c r="AR191" s="339">
        <f>IFERROR(AO191/SUM(K191:AE191),0)</f>
        <v>0</v>
      </c>
      <c r="AS191" s="249"/>
      <c r="AT191" s="416">
        <f>SUMPRODUCT(AT$132:AT$189,$AH$132:$AH$189)</f>
        <v>0</v>
      </c>
      <c r="AU191" s="267"/>
      <c r="AV191" s="371"/>
      <c r="AW191" s="417">
        <f>SUM(AW132:AW189)</f>
        <v>0</v>
      </c>
      <c r="AX191" s="418">
        <f>SUM(AX132:AX189)</f>
        <v>0</v>
      </c>
      <c r="AY191" s="267"/>
      <c r="AZ191" s="417">
        <f>SUM(AZ132:AZ189)</f>
        <v>0</v>
      </c>
      <c r="BA191" s="419">
        <f>SUM(BA132:BA189)</f>
        <v>0</v>
      </c>
      <c r="BB191" s="418">
        <f>SUM(BB132:BB189)</f>
        <v>0</v>
      </c>
      <c r="BC191" s="272"/>
      <c r="BD191" s="420">
        <f>SUM(BD132:BD189)</f>
        <v>0</v>
      </c>
      <c r="BE191" s="421">
        <f>SUM(BE132:BE189)</f>
        <v>0</v>
      </c>
      <c r="BF191" s="421">
        <f>SUM(BF132:BF189)</f>
        <v>0</v>
      </c>
      <c r="BG191" s="422">
        <f t="shared" si="174"/>
        <v>0</v>
      </c>
      <c r="BH191" s="249"/>
      <c r="BI191" s="423">
        <f>SUM(BI132:BI189)</f>
        <v>0</v>
      </c>
      <c r="BJ191" s="424">
        <f>SUM(BJ132:BJ189)</f>
        <v>0</v>
      </c>
      <c r="BK191" s="424">
        <f>SUM(BK132:BK189)</f>
        <v>0</v>
      </c>
      <c r="BL191" s="425">
        <f t="shared" si="175"/>
        <v>0</v>
      </c>
      <c r="BM191" s="249"/>
      <c r="BN191" s="426">
        <f>SUM(BN132:BN189)</f>
        <v>0</v>
      </c>
      <c r="BO191" s="427">
        <f>SUM(BO132:BO189)</f>
        <v>0</v>
      </c>
      <c r="BP191" s="427">
        <f>SUM(BP132:BP189)</f>
        <v>0</v>
      </c>
      <c r="BQ191" s="428">
        <f t="shared" si="176"/>
        <v>0</v>
      </c>
      <c r="BR191" s="249"/>
      <c r="BS191" s="420">
        <f>SUM(BS132:BS189)</f>
        <v>0</v>
      </c>
      <c r="BT191" s="421">
        <f>SUM(BT132:BT189)</f>
        <v>0</v>
      </c>
      <c r="BU191" s="421">
        <f>SUM(BU132:BU189)</f>
        <v>0</v>
      </c>
      <c r="BV191" s="422">
        <f t="shared" si="177"/>
        <v>0</v>
      </c>
      <c r="BW191" s="249"/>
      <c r="BX191" s="423">
        <f>SUM(BX132:BX189)</f>
        <v>0</v>
      </c>
      <c r="BY191" s="424">
        <f>SUM(BY132:BY189)</f>
        <v>0</v>
      </c>
      <c r="BZ191" s="424">
        <f>SUM(BZ132:BZ189)</f>
        <v>0</v>
      </c>
      <c r="CA191" s="425">
        <f t="shared" si="178"/>
        <v>0</v>
      </c>
      <c r="CB191" s="249"/>
      <c r="CC191" s="426">
        <f>SUM(CC132:CC189)</f>
        <v>0</v>
      </c>
      <c r="CD191" s="427">
        <f>SUM(CD132:CD189)</f>
        <v>0</v>
      </c>
      <c r="CE191" s="427">
        <f>SUM(CE132:CE189)</f>
        <v>0</v>
      </c>
      <c r="CF191" s="428">
        <f t="shared" si="179"/>
        <v>0</v>
      </c>
      <c r="CG191" s="249"/>
    </row>
    <row r="192" spans="1:86" s="11" customFormat="1" ht="17" thickBot="1" x14ac:dyDescent="0.25">
      <c r="A192" s="168"/>
      <c r="B192" s="189" t="s">
        <v>174</v>
      </c>
      <c r="C192" s="190"/>
      <c r="D192" s="172"/>
      <c r="E192" s="172"/>
      <c r="F192" s="172"/>
      <c r="G192" s="172"/>
      <c r="H192" s="172"/>
      <c r="I192" s="172"/>
      <c r="J192" s="172"/>
      <c r="K192" s="192">
        <f>SUM(K190:K191)</f>
        <v>0</v>
      </c>
      <c r="L192" s="193">
        <f t="shared" ref="L192:AE192" si="181">SUM(L190:L191)</f>
        <v>0</v>
      </c>
      <c r="M192" s="193">
        <f t="shared" si="181"/>
        <v>0</v>
      </c>
      <c r="N192" s="193">
        <f t="shared" si="181"/>
        <v>0</v>
      </c>
      <c r="O192" s="193">
        <f t="shared" si="181"/>
        <v>0</v>
      </c>
      <c r="P192" s="193">
        <f t="shared" si="181"/>
        <v>0</v>
      </c>
      <c r="Q192" s="193">
        <f t="shared" si="181"/>
        <v>0</v>
      </c>
      <c r="R192" s="193">
        <f t="shared" si="181"/>
        <v>40</v>
      </c>
      <c r="S192" s="193">
        <f t="shared" si="181"/>
        <v>0</v>
      </c>
      <c r="T192" s="193">
        <f t="shared" si="181"/>
        <v>0</v>
      </c>
      <c r="U192" s="192">
        <f t="shared" si="181"/>
        <v>0</v>
      </c>
      <c r="V192" s="193">
        <f t="shared" si="181"/>
        <v>0</v>
      </c>
      <c r="W192" s="193">
        <f t="shared" si="181"/>
        <v>0</v>
      </c>
      <c r="X192" s="193">
        <f t="shared" si="181"/>
        <v>0</v>
      </c>
      <c r="Y192" s="193">
        <f t="shared" si="181"/>
        <v>0</v>
      </c>
      <c r="Z192" s="193">
        <f t="shared" si="181"/>
        <v>0</v>
      </c>
      <c r="AA192" s="194">
        <f t="shared" si="181"/>
        <v>0</v>
      </c>
      <c r="AB192" s="192">
        <f t="shared" si="181"/>
        <v>0</v>
      </c>
      <c r="AC192" s="193">
        <f t="shared" si="181"/>
        <v>0</v>
      </c>
      <c r="AD192" s="193">
        <f t="shared" si="181"/>
        <v>0</v>
      </c>
      <c r="AE192" s="194">
        <f t="shared" si="181"/>
        <v>0</v>
      </c>
      <c r="AF192" s="184"/>
      <c r="AG192" s="176"/>
      <c r="AH192" s="176"/>
      <c r="AI192" s="192">
        <f>SUM(AI190:AI191)</f>
        <v>40</v>
      </c>
      <c r="AJ192" s="195">
        <f>IFERROR(SUM($U192:$AA192)/SUM($K192:$AA192),0)</f>
        <v>0</v>
      </c>
      <c r="AK192" s="172"/>
      <c r="AL192" s="196">
        <f t="shared" ref="AL192:AO192" si="182">SUM(AL190:AL191)</f>
        <v>23000</v>
      </c>
      <c r="AM192" s="197">
        <f t="shared" si="182"/>
        <v>23000</v>
      </c>
      <c r="AN192" s="197">
        <f t="shared" si="182"/>
        <v>23200</v>
      </c>
      <c r="AO192" s="198">
        <f t="shared" si="182"/>
        <v>23100</v>
      </c>
      <c r="AP192" s="429">
        <f t="shared" ref="AP192" si="183">SUM(AP190:AP191)</f>
        <v>16800</v>
      </c>
      <c r="AQ192" s="200">
        <f>IF(AL192=0,0,AO192/AL192)</f>
        <v>1.0043478260869565</v>
      </c>
      <c r="AR192" s="201">
        <f>IFERROR(AO192/SUM(K192:AE192),0)</f>
        <v>577.5</v>
      </c>
      <c r="AS192" s="184"/>
      <c r="AT192" s="202">
        <f t="shared" ref="AT192" si="184">SUM(AT190:AT191)</f>
        <v>4280</v>
      </c>
      <c r="AU192" s="186"/>
      <c r="AV192" s="176"/>
      <c r="AW192" s="203">
        <f>SUM(AW16:AW189)</f>
        <v>23000</v>
      </c>
      <c r="AX192" s="204">
        <f>SUM(AX16:AX189)</f>
        <v>23100</v>
      </c>
      <c r="AY192" s="186"/>
      <c r="AZ192" s="203">
        <f t="shared" ref="AZ192:BB192" si="185">SUM(AZ190:AZ191)</f>
        <v>23000</v>
      </c>
      <c r="BA192" s="205">
        <f t="shared" si="185"/>
        <v>23000</v>
      </c>
      <c r="BB192" s="204">
        <f t="shared" si="185"/>
        <v>23000</v>
      </c>
      <c r="BC192" s="187"/>
      <c r="BD192" s="430">
        <f t="shared" ref="BD192:BF192" si="186">SUM(BD190:BD191)</f>
        <v>40</v>
      </c>
      <c r="BE192" s="207">
        <f t="shared" si="186"/>
        <v>23000</v>
      </c>
      <c r="BF192" s="207">
        <f t="shared" si="186"/>
        <v>18720</v>
      </c>
      <c r="BG192" s="208">
        <f>IFERROR(BF192/BE192,0)</f>
        <v>0.81391304347826088</v>
      </c>
      <c r="BH192" s="184"/>
      <c r="BI192" s="431">
        <f t="shared" ref="BI192:BK192" si="187">SUM(BI190:BI191)</f>
        <v>40</v>
      </c>
      <c r="BJ192" s="210">
        <f t="shared" si="187"/>
        <v>23000</v>
      </c>
      <c r="BK192" s="210">
        <f t="shared" si="187"/>
        <v>18720</v>
      </c>
      <c r="BL192" s="211">
        <f>IFERROR(BK192/BJ192,0)</f>
        <v>0.81391304347826088</v>
      </c>
      <c r="BM192" s="184"/>
      <c r="BN192" s="432">
        <f t="shared" ref="BN192:BP192" si="188">SUM(BN190:BN191)</f>
        <v>40</v>
      </c>
      <c r="BO192" s="213">
        <f t="shared" si="188"/>
        <v>23000</v>
      </c>
      <c r="BP192" s="213">
        <f t="shared" si="188"/>
        <v>18720</v>
      </c>
      <c r="BQ192" s="214">
        <f>IFERROR(BP192/BO192,0)</f>
        <v>0.81391304347826088</v>
      </c>
      <c r="BR192" s="184"/>
      <c r="BS192" s="430">
        <f t="shared" ref="BS192:BU192" si="189">SUM(BS190:BS191)</f>
        <v>40</v>
      </c>
      <c r="BT192" s="207">
        <f t="shared" si="189"/>
        <v>23100</v>
      </c>
      <c r="BU192" s="207">
        <f t="shared" si="189"/>
        <v>18820</v>
      </c>
      <c r="BV192" s="208">
        <f>IFERROR(BU192/BT192,0)</f>
        <v>0.81471861471861473</v>
      </c>
      <c r="BW192" s="184"/>
      <c r="BX192" s="431">
        <f t="shared" ref="BX192:BZ192" si="190">SUM(BX190:BX191)</f>
        <v>40</v>
      </c>
      <c r="BY192" s="210">
        <f t="shared" si="190"/>
        <v>23100</v>
      </c>
      <c r="BZ192" s="210">
        <f t="shared" si="190"/>
        <v>18820</v>
      </c>
      <c r="CA192" s="211">
        <f>IFERROR(BZ192/BY192,0)</f>
        <v>0.81471861471861473</v>
      </c>
      <c r="CB192" s="184"/>
      <c r="CC192" s="432">
        <f t="shared" ref="CC192:CE192" si="191">SUM(CC190:CC191)</f>
        <v>40</v>
      </c>
      <c r="CD192" s="213">
        <f t="shared" si="191"/>
        <v>23100</v>
      </c>
      <c r="CE192" s="213">
        <f t="shared" si="191"/>
        <v>18820</v>
      </c>
      <c r="CF192" s="214">
        <f>IFERROR(CE192/CD192,0)</f>
        <v>0.81471861471861473</v>
      </c>
      <c r="CG192" s="184"/>
      <c r="CH192" s="167"/>
    </row>
    <row r="193" spans="1:86" ht="8.25" customHeight="1" thickBot="1" x14ac:dyDescent="0.25">
      <c r="A193" s="160"/>
      <c r="B193" s="161"/>
      <c r="C193" s="161"/>
      <c r="D193" s="162"/>
      <c r="E193" s="162"/>
      <c r="F193" s="162"/>
      <c r="G193" s="162"/>
      <c r="H193" s="162"/>
      <c r="J193" s="162"/>
      <c r="AF193" s="162"/>
      <c r="AK193" s="162"/>
      <c r="AO193" s="11"/>
      <c r="AP193" s="11"/>
      <c r="AQ193" s="163"/>
      <c r="AS193" s="162"/>
      <c r="AU193" s="164"/>
      <c r="AX193" s="157"/>
      <c r="AY193" s="164"/>
      <c r="BC193" s="166"/>
      <c r="BD193" s="162"/>
      <c r="BG193" s="7"/>
      <c r="BH193" s="162"/>
      <c r="BI193" s="162"/>
      <c r="BM193" s="162"/>
      <c r="BN193" s="162"/>
      <c r="BR193" s="162"/>
      <c r="BS193" s="162"/>
      <c r="BV193" s="7"/>
      <c r="BW193" s="162"/>
      <c r="BX193" s="162"/>
      <c r="CB193" s="162"/>
      <c r="CC193" s="162"/>
      <c r="CG193" s="162"/>
    </row>
    <row r="194" spans="1:86" s="11" customFormat="1" ht="17" thickBot="1" x14ac:dyDescent="0.25">
      <c r="A194" s="168"/>
      <c r="B194" s="189" t="s">
        <v>175</v>
      </c>
      <c r="C194" s="190"/>
      <c r="D194" s="172"/>
      <c r="E194" s="172"/>
      <c r="F194" s="172"/>
      <c r="G194" s="172"/>
      <c r="H194" s="172"/>
      <c r="I194" s="217"/>
      <c r="J194" s="172"/>
      <c r="K194" s="217"/>
      <c r="L194" s="217"/>
      <c r="M194" s="217"/>
      <c r="N194" s="217"/>
      <c r="O194" s="217"/>
      <c r="P194" s="217"/>
      <c r="Q194" s="217"/>
      <c r="R194" s="217"/>
      <c r="S194" s="217"/>
      <c r="T194" s="217"/>
      <c r="U194" s="217"/>
      <c r="V194" s="217"/>
      <c r="W194" s="217"/>
      <c r="X194" s="217"/>
      <c r="Y194" s="217"/>
      <c r="Z194" s="217"/>
      <c r="AA194" s="217"/>
      <c r="AB194" s="217"/>
      <c r="AC194" s="217"/>
      <c r="AD194" s="217"/>
      <c r="AE194" s="217"/>
      <c r="AF194" s="184"/>
      <c r="AG194" s="176"/>
      <c r="AH194" s="176"/>
      <c r="AI194" s="217"/>
      <c r="AJ194" s="218"/>
      <c r="AK194" s="172"/>
      <c r="AL194" s="221"/>
      <c r="AM194" s="221"/>
      <c r="AN194" s="221"/>
      <c r="AO194" s="221"/>
      <c r="AP194" s="221"/>
      <c r="AQ194" s="219"/>
      <c r="AR194" s="220"/>
      <c r="AS194" s="184"/>
      <c r="AT194" s="221"/>
      <c r="AU194" s="186"/>
      <c r="AV194" s="176"/>
      <c r="AW194" s="203"/>
      <c r="AX194" s="204">
        <f>BT194</f>
        <v>0</v>
      </c>
      <c r="AY194" s="186"/>
      <c r="AZ194" s="222"/>
      <c r="BA194" s="222"/>
      <c r="BB194" s="222"/>
      <c r="BC194" s="187"/>
      <c r="BD194" s="221"/>
      <c r="BE194" s="221"/>
      <c r="BF194" s="221"/>
      <c r="BG194" s="221"/>
      <c r="BH194" s="221"/>
      <c r="BI194" s="221"/>
      <c r="BJ194" s="221"/>
      <c r="BK194" s="221"/>
      <c r="BL194" s="221"/>
      <c r="BM194" s="221"/>
      <c r="BN194" s="221"/>
      <c r="BO194" s="221"/>
      <c r="BP194" s="221"/>
      <c r="BQ194" s="221"/>
      <c r="BR194" s="184"/>
      <c r="BS194" s="430"/>
      <c r="BT194" s="207">
        <f>BT196-BT192</f>
        <v>0</v>
      </c>
      <c r="BU194" s="207">
        <f>BT194</f>
        <v>0</v>
      </c>
      <c r="BV194" s="208">
        <f>IFERROR(BU194/BT194,0)</f>
        <v>0</v>
      </c>
      <c r="BW194" s="184"/>
      <c r="BX194" s="431"/>
      <c r="BY194" s="210">
        <f>BY196-BY192</f>
        <v>0</v>
      </c>
      <c r="BZ194" s="210">
        <f>BY194</f>
        <v>0</v>
      </c>
      <c r="CA194" s="211">
        <f>IFERROR(BZ194/BY194,0)</f>
        <v>0</v>
      </c>
      <c r="CB194" s="184"/>
      <c r="CC194" s="432"/>
      <c r="CD194" s="213">
        <f>CD196-CD192</f>
        <v>0</v>
      </c>
      <c r="CE194" s="213">
        <f>CD194</f>
        <v>0</v>
      </c>
      <c r="CF194" s="214">
        <f>IFERROR(CE194/CD194,0)</f>
        <v>0</v>
      </c>
      <c r="CG194" s="184"/>
      <c r="CH194" s="167"/>
    </row>
    <row r="195" spans="1:86" ht="8.25" customHeight="1" thickBot="1" x14ac:dyDescent="0.25">
      <c r="A195" s="160"/>
      <c r="B195" s="161"/>
      <c r="C195" s="161"/>
      <c r="D195" s="162"/>
      <c r="E195" s="162"/>
      <c r="F195" s="162"/>
      <c r="G195" s="162"/>
      <c r="H195" s="162"/>
      <c r="J195" s="162"/>
      <c r="AF195" s="162"/>
      <c r="AK195" s="162"/>
      <c r="AO195" s="11"/>
      <c r="AP195" s="11"/>
      <c r="AQ195" s="163"/>
      <c r="AS195" s="162"/>
      <c r="AU195" s="164"/>
      <c r="AX195" s="157"/>
      <c r="AY195" s="164"/>
      <c r="BC195" s="166"/>
      <c r="BD195" s="162"/>
      <c r="BG195" s="7"/>
      <c r="BH195" s="162"/>
      <c r="BI195" s="162"/>
      <c r="BM195" s="162"/>
      <c r="BN195" s="162"/>
      <c r="BR195" s="162"/>
      <c r="BS195" s="162"/>
      <c r="BV195" s="7"/>
      <c r="BW195" s="162"/>
      <c r="BX195" s="162"/>
      <c r="CB195" s="162"/>
      <c r="CC195" s="162"/>
      <c r="CG195" s="162"/>
    </row>
    <row r="196" spans="1:86" s="11" customFormat="1" ht="17" thickBot="1" x14ac:dyDescent="0.25">
      <c r="A196" s="168"/>
      <c r="B196" s="189" t="s">
        <v>176</v>
      </c>
      <c r="C196" s="190"/>
      <c r="D196" s="172"/>
      <c r="E196" s="172"/>
      <c r="F196" s="172"/>
      <c r="G196" s="172"/>
      <c r="H196" s="172"/>
      <c r="I196" s="217"/>
      <c r="J196" s="172"/>
      <c r="K196" s="217"/>
      <c r="L196" s="217"/>
      <c r="M196" s="217"/>
      <c r="N196" s="217"/>
      <c r="O196" s="217"/>
      <c r="P196" s="217"/>
      <c r="Q196" s="217"/>
      <c r="R196" s="217"/>
      <c r="S196" s="217"/>
      <c r="T196" s="217"/>
      <c r="U196" s="217"/>
      <c r="V196" s="217"/>
      <c r="W196" s="217"/>
      <c r="X196" s="217"/>
      <c r="Y196" s="217"/>
      <c r="Z196" s="217"/>
      <c r="AA196" s="217"/>
      <c r="AB196" s="217"/>
      <c r="AC196" s="217"/>
      <c r="AD196" s="217"/>
      <c r="AE196" s="217"/>
      <c r="AF196" s="184"/>
      <c r="AG196" s="176"/>
      <c r="AH196" s="176"/>
      <c r="AI196" s="217"/>
      <c r="AJ196" s="218"/>
      <c r="AK196" s="172"/>
      <c r="AL196" s="221"/>
      <c r="AM196" s="221"/>
      <c r="AN196" s="221"/>
      <c r="AO196" s="221"/>
      <c r="AP196" s="221"/>
      <c r="AQ196" s="219"/>
      <c r="AR196" s="220"/>
      <c r="AS196" s="184"/>
      <c r="AT196" s="221"/>
      <c r="AU196" s="186"/>
      <c r="AV196" s="176"/>
      <c r="AW196" s="203">
        <f>AW192+AW194</f>
        <v>23000</v>
      </c>
      <c r="AX196" s="204">
        <f>AX192+AX194</f>
        <v>23100</v>
      </c>
      <c r="AY196" s="186"/>
      <c r="AZ196" s="203">
        <f t="shared" ref="AZ196:BB196" si="192">AZ192</f>
        <v>23000</v>
      </c>
      <c r="BA196" s="205">
        <f t="shared" si="192"/>
        <v>23000</v>
      </c>
      <c r="BB196" s="204">
        <f t="shared" si="192"/>
        <v>23000</v>
      </c>
      <c r="BC196" s="187"/>
      <c r="BD196" s="430">
        <f>BD192</f>
        <v>40</v>
      </c>
      <c r="BE196" s="207">
        <f t="shared" ref="BE196:BF196" si="193">BE192</f>
        <v>23000</v>
      </c>
      <c r="BF196" s="207">
        <f t="shared" si="193"/>
        <v>18720</v>
      </c>
      <c r="BG196" s="208">
        <f>IFERROR(BF196/BE196,0)</f>
        <v>0.81391304347826088</v>
      </c>
      <c r="BH196" s="184"/>
      <c r="BI196" s="431">
        <f>BI192</f>
        <v>40</v>
      </c>
      <c r="BJ196" s="210">
        <f t="shared" ref="BJ196:BK196" si="194">BJ192</f>
        <v>23000</v>
      </c>
      <c r="BK196" s="210">
        <f t="shared" si="194"/>
        <v>18720</v>
      </c>
      <c r="BL196" s="211">
        <f>IFERROR(BK196/BJ196,0)</f>
        <v>0.81391304347826088</v>
      </c>
      <c r="BM196" s="184"/>
      <c r="BN196" s="432">
        <f>BN192</f>
        <v>40</v>
      </c>
      <c r="BO196" s="213">
        <f t="shared" ref="BO196:BP196" si="195">BO192</f>
        <v>23000</v>
      </c>
      <c r="BP196" s="213">
        <f t="shared" si="195"/>
        <v>18720</v>
      </c>
      <c r="BQ196" s="214">
        <f>IFERROR(BP196/BO196,0)</f>
        <v>0.81391304347826088</v>
      </c>
      <c r="BR196" s="184"/>
      <c r="BS196" s="430">
        <f>BS192+BS194</f>
        <v>40</v>
      </c>
      <c r="BT196" s="207">
        <f>BT200-BT198</f>
        <v>23100</v>
      </c>
      <c r="BU196" s="207">
        <f>BU192+BU194</f>
        <v>18820</v>
      </c>
      <c r="BV196" s="208">
        <f>IFERROR(BU196/BT196,0)</f>
        <v>0.81471861471861473</v>
      </c>
      <c r="BW196" s="184"/>
      <c r="BX196" s="431">
        <f>BX192+BX194</f>
        <v>40</v>
      </c>
      <c r="BY196" s="210">
        <f>BY200-BY198</f>
        <v>23100</v>
      </c>
      <c r="BZ196" s="210">
        <f>BZ192+BZ194</f>
        <v>18820</v>
      </c>
      <c r="CA196" s="211">
        <f>IFERROR(BZ196/BY196,0)</f>
        <v>0.81471861471861473</v>
      </c>
      <c r="CB196" s="184"/>
      <c r="CC196" s="432">
        <f>CC192+CC194</f>
        <v>40</v>
      </c>
      <c r="CD196" s="213">
        <f>CD200-CD198</f>
        <v>23100</v>
      </c>
      <c r="CE196" s="213">
        <f>CE192+CE194</f>
        <v>18820</v>
      </c>
      <c r="CF196" s="214">
        <f>IFERROR(CE196/CD196,0)</f>
        <v>0.81471861471861473</v>
      </c>
      <c r="CG196" s="184"/>
      <c r="CH196" s="167"/>
    </row>
    <row r="197" spans="1:86" ht="8.25" customHeight="1" thickBot="1" x14ac:dyDescent="0.25">
      <c r="A197" s="160"/>
      <c r="B197" s="161"/>
      <c r="C197" s="161"/>
      <c r="D197" s="162"/>
      <c r="E197" s="162"/>
      <c r="F197" s="162"/>
      <c r="G197" s="162"/>
      <c r="H197" s="162"/>
      <c r="J197" s="162"/>
      <c r="AF197" s="162"/>
      <c r="AK197" s="162"/>
      <c r="AO197" s="11"/>
      <c r="AP197" s="11"/>
      <c r="AQ197" s="163"/>
      <c r="AS197" s="162"/>
      <c r="AU197" s="164"/>
      <c r="AX197" s="157"/>
      <c r="AY197" s="164"/>
      <c r="BC197" s="166"/>
      <c r="BD197" s="162"/>
      <c r="BG197" s="7"/>
      <c r="BH197" s="162"/>
      <c r="BI197" s="162"/>
      <c r="BM197" s="162"/>
      <c r="BN197" s="162"/>
      <c r="BR197" s="162"/>
      <c r="BS197" s="162"/>
      <c r="BV197" s="7"/>
      <c r="BW197" s="162"/>
      <c r="BX197" s="162"/>
      <c r="CB197" s="162"/>
      <c r="CC197" s="162"/>
      <c r="CG197" s="162"/>
    </row>
    <row r="198" spans="1:86" s="11" customFormat="1" ht="17" thickBot="1" x14ac:dyDescent="0.25">
      <c r="A198" s="168"/>
      <c r="B198" s="189" t="s">
        <v>177</v>
      </c>
      <c r="C198" s="190"/>
      <c r="D198" s="172"/>
      <c r="E198" s="172"/>
      <c r="F198" s="172"/>
      <c r="G198" s="172"/>
      <c r="H198" s="172"/>
      <c r="I198" s="217"/>
      <c r="J198" s="172"/>
      <c r="K198" s="217"/>
      <c r="L198" s="217"/>
      <c r="M198" s="217"/>
      <c r="N198" s="217"/>
      <c r="O198" s="217"/>
      <c r="P198" s="217"/>
      <c r="Q198" s="217"/>
      <c r="R198" s="217"/>
      <c r="S198" s="217"/>
      <c r="T198" s="217"/>
      <c r="U198" s="217"/>
      <c r="V198" s="217"/>
      <c r="W198" s="217"/>
      <c r="X198" s="217"/>
      <c r="Y198" s="217"/>
      <c r="Z198" s="217"/>
      <c r="AA198" s="217"/>
      <c r="AB198" s="217"/>
      <c r="AC198" s="217"/>
      <c r="AD198" s="217"/>
      <c r="AE198" s="217"/>
      <c r="AF198" s="184"/>
      <c r="AG198" s="176"/>
      <c r="AH198" s="176"/>
      <c r="AI198" s="217"/>
      <c r="AJ198" s="218"/>
      <c r="AK198" s="172"/>
      <c r="AL198" s="221"/>
      <c r="AM198" s="221"/>
      <c r="AN198" s="221"/>
      <c r="AO198" s="221"/>
      <c r="AP198" s="221"/>
      <c r="AQ198" s="219"/>
      <c r="AR198" s="220"/>
      <c r="AS198" s="184"/>
      <c r="AT198" s="221"/>
      <c r="AU198" s="186"/>
      <c r="AV198" s="176"/>
      <c r="AW198" s="222"/>
      <c r="AX198" s="222"/>
      <c r="AY198" s="186"/>
      <c r="AZ198" s="203">
        <f>AZ192*'[1]Core Assumptions'!$D$26</f>
        <v>1610.0000000000002</v>
      </c>
      <c r="BA198" s="205">
        <f>BA192*'[1]Core Assumptions'!$D$26</f>
        <v>1610.0000000000002</v>
      </c>
      <c r="BB198" s="204">
        <f>BB192*'[1]Core Assumptions'!$D$26</f>
        <v>1610.0000000000002</v>
      </c>
      <c r="BC198" s="187"/>
      <c r="BD198" s="430"/>
      <c r="BE198" s="207">
        <f>BE192*'[1]Core Assumptions'!$D$26</f>
        <v>1610.0000000000002</v>
      </c>
      <c r="BF198" s="207">
        <f>BE198</f>
        <v>1610.0000000000002</v>
      </c>
      <c r="BG198" s="208">
        <f>IFERROR(BF198/BE198,0)</f>
        <v>1</v>
      </c>
      <c r="BH198" s="184"/>
      <c r="BI198" s="431"/>
      <c r="BJ198" s="210">
        <f>BJ192*'[1]Core Assumptions'!$D$26</f>
        <v>1610.0000000000002</v>
      </c>
      <c r="BK198" s="210">
        <f>BJ198</f>
        <v>1610.0000000000002</v>
      </c>
      <c r="BL198" s="211">
        <f>IFERROR(BK198/BJ198,0)</f>
        <v>1</v>
      </c>
      <c r="BM198" s="184"/>
      <c r="BN198" s="432"/>
      <c r="BO198" s="213">
        <f>BO192*'[1]Core Assumptions'!$D$26</f>
        <v>1610.0000000000002</v>
      </c>
      <c r="BP198" s="213">
        <f>BO198</f>
        <v>1610.0000000000002</v>
      </c>
      <c r="BQ198" s="214">
        <f>IFERROR(BP198/BO198,0)</f>
        <v>1</v>
      </c>
      <c r="BR198" s="184"/>
      <c r="BS198" s="430"/>
      <c r="BT198" s="207">
        <f>BT200/(1+'[1]Core Assumptions'!$D$26)*'[1]Core Assumptions'!$D$26</f>
        <v>1617.0000000000002</v>
      </c>
      <c r="BU198" s="207">
        <f>BT198</f>
        <v>1617.0000000000002</v>
      </c>
      <c r="BV198" s="208">
        <f>IFERROR(BU198/BT198,0)</f>
        <v>1</v>
      </c>
      <c r="BW198" s="184"/>
      <c r="BX198" s="431"/>
      <c r="BY198" s="210">
        <f>BY200/(1+'[1]Core Assumptions'!$D$26)*'[1]Core Assumptions'!$D$26</f>
        <v>1617.0000000000002</v>
      </c>
      <c r="BZ198" s="210">
        <f>BY198</f>
        <v>1617.0000000000002</v>
      </c>
      <c r="CA198" s="211">
        <f>IFERROR(BZ198/BY198,0)</f>
        <v>1</v>
      </c>
      <c r="CB198" s="184"/>
      <c r="CC198" s="432"/>
      <c r="CD198" s="213">
        <f>CD200/(1+'[1]Core Assumptions'!$D$26)*'[1]Core Assumptions'!$D$26</f>
        <v>1617.0000000000002</v>
      </c>
      <c r="CE198" s="213">
        <f>CD198</f>
        <v>1617.0000000000002</v>
      </c>
      <c r="CF198" s="214">
        <f>IFERROR(CE198/CD198,0)</f>
        <v>1</v>
      </c>
      <c r="CG198" s="184"/>
      <c r="CH198" s="167"/>
    </row>
    <row r="199" spans="1:86" ht="8.25" customHeight="1" thickBot="1" x14ac:dyDescent="0.25">
      <c r="A199" s="160"/>
      <c r="B199" s="161"/>
      <c r="C199" s="161"/>
      <c r="D199" s="162"/>
      <c r="E199" s="162"/>
      <c r="F199" s="162"/>
      <c r="G199" s="162"/>
      <c r="H199" s="162"/>
      <c r="J199" s="162"/>
      <c r="AF199" s="162"/>
      <c r="AK199" s="162"/>
      <c r="AO199" s="11"/>
      <c r="AP199" s="11"/>
      <c r="AQ199" s="163"/>
      <c r="AS199" s="162"/>
      <c r="AU199" s="164"/>
      <c r="AX199" s="157"/>
      <c r="AY199" s="164"/>
      <c r="BC199" s="166"/>
      <c r="BD199" s="162"/>
      <c r="BG199" s="7"/>
      <c r="BH199" s="162"/>
      <c r="BI199" s="162"/>
      <c r="BM199" s="162"/>
      <c r="BN199" s="162"/>
      <c r="BR199" s="162"/>
      <c r="BS199" s="162"/>
      <c r="BV199" s="7"/>
      <c r="BW199" s="162"/>
      <c r="BX199" s="162"/>
      <c r="CB199" s="162"/>
      <c r="CC199" s="162"/>
      <c r="CG199" s="162"/>
    </row>
    <row r="200" spans="1:86" s="11" customFormat="1" ht="17" thickBot="1" x14ac:dyDescent="0.25">
      <c r="A200" s="168"/>
      <c r="B200" s="189" t="s">
        <v>178</v>
      </c>
      <c r="C200" s="190"/>
      <c r="D200" s="172"/>
      <c r="E200" s="172"/>
      <c r="F200" s="172"/>
      <c r="G200" s="172"/>
      <c r="H200" s="172"/>
      <c r="I200" s="217"/>
      <c r="J200" s="172"/>
      <c r="K200" s="217"/>
      <c r="L200" s="217"/>
      <c r="M200" s="217"/>
      <c r="N200" s="217"/>
      <c r="O200" s="217"/>
      <c r="P200" s="217"/>
      <c r="Q200" s="217"/>
      <c r="R200" s="217"/>
      <c r="S200" s="217"/>
      <c r="T200" s="217"/>
      <c r="U200" s="217"/>
      <c r="V200" s="217"/>
      <c r="W200" s="217"/>
      <c r="X200" s="217"/>
      <c r="Y200" s="217"/>
      <c r="Z200" s="217"/>
      <c r="AA200" s="217"/>
      <c r="AB200" s="217"/>
      <c r="AC200" s="217"/>
      <c r="AD200" s="217"/>
      <c r="AE200" s="217"/>
      <c r="AF200" s="184"/>
      <c r="AG200" s="176"/>
      <c r="AH200" s="176"/>
      <c r="AI200" s="217"/>
      <c r="AJ200" s="218"/>
      <c r="AK200" s="172"/>
      <c r="AL200" s="221"/>
      <c r="AM200" s="221"/>
      <c r="AN200" s="221"/>
      <c r="AO200" s="221"/>
      <c r="AP200" s="221"/>
      <c r="AQ200" s="219"/>
      <c r="AR200" s="220"/>
      <c r="AS200" s="184"/>
      <c r="AT200" s="221"/>
      <c r="AU200" s="186"/>
      <c r="AV200" s="176"/>
      <c r="AW200" s="222"/>
      <c r="AX200" s="222"/>
      <c r="AY200" s="186"/>
      <c r="AZ200" s="203">
        <f t="shared" ref="AZ200:BB200" si="196">AZ196+AZ198</f>
        <v>24610</v>
      </c>
      <c r="BA200" s="205">
        <f t="shared" si="196"/>
        <v>24610</v>
      </c>
      <c r="BB200" s="204">
        <f t="shared" si="196"/>
        <v>24610</v>
      </c>
      <c r="BC200" s="187"/>
      <c r="BD200" s="430">
        <f>BD196+BD198</f>
        <v>40</v>
      </c>
      <c r="BE200" s="207">
        <f t="shared" ref="BE200:BF200" si="197">BE196+BE198</f>
        <v>24610</v>
      </c>
      <c r="BF200" s="207">
        <f t="shared" si="197"/>
        <v>20330</v>
      </c>
      <c r="BG200" s="208">
        <f>IFERROR(BF200/BE200,0)</f>
        <v>0.82608695652173914</v>
      </c>
      <c r="BH200" s="184"/>
      <c r="BI200" s="431">
        <f>BI196+BI198</f>
        <v>40</v>
      </c>
      <c r="BJ200" s="210">
        <f t="shared" ref="BJ200:BK200" si="198">BJ196+BJ198</f>
        <v>24610</v>
      </c>
      <c r="BK200" s="210">
        <f t="shared" si="198"/>
        <v>20330</v>
      </c>
      <c r="BL200" s="211">
        <f>IFERROR(BK200/BJ200,0)</f>
        <v>0.82608695652173914</v>
      </c>
      <c r="BM200" s="184"/>
      <c r="BN200" s="432">
        <f>BN196+BN198</f>
        <v>40</v>
      </c>
      <c r="BO200" s="213">
        <f t="shared" ref="BO200:BP200" si="199">BO196+BO198</f>
        <v>24610</v>
      </c>
      <c r="BP200" s="213">
        <f t="shared" si="199"/>
        <v>20330</v>
      </c>
      <c r="BQ200" s="214">
        <f>IFERROR(BP200/BO200,0)</f>
        <v>0.82608695652173914</v>
      </c>
      <c r="BR200" s="184"/>
      <c r="BS200" s="430">
        <f>BS196+BS198</f>
        <v>40</v>
      </c>
      <c r="BT200" s="207">
        <f>IF('[1]Pricing Summary'!$B$4="Yes",BT192*(1+'[1]Core Assumptions'!$D$26),BT192)*IF('[1]Pricing Summary'!$B$4="Yes",1,1+'[1]Core Assumptions'!$D$26)</f>
        <v>24717</v>
      </c>
      <c r="BU200" s="207">
        <f>BU196+BU198</f>
        <v>20437</v>
      </c>
      <c r="BV200" s="208">
        <f>IFERROR(BU200/BT200,0)</f>
        <v>0.82683982683982682</v>
      </c>
      <c r="BW200" s="184"/>
      <c r="BX200" s="431">
        <f>BX196+BX198</f>
        <v>40</v>
      </c>
      <c r="BY200" s="210">
        <f>IF('[1]Pricing Summary'!$B$4="Yes",BY192*(1+'[1]Core Assumptions'!$D$26),BY192)*IF('[1]Pricing Summary'!$B$4="Yes",1,1+'[1]Core Assumptions'!$D$26)</f>
        <v>24717</v>
      </c>
      <c r="BZ200" s="210">
        <f>BZ196+BZ198</f>
        <v>20437</v>
      </c>
      <c r="CA200" s="211">
        <f>IFERROR(BZ200/BY200,0)</f>
        <v>0.82683982683982682</v>
      </c>
      <c r="CB200" s="184"/>
      <c r="CC200" s="432">
        <f>CC196+CC198</f>
        <v>40</v>
      </c>
      <c r="CD200" s="213">
        <f>IF('[1]Pricing Summary'!$B$4="Yes",CD192*(1+'[1]Core Assumptions'!$D$26),CD192)*IF('[1]Pricing Summary'!$B$4="Yes",1,1+'[1]Core Assumptions'!$D$26)</f>
        <v>24717</v>
      </c>
      <c r="CE200" s="213">
        <f>CE196+CE198</f>
        <v>20437</v>
      </c>
      <c r="CF200" s="214">
        <f>IFERROR(CE200/CD200,0)</f>
        <v>0.82683982683982682</v>
      </c>
      <c r="CG200" s="184"/>
      <c r="CH200" s="167"/>
    </row>
    <row r="201" spans="1:86" ht="8.25" customHeight="1" x14ac:dyDescent="0.2">
      <c r="A201" s="160"/>
      <c r="B201" s="161"/>
      <c r="C201" s="161"/>
      <c r="D201" s="162"/>
      <c r="E201" s="162"/>
      <c r="F201" s="162"/>
      <c r="G201" s="162"/>
      <c r="H201" s="162"/>
      <c r="J201" s="162"/>
      <c r="AF201" s="162"/>
      <c r="AK201" s="162"/>
      <c r="AO201" s="11"/>
      <c r="AP201" s="11"/>
      <c r="AQ201" s="163"/>
      <c r="AS201" s="162"/>
      <c r="AU201" s="164"/>
      <c r="AX201" s="157"/>
      <c r="AY201" s="164"/>
      <c r="BC201" s="166"/>
      <c r="BD201" s="162"/>
      <c r="BG201" s="7"/>
      <c r="BH201" s="162"/>
      <c r="BI201" s="162"/>
      <c r="BM201" s="162"/>
      <c r="BN201" s="162"/>
      <c r="BR201" s="162"/>
      <c r="BS201" s="162"/>
      <c r="BV201" s="7"/>
      <c r="BW201" s="162"/>
      <c r="BX201" s="162"/>
      <c r="CB201" s="162"/>
      <c r="CC201" s="162"/>
      <c r="CG201" s="162"/>
    </row>
    <row r="202" spans="1:86" ht="19" x14ac:dyDescent="0.25">
      <c r="A202" s="160"/>
      <c r="B202" s="234" t="s">
        <v>179</v>
      </c>
      <c r="C202" s="234"/>
      <c r="D202" s="162"/>
      <c r="E202" s="162"/>
      <c r="F202" s="162"/>
      <c r="G202" s="162"/>
      <c r="H202" s="162"/>
      <c r="I202" s="370"/>
      <c r="J202" s="162"/>
      <c r="K202" s="370"/>
      <c r="L202" s="370"/>
      <c r="M202" s="370"/>
      <c r="N202" s="370"/>
      <c r="O202" s="370"/>
      <c r="P202" s="370"/>
      <c r="Q202" s="370"/>
      <c r="R202" s="370"/>
      <c r="S202" s="370"/>
      <c r="T202" s="370"/>
      <c r="U202" s="370"/>
      <c r="V202" s="370"/>
      <c r="W202" s="370"/>
      <c r="X202" s="370"/>
      <c r="Y202" s="370"/>
      <c r="Z202" s="370"/>
      <c r="AA202" s="370"/>
      <c r="AB202" s="370"/>
      <c r="AC202" s="370"/>
      <c r="AD202" s="370"/>
      <c r="AE202" s="370"/>
      <c r="AF202" s="162"/>
      <c r="AG202" s="371"/>
      <c r="AH202" s="371"/>
      <c r="AI202" s="370"/>
      <c r="AK202" s="162"/>
      <c r="AO202" s="11"/>
      <c r="AP202" s="11"/>
      <c r="AQ202" s="163"/>
      <c r="AS202" s="162"/>
      <c r="AU202" s="164"/>
      <c r="AV202" s="371"/>
      <c r="AX202" s="157"/>
      <c r="AY202" s="164"/>
      <c r="BC202" s="166"/>
      <c r="BD202" s="370"/>
      <c r="BE202" s="379"/>
      <c r="BF202" s="379"/>
      <c r="BG202" s="380"/>
      <c r="BH202" s="162"/>
      <c r="BI202" s="370"/>
      <c r="BJ202" s="379"/>
      <c r="BK202" s="379"/>
      <c r="BL202" s="381"/>
      <c r="BM202" s="162"/>
      <c r="BN202" s="370"/>
      <c r="BO202" s="379"/>
      <c r="BP202" s="379"/>
      <c r="BQ202" s="381"/>
      <c r="BR202" s="162"/>
      <c r="BS202" s="370"/>
      <c r="BT202" s="379"/>
      <c r="BU202" s="379"/>
      <c r="BV202" s="380"/>
      <c r="BW202" s="162"/>
      <c r="BX202" s="370"/>
      <c r="BY202" s="379"/>
      <c r="BZ202" s="379"/>
      <c r="CA202" s="381"/>
      <c r="CB202" s="162"/>
      <c r="CC202" s="370"/>
      <c r="CD202" s="379"/>
      <c r="CE202" s="379"/>
      <c r="CF202" s="381"/>
      <c r="CG202" s="162"/>
    </row>
    <row r="203" spans="1:86" s="11" customFormat="1" ht="17" hidden="1" outlineLevel="1" thickBot="1" x14ac:dyDescent="0.25">
      <c r="A203" s="168"/>
      <c r="B203" s="433" t="str">
        <f>CONCATENATE("Adjusted Total if applying an overall Fixed Fee ",IF('[1]Pricing Summary'!B4="No","(BEFORE Admin Fee)","(AFTER Admin Fee)"))</f>
        <v>Adjusted Total if applying an overall Fixed Fee (BEFORE Admin Fee)</v>
      </c>
      <c r="C203" s="172"/>
      <c r="D203" s="172"/>
      <c r="E203" s="172"/>
      <c r="F203" s="172"/>
      <c r="G203" s="172"/>
      <c r="H203" s="172"/>
      <c r="I203" s="217"/>
      <c r="J203" s="172"/>
      <c r="K203" s="217"/>
      <c r="L203" s="217"/>
      <c r="M203" s="217"/>
      <c r="N203" s="217"/>
      <c r="O203" s="217"/>
      <c r="P203" s="217"/>
      <c r="Q203" s="217"/>
      <c r="R203" s="217"/>
      <c r="S203" s="217"/>
      <c r="T203" s="217"/>
      <c r="U203" s="217"/>
      <c r="V203" s="217"/>
      <c r="W203" s="217"/>
      <c r="X203" s="217"/>
      <c r="Y203" s="217"/>
      <c r="Z203" s="217"/>
      <c r="AA203" s="217"/>
      <c r="AB203" s="217"/>
      <c r="AC203" s="217"/>
      <c r="AD203" s="217"/>
      <c r="AE203" s="217"/>
      <c r="AF203" s="184"/>
      <c r="AG203" s="176"/>
      <c r="AH203" s="176"/>
      <c r="AI203" s="217"/>
      <c r="AJ203" s="218"/>
      <c r="AK203" s="172"/>
      <c r="AL203" s="221"/>
      <c r="AM203" s="221"/>
      <c r="AN203" s="221"/>
      <c r="AO203" s="221"/>
      <c r="AP203" s="221"/>
      <c r="AQ203" s="219"/>
      <c r="AR203" s="220"/>
      <c r="AS203" s="184"/>
      <c r="AT203" s="221"/>
      <c r="AU203" s="222"/>
      <c r="AV203" s="176"/>
      <c r="AW203" s="222"/>
      <c r="AX203" s="222"/>
      <c r="AY203" s="186"/>
      <c r="AZ203" s="165"/>
      <c r="BA203" s="165"/>
      <c r="BB203" s="165"/>
      <c r="BC203" s="187"/>
      <c r="BD203" s="370"/>
      <c r="BE203" s="379"/>
      <c r="BF203" s="379"/>
      <c r="BG203" s="380"/>
      <c r="BH203" s="162"/>
      <c r="BI203" s="370"/>
      <c r="BJ203" s="379"/>
      <c r="BK203" s="379"/>
      <c r="BL203" s="381"/>
      <c r="BM203" s="162"/>
      <c r="BN203" s="370"/>
      <c r="BO203" s="379"/>
      <c r="BP203" s="379"/>
      <c r="BQ203" s="381"/>
      <c r="BR203" s="184"/>
      <c r="BS203" s="430">
        <f>IF('[1]Pricing Summary'!$B$4="Yes",BS200,BS196)</f>
        <v>40</v>
      </c>
      <c r="BT203" s="207">
        <f>'[1]Pricing Summary'!P6</f>
        <v>23000</v>
      </c>
      <c r="BU203" s="207">
        <f>IF('[1]Pricing Summary'!$B$4="Yes",BU200,BU196)</f>
        <v>18820</v>
      </c>
      <c r="BV203" s="208">
        <f>IFERROR(BU203/BT203,0)</f>
        <v>0.81826086956521737</v>
      </c>
      <c r="BW203" s="184"/>
      <c r="BX203" s="431">
        <f>IF('[1]Pricing Summary'!$B$4="Yes",BX200,BX196)</f>
        <v>40</v>
      </c>
      <c r="BY203" s="210">
        <f>'[1]Pricing Summary'!R6</f>
        <v>23000</v>
      </c>
      <c r="BZ203" s="210">
        <f>IF('[1]Pricing Summary'!$B$4="Yes",BZ200,BZ196)</f>
        <v>18820</v>
      </c>
      <c r="CA203" s="211">
        <f>IFERROR(BZ203/BY203,0)</f>
        <v>0.81826086956521737</v>
      </c>
      <c r="CB203" s="184"/>
      <c r="CC203" s="432">
        <f>IF('[1]Pricing Summary'!$B$4="Yes",CC200,CC196)</f>
        <v>40</v>
      </c>
      <c r="CD203" s="213">
        <f>'[1]Pricing Summary'!T6</f>
        <v>23000</v>
      </c>
      <c r="CE203" s="213">
        <f>IF('[1]Pricing Summary'!$B$4="Yes",CE200,CE196)</f>
        <v>18820</v>
      </c>
      <c r="CF203" s="214">
        <f>IFERROR(CE203/CD203,0)</f>
        <v>0.81826086956521737</v>
      </c>
      <c r="CG203" s="184"/>
      <c r="CH203" s="434" t="s">
        <v>180</v>
      </c>
    </row>
    <row r="204" spans="1:86" ht="8.25" hidden="1" customHeight="1" outlineLevel="1" x14ac:dyDescent="0.2">
      <c r="A204" s="160"/>
      <c r="B204" s="161"/>
      <c r="C204" s="161"/>
      <c r="D204" s="162"/>
      <c r="E204" s="162"/>
      <c r="F204" s="162"/>
      <c r="G204" s="162"/>
      <c r="H204" s="162"/>
      <c r="J204" s="162"/>
      <c r="AF204" s="162"/>
      <c r="AK204" s="162"/>
      <c r="AO204" s="11"/>
      <c r="AP204" s="11"/>
      <c r="AQ204" s="163"/>
      <c r="AS204" s="162"/>
      <c r="AU204" s="164"/>
      <c r="AX204" s="157"/>
      <c r="AY204" s="164"/>
      <c r="BC204" s="166"/>
      <c r="BD204" s="370"/>
      <c r="BE204" s="379"/>
      <c r="BF204" s="379"/>
      <c r="BG204" s="380"/>
      <c r="BH204" s="162"/>
      <c r="BI204" s="370"/>
      <c r="BJ204" s="379"/>
      <c r="BK204" s="379"/>
      <c r="BL204" s="381"/>
      <c r="BM204" s="162"/>
      <c r="BN204" s="370"/>
      <c r="BO204" s="379"/>
      <c r="BP204" s="379"/>
      <c r="BQ204" s="381"/>
      <c r="BR204" s="162"/>
      <c r="BS204" s="162"/>
      <c r="BV204" s="7"/>
      <c r="BW204" s="162"/>
      <c r="BX204" s="162"/>
      <c r="CB204" s="162"/>
      <c r="CC204" s="162"/>
      <c r="CG204" s="162"/>
    </row>
    <row r="205" spans="1:86" s="11" customFormat="1" ht="17" hidden="1" outlineLevel="1" thickBot="1" x14ac:dyDescent="0.25">
      <c r="A205" s="168"/>
      <c r="B205" s="189" t="s">
        <v>174</v>
      </c>
      <c r="C205" s="190"/>
      <c r="D205" s="172"/>
      <c r="E205" s="172"/>
      <c r="F205" s="172"/>
      <c r="G205" s="172"/>
      <c r="H205" s="172"/>
      <c r="I205" s="2"/>
      <c r="J205" s="162"/>
      <c r="K205" s="2"/>
      <c r="L205" s="2"/>
      <c r="M205" s="2"/>
      <c r="N205" s="2"/>
      <c r="O205" s="2"/>
      <c r="P205" s="2"/>
      <c r="Q205" s="2"/>
      <c r="R205" s="2"/>
      <c r="S205" s="2"/>
      <c r="T205" s="2"/>
      <c r="U205" s="2"/>
      <c r="V205" s="2"/>
      <c r="W205" s="2"/>
      <c r="X205" s="2"/>
      <c r="Y205" s="2"/>
      <c r="Z205" s="2"/>
      <c r="AA205" s="2"/>
      <c r="AB205" s="2"/>
      <c r="AC205" s="2"/>
      <c r="AD205" s="2"/>
      <c r="AE205" s="2"/>
      <c r="AF205" s="184"/>
      <c r="AG205" s="156"/>
      <c r="AH205" s="156"/>
      <c r="AI205" s="2"/>
      <c r="AJ205" s="2"/>
      <c r="AK205" s="162"/>
      <c r="AQ205" s="163"/>
      <c r="AR205" s="39"/>
      <c r="AS205" s="162"/>
      <c r="AU205" s="186"/>
      <c r="AV205" s="156"/>
      <c r="AW205" s="203">
        <f>AW192</f>
        <v>23000</v>
      </c>
      <c r="AX205" s="204">
        <f>AX192</f>
        <v>23100</v>
      </c>
      <c r="AY205" s="186"/>
      <c r="AZ205" s="165"/>
      <c r="BA205" s="165"/>
      <c r="BB205" s="165"/>
      <c r="BC205" s="187"/>
      <c r="BD205" s="370"/>
      <c r="BE205" s="379"/>
      <c r="BF205" s="379"/>
      <c r="BG205" s="380"/>
      <c r="BH205" s="162"/>
      <c r="BI205" s="370"/>
      <c r="BJ205" s="379"/>
      <c r="BK205" s="379"/>
      <c r="BL205" s="381"/>
      <c r="BM205" s="162"/>
      <c r="BN205" s="370"/>
      <c r="BO205" s="379"/>
      <c r="BP205" s="379"/>
      <c r="BQ205" s="381"/>
      <c r="BR205" s="184"/>
      <c r="BS205" s="430">
        <f>BS192</f>
        <v>40</v>
      </c>
      <c r="BT205" s="207">
        <f t="shared" ref="BT205:BU205" si="200">BT192</f>
        <v>23100</v>
      </c>
      <c r="BU205" s="207">
        <f t="shared" si="200"/>
        <v>18820</v>
      </c>
      <c r="BV205" s="208">
        <f>IFERROR(BU205/BT205,0)</f>
        <v>0.81471861471861473</v>
      </c>
      <c r="BW205" s="184"/>
      <c r="BX205" s="431">
        <f t="shared" ref="BX205:BZ205" si="201">BX192</f>
        <v>40</v>
      </c>
      <c r="BY205" s="210">
        <f t="shared" si="201"/>
        <v>23100</v>
      </c>
      <c r="BZ205" s="210">
        <f t="shared" si="201"/>
        <v>18820</v>
      </c>
      <c r="CA205" s="211">
        <f>IFERROR(BZ205/BY205,0)</f>
        <v>0.81471861471861473</v>
      </c>
      <c r="CB205" s="184"/>
      <c r="CC205" s="432">
        <f t="shared" ref="CC205:CE205" si="202">CC192</f>
        <v>40</v>
      </c>
      <c r="CD205" s="213">
        <f t="shared" si="202"/>
        <v>23100</v>
      </c>
      <c r="CE205" s="213">
        <f t="shared" si="202"/>
        <v>18820</v>
      </c>
      <c r="CF205" s="214">
        <f>IFERROR(CE205/CD205,0)</f>
        <v>0.81471861471861473</v>
      </c>
      <c r="CG205" s="184"/>
      <c r="CH205" s="167"/>
    </row>
    <row r="206" spans="1:86" ht="8.25" hidden="1" customHeight="1" outlineLevel="1" x14ac:dyDescent="0.2">
      <c r="A206" s="160"/>
      <c r="B206" s="161"/>
      <c r="C206" s="161"/>
      <c r="D206" s="162"/>
      <c r="E206" s="162"/>
      <c r="F206" s="162"/>
      <c r="G206" s="162"/>
      <c r="H206" s="162"/>
      <c r="J206" s="162"/>
      <c r="AF206" s="162"/>
      <c r="AK206" s="162"/>
      <c r="AO206" s="11"/>
      <c r="AP206" s="11"/>
      <c r="AQ206" s="163"/>
      <c r="AS206" s="162"/>
      <c r="AU206" s="164"/>
      <c r="AX206" s="157"/>
      <c r="AY206" s="164"/>
      <c r="BC206" s="166"/>
      <c r="BD206" s="370"/>
      <c r="BE206" s="379"/>
      <c r="BF206" s="379"/>
      <c r="BG206" s="380"/>
      <c r="BH206" s="162"/>
      <c r="BI206" s="370"/>
      <c r="BJ206" s="379"/>
      <c r="BK206" s="379"/>
      <c r="BL206" s="381"/>
      <c r="BM206" s="162"/>
      <c r="BN206" s="370"/>
      <c r="BO206" s="379"/>
      <c r="BP206" s="379"/>
      <c r="BQ206" s="381"/>
      <c r="BR206" s="162"/>
      <c r="BS206" s="162"/>
      <c r="BV206" s="7"/>
      <c r="BW206" s="162"/>
      <c r="BX206" s="162"/>
      <c r="CB206" s="162"/>
      <c r="CC206" s="162"/>
      <c r="CG206" s="162"/>
    </row>
    <row r="207" spans="1:86" s="11" customFormat="1" ht="17" hidden="1" outlineLevel="1" thickBot="1" x14ac:dyDescent="0.25">
      <c r="A207" s="168"/>
      <c r="B207" s="189" t="s">
        <v>175</v>
      </c>
      <c r="C207" s="190"/>
      <c r="D207" s="172"/>
      <c r="E207" s="172"/>
      <c r="F207" s="172"/>
      <c r="G207" s="172"/>
      <c r="H207" s="172"/>
      <c r="I207" s="217"/>
      <c r="J207" s="172"/>
      <c r="K207" s="217"/>
      <c r="L207" s="217"/>
      <c r="M207" s="217"/>
      <c r="N207" s="217"/>
      <c r="O207" s="217"/>
      <c r="P207" s="217"/>
      <c r="Q207" s="217"/>
      <c r="R207" s="217"/>
      <c r="S207" s="217"/>
      <c r="T207" s="217"/>
      <c r="U207" s="217"/>
      <c r="V207" s="217"/>
      <c r="W207" s="217"/>
      <c r="X207" s="217"/>
      <c r="Y207" s="217"/>
      <c r="Z207" s="217"/>
      <c r="AA207" s="217"/>
      <c r="AB207" s="217"/>
      <c r="AC207" s="217"/>
      <c r="AD207" s="217"/>
      <c r="AE207" s="217"/>
      <c r="AF207" s="184"/>
      <c r="AG207" s="176"/>
      <c r="AH207" s="176"/>
      <c r="AI207" s="217"/>
      <c r="AJ207" s="218"/>
      <c r="AK207" s="172"/>
      <c r="AL207" s="221"/>
      <c r="AM207" s="221"/>
      <c r="AN207" s="221"/>
      <c r="AO207" s="221"/>
      <c r="AP207" s="221"/>
      <c r="AQ207" s="219"/>
      <c r="AR207" s="220"/>
      <c r="AS207" s="184"/>
      <c r="AT207" s="221"/>
      <c r="AU207" s="186"/>
      <c r="AV207" s="176"/>
      <c r="AW207" s="203"/>
      <c r="AX207" s="204">
        <f>BT207</f>
        <v>-100</v>
      </c>
      <c r="AY207" s="186"/>
      <c r="AZ207" s="165"/>
      <c r="BA207" s="165"/>
      <c r="BB207" s="165"/>
      <c r="BC207" s="187"/>
      <c r="BD207" s="370"/>
      <c r="BE207" s="379"/>
      <c r="BF207" s="379"/>
      <c r="BG207" s="380"/>
      <c r="BH207" s="162"/>
      <c r="BI207" s="370"/>
      <c r="BJ207" s="379"/>
      <c r="BK207" s="379"/>
      <c r="BL207" s="381"/>
      <c r="BM207" s="162"/>
      <c r="BN207" s="370"/>
      <c r="BO207" s="379"/>
      <c r="BP207" s="379"/>
      <c r="BQ207" s="381"/>
      <c r="BR207" s="184"/>
      <c r="BS207" s="430"/>
      <c r="BT207" s="207">
        <f>BT209-BT205</f>
        <v>-100</v>
      </c>
      <c r="BU207" s="207">
        <f>BT207</f>
        <v>-100</v>
      </c>
      <c r="BV207" s="208">
        <f>IFERROR(BU207/BT207,0)</f>
        <v>1</v>
      </c>
      <c r="BW207" s="184"/>
      <c r="BX207" s="431"/>
      <c r="BY207" s="210">
        <f>BY209-BY205</f>
        <v>-100</v>
      </c>
      <c r="BZ207" s="210">
        <f>BY207</f>
        <v>-100</v>
      </c>
      <c r="CA207" s="211">
        <f>IFERROR(BZ207/BY207,0)</f>
        <v>1</v>
      </c>
      <c r="CB207" s="184"/>
      <c r="CC207" s="432"/>
      <c r="CD207" s="213">
        <f>CD209-CD205</f>
        <v>-100</v>
      </c>
      <c r="CE207" s="213">
        <f>CD207</f>
        <v>-100</v>
      </c>
      <c r="CF207" s="214">
        <f>IFERROR(CE207/CD207,0)</f>
        <v>1</v>
      </c>
      <c r="CG207" s="184"/>
      <c r="CH207" s="167"/>
    </row>
    <row r="208" spans="1:86" ht="8.25" hidden="1" customHeight="1" outlineLevel="1" x14ac:dyDescent="0.2">
      <c r="A208" s="160"/>
      <c r="B208" s="161"/>
      <c r="C208" s="161"/>
      <c r="D208" s="162"/>
      <c r="E208" s="162"/>
      <c r="F208" s="162"/>
      <c r="G208" s="162"/>
      <c r="H208" s="162"/>
      <c r="J208" s="162"/>
      <c r="AF208" s="162"/>
      <c r="AK208" s="162"/>
      <c r="AO208" s="11"/>
      <c r="AP208" s="11"/>
      <c r="AQ208" s="163"/>
      <c r="AS208" s="162"/>
      <c r="AU208" s="164"/>
      <c r="AX208" s="157"/>
      <c r="AY208" s="164"/>
      <c r="BC208" s="166"/>
      <c r="BD208" s="370"/>
      <c r="BE208" s="379"/>
      <c r="BF208" s="379"/>
      <c r="BG208" s="380"/>
      <c r="BH208" s="162"/>
      <c r="BI208" s="370"/>
      <c r="BJ208" s="379"/>
      <c r="BK208" s="379"/>
      <c r="BL208" s="381"/>
      <c r="BM208" s="162"/>
      <c r="BN208" s="370"/>
      <c r="BO208" s="379"/>
      <c r="BP208" s="379"/>
      <c r="BQ208" s="381"/>
      <c r="BR208" s="162"/>
      <c r="BS208" s="162"/>
      <c r="BV208" s="7"/>
      <c r="BW208" s="162"/>
      <c r="BX208" s="162"/>
      <c r="CB208" s="162"/>
      <c r="CC208" s="162"/>
      <c r="CG208" s="162"/>
    </row>
    <row r="209" spans="1:86" s="11" customFormat="1" ht="17" hidden="1" outlineLevel="1" thickBot="1" x14ac:dyDescent="0.25">
      <c r="A209" s="168"/>
      <c r="B209" s="189" t="s">
        <v>176</v>
      </c>
      <c r="C209" s="190"/>
      <c r="D209" s="172"/>
      <c r="E209" s="172"/>
      <c r="F209" s="172"/>
      <c r="G209" s="172"/>
      <c r="H209" s="172"/>
      <c r="I209" s="217"/>
      <c r="J209" s="172"/>
      <c r="K209" s="217"/>
      <c r="L209" s="217"/>
      <c r="M209" s="217"/>
      <c r="N209" s="217"/>
      <c r="O209" s="217"/>
      <c r="P209" s="217"/>
      <c r="Q209" s="217"/>
      <c r="R209" s="217"/>
      <c r="S209" s="217"/>
      <c r="T209" s="217"/>
      <c r="U209" s="217"/>
      <c r="V209" s="217"/>
      <c r="W209" s="217"/>
      <c r="X209" s="217"/>
      <c r="Y209" s="217"/>
      <c r="Z209" s="217"/>
      <c r="AA209" s="217"/>
      <c r="AB209" s="217"/>
      <c r="AC209" s="217"/>
      <c r="AD209" s="217"/>
      <c r="AE209" s="217"/>
      <c r="AF209" s="184"/>
      <c r="AG209" s="176"/>
      <c r="AH209" s="176"/>
      <c r="AI209" s="217"/>
      <c r="AJ209" s="218"/>
      <c r="AK209" s="172"/>
      <c r="AL209" s="221"/>
      <c r="AM209" s="221"/>
      <c r="AN209" s="221"/>
      <c r="AO209" s="221"/>
      <c r="AP209" s="221"/>
      <c r="AQ209" s="219"/>
      <c r="AR209" s="220"/>
      <c r="AS209" s="184"/>
      <c r="AT209" s="221"/>
      <c r="AU209" s="186"/>
      <c r="AV209" s="176"/>
      <c r="AW209" s="203">
        <f>AW205+AW207</f>
        <v>23000</v>
      </c>
      <c r="AX209" s="204">
        <f>AX205+AX207</f>
        <v>23000</v>
      </c>
      <c r="AY209" s="186"/>
      <c r="AZ209" s="165"/>
      <c r="BA209" s="165"/>
      <c r="BB209" s="165"/>
      <c r="BC209" s="187"/>
      <c r="BD209" s="370"/>
      <c r="BE209" s="379"/>
      <c r="BF209" s="379"/>
      <c r="BG209" s="380"/>
      <c r="BH209" s="162"/>
      <c r="BI209" s="370"/>
      <c r="BJ209" s="379"/>
      <c r="BK209" s="379"/>
      <c r="BL209" s="381"/>
      <c r="BM209" s="162"/>
      <c r="BN209" s="370"/>
      <c r="BO209" s="379"/>
      <c r="BP209" s="379"/>
      <c r="BQ209" s="381"/>
      <c r="BR209" s="184"/>
      <c r="BS209" s="430">
        <f>BS205+BS207</f>
        <v>40</v>
      </c>
      <c r="BT209" s="207">
        <f>BT213-BT211</f>
        <v>23000</v>
      </c>
      <c r="BU209" s="207">
        <f>BU205+BU207</f>
        <v>18720</v>
      </c>
      <c r="BV209" s="208">
        <f>IFERROR(BU209/BT209,0)</f>
        <v>0.81391304347826088</v>
      </c>
      <c r="BW209" s="184"/>
      <c r="BX209" s="431">
        <f>BX205+BX207</f>
        <v>40</v>
      </c>
      <c r="BY209" s="210">
        <f>BY213-BY211</f>
        <v>23000</v>
      </c>
      <c r="BZ209" s="210">
        <f>BZ205+BZ207</f>
        <v>18720</v>
      </c>
      <c r="CA209" s="211">
        <f>IFERROR(BZ209/BY209,0)</f>
        <v>0.81391304347826088</v>
      </c>
      <c r="CB209" s="184"/>
      <c r="CC209" s="432">
        <f>CC205+CC207</f>
        <v>40</v>
      </c>
      <c r="CD209" s="213">
        <f>CD213-CD211</f>
        <v>23000</v>
      </c>
      <c r="CE209" s="213">
        <f>CE205+CE207</f>
        <v>18720</v>
      </c>
      <c r="CF209" s="214">
        <f>IFERROR(CE209/CD209,0)</f>
        <v>0.81391304347826088</v>
      </c>
      <c r="CG209" s="184"/>
      <c r="CH209" s="167"/>
    </row>
    <row r="210" spans="1:86" ht="8.25" hidden="1" customHeight="1" outlineLevel="1" x14ac:dyDescent="0.2">
      <c r="A210" s="160"/>
      <c r="B210" s="161"/>
      <c r="C210" s="161"/>
      <c r="D210" s="162"/>
      <c r="E210" s="162"/>
      <c r="F210" s="162"/>
      <c r="G210" s="162"/>
      <c r="H210" s="162"/>
      <c r="J210" s="162"/>
      <c r="AF210" s="162"/>
      <c r="AK210" s="162"/>
      <c r="AO210" s="11"/>
      <c r="AP210" s="11"/>
      <c r="AQ210" s="163"/>
      <c r="AS210" s="162"/>
      <c r="AU210" s="164"/>
      <c r="AX210" s="157"/>
      <c r="AY210" s="164"/>
      <c r="BC210" s="166"/>
      <c r="BD210" s="370"/>
      <c r="BE210" s="379"/>
      <c r="BF210" s="379"/>
      <c r="BG210" s="380"/>
      <c r="BH210" s="162"/>
      <c r="BI210" s="370"/>
      <c r="BJ210" s="379"/>
      <c r="BK210" s="379"/>
      <c r="BL210" s="381"/>
      <c r="BM210" s="162"/>
      <c r="BN210" s="370"/>
      <c r="BO210" s="379"/>
      <c r="BP210" s="379"/>
      <c r="BQ210" s="381"/>
      <c r="BR210" s="162"/>
      <c r="BS210" s="162"/>
      <c r="BV210" s="7"/>
      <c r="BW210" s="162"/>
      <c r="BX210" s="162"/>
      <c r="CB210" s="162"/>
      <c r="CC210" s="162"/>
      <c r="CG210" s="162"/>
    </row>
    <row r="211" spans="1:86" s="11" customFormat="1" ht="17" hidden="1" outlineLevel="1" thickBot="1" x14ac:dyDescent="0.25">
      <c r="A211" s="168"/>
      <c r="B211" s="189" t="s">
        <v>177</v>
      </c>
      <c r="C211" s="190"/>
      <c r="D211" s="172"/>
      <c r="E211" s="172"/>
      <c r="F211" s="172"/>
      <c r="G211" s="172"/>
      <c r="H211" s="172"/>
      <c r="I211" s="217"/>
      <c r="J211" s="172"/>
      <c r="K211" s="217"/>
      <c r="L211" s="217"/>
      <c r="M211" s="217"/>
      <c r="N211" s="217"/>
      <c r="O211" s="217"/>
      <c r="P211" s="217"/>
      <c r="Q211" s="217"/>
      <c r="R211" s="217"/>
      <c r="S211" s="217"/>
      <c r="T211" s="217"/>
      <c r="U211" s="217"/>
      <c r="V211" s="217"/>
      <c r="W211" s="217"/>
      <c r="X211" s="217"/>
      <c r="Y211" s="217"/>
      <c r="Z211" s="217"/>
      <c r="AA211" s="217"/>
      <c r="AB211" s="217"/>
      <c r="AC211" s="217"/>
      <c r="AD211" s="217"/>
      <c r="AE211" s="217"/>
      <c r="AF211" s="184"/>
      <c r="AG211" s="176"/>
      <c r="AH211" s="176"/>
      <c r="AI211" s="217"/>
      <c r="AJ211" s="218"/>
      <c r="AK211" s="172"/>
      <c r="AL211" s="221"/>
      <c r="AM211" s="221"/>
      <c r="AN211" s="221"/>
      <c r="AO211" s="221"/>
      <c r="AP211" s="221"/>
      <c r="AQ211" s="219"/>
      <c r="AR211" s="220"/>
      <c r="AS211" s="184"/>
      <c r="AT211" s="221"/>
      <c r="AU211" s="186"/>
      <c r="AV211" s="176"/>
      <c r="AW211" s="222"/>
      <c r="AX211" s="222"/>
      <c r="AY211" s="186"/>
      <c r="AZ211" s="165"/>
      <c r="BA211" s="165"/>
      <c r="BB211" s="165"/>
      <c r="BC211" s="187"/>
      <c r="BD211" s="370"/>
      <c r="BE211" s="379"/>
      <c r="BF211" s="379"/>
      <c r="BG211" s="380"/>
      <c r="BH211" s="162"/>
      <c r="BI211" s="370"/>
      <c r="BJ211" s="379"/>
      <c r="BK211" s="379"/>
      <c r="BL211" s="381"/>
      <c r="BM211" s="162"/>
      <c r="BN211" s="370"/>
      <c r="BO211" s="379"/>
      <c r="BP211" s="379"/>
      <c r="BQ211" s="381"/>
      <c r="BR211" s="184"/>
      <c r="BS211" s="430"/>
      <c r="BT211" s="207">
        <f>BT213/(1+'[1]Core Assumptions'!$D$26)*'[1]Core Assumptions'!$D$26</f>
        <v>1610.0000000000002</v>
      </c>
      <c r="BU211" s="207">
        <f>BT211</f>
        <v>1610.0000000000002</v>
      </c>
      <c r="BV211" s="208">
        <f>IFERROR(BU211/BT211,0)</f>
        <v>1</v>
      </c>
      <c r="BW211" s="184"/>
      <c r="BX211" s="431"/>
      <c r="BY211" s="210">
        <f>BY213/(1+'[1]Core Assumptions'!$D$26)*'[1]Core Assumptions'!$D$26</f>
        <v>1610.0000000000002</v>
      </c>
      <c r="BZ211" s="210">
        <f>BY211</f>
        <v>1610.0000000000002</v>
      </c>
      <c r="CA211" s="211">
        <f>IFERROR(BZ211/BY211,0)</f>
        <v>1</v>
      </c>
      <c r="CB211" s="184"/>
      <c r="CC211" s="432"/>
      <c r="CD211" s="213">
        <f>CD213/(1+'[1]Core Assumptions'!$D$26)*'[1]Core Assumptions'!$D$26</f>
        <v>1610.0000000000002</v>
      </c>
      <c r="CE211" s="213">
        <f>CD211</f>
        <v>1610.0000000000002</v>
      </c>
      <c r="CF211" s="214">
        <f>IFERROR(CE211/CD211,0)</f>
        <v>1</v>
      </c>
      <c r="CG211" s="184"/>
      <c r="CH211" s="167"/>
    </row>
    <row r="212" spans="1:86" ht="8.25" hidden="1" customHeight="1" outlineLevel="1" x14ac:dyDescent="0.2">
      <c r="A212" s="160"/>
      <c r="B212" s="161"/>
      <c r="C212" s="161"/>
      <c r="D212" s="162"/>
      <c r="E212" s="162"/>
      <c r="F212" s="162"/>
      <c r="G212" s="162"/>
      <c r="H212" s="162"/>
      <c r="J212" s="162"/>
      <c r="AF212" s="162"/>
      <c r="AK212" s="162"/>
      <c r="AO212" s="11"/>
      <c r="AP212" s="11"/>
      <c r="AQ212" s="163"/>
      <c r="AS212" s="162"/>
      <c r="AU212" s="164"/>
      <c r="AX212" s="157"/>
      <c r="AY212" s="164"/>
      <c r="BC212" s="166"/>
      <c r="BD212" s="370"/>
      <c r="BE212" s="379"/>
      <c r="BF212" s="379"/>
      <c r="BG212" s="380"/>
      <c r="BH212" s="162"/>
      <c r="BI212" s="370"/>
      <c r="BJ212" s="379"/>
      <c r="BK212" s="379"/>
      <c r="BL212" s="381"/>
      <c r="BM212" s="162"/>
      <c r="BN212" s="370"/>
      <c r="BO212" s="379"/>
      <c r="BP212" s="379"/>
      <c r="BQ212" s="381"/>
      <c r="BR212" s="162"/>
      <c r="BS212" s="162"/>
      <c r="BV212" s="7"/>
      <c r="BW212" s="162"/>
      <c r="BX212" s="162"/>
      <c r="CB212" s="162"/>
      <c r="CC212" s="162"/>
      <c r="CG212" s="162"/>
    </row>
    <row r="213" spans="1:86" s="11" customFormat="1" ht="17" hidden="1" outlineLevel="1" thickBot="1" x14ac:dyDescent="0.25">
      <c r="A213" s="168"/>
      <c r="B213" s="189" t="s">
        <v>178</v>
      </c>
      <c r="C213" s="190"/>
      <c r="D213" s="172"/>
      <c r="E213" s="172"/>
      <c r="F213" s="172"/>
      <c r="G213" s="172"/>
      <c r="H213" s="172"/>
      <c r="I213" s="217"/>
      <c r="J213" s="172"/>
      <c r="K213" s="217"/>
      <c r="L213" s="217"/>
      <c r="M213" s="217"/>
      <c r="N213" s="217"/>
      <c r="O213" s="217"/>
      <c r="P213" s="217"/>
      <c r="Q213" s="217"/>
      <c r="R213" s="217"/>
      <c r="S213" s="217"/>
      <c r="T213" s="217"/>
      <c r="U213" s="217"/>
      <c r="V213" s="217"/>
      <c r="W213" s="217"/>
      <c r="X213" s="217"/>
      <c r="Y213" s="217"/>
      <c r="Z213" s="217"/>
      <c r="AA213" s="217"/>
      <c r="AB213" s="217"/>
      <c r="AC213" s="217"/>
      <c r="AD213" s="217"/>
      <c r="AE213" s="217"/>
      <c r="AF213" s="184"/>
      <c r="AG213" s="176"/>
      <c r="AH213" s="176"/>
      <c r="AI213" s="217"/>
      <c r="AJ213" s="218"/>
      <c r="AK213" s="172"/>
      <c r="AL213" s="221"/>
      <c r="AM213" s="221"/>
      <c r="AN213" s="221"/>
      <c r="AO213" s="221"/>
      <c r="AP213" s="221"/>
      <c r="AQ213" s="219"/>
      <c r="AR213" s="220"/>
      <c r="AS213" s="184"/>
      <c r="AT213" s="221"/>
      <c r="AU213" s="186"/>
      <c r="AV213" s="176"/>
      <c r="AW213" s="222"/>
      <c r="AX213" s="222"/>
      <c r="AY213" s="186"/>
      <c r="AZ213" s="165"/>
      <c r="BA213" s="165"/>
      <c r="BB213" s="165"/>
      <c r="BC213" s="187"/>
      <c r="BD213" s="370"/>
      <c r="BE213" s="379"/>
      <c r="BF213" s="379"/>
      <c r="BG213" s="380"/>
      <c r="BH213" s="162"/>
      <c r="BI213" s="370"/>
      <c r="BJ213" s="379"/>
      <c r="BK213" s="379"/>
      <c r="BL213" s="381"/>
      <c r="BM213" s="162"/>
      <c r="BN213" s="370"/>
      <c r="BO213" s="379"/>
      <c r="BP213" s="379"/>
      <c r="BQ213" s="381"/>
      <c r="BR213" s="184"/>
      <c r="BS213" s="430">
        <f>BS209+BS211</f>
        <v>40</v>
      </c>
      <c r="BT213" s="207">
        <f>BT203*IF('[1]Pricing Summary'!$B$4="Yes",1,1+'[1]Core Assumptions'!$D$26)</f>
        <v>24610</v>
      </c>
      <c r="BU213" s="207">
        <f>BU209+BU211</f>
        <v>20330</v>
      </c>
      <c r="BV213" s="208">
        <f>IFERROR(BU213/BT213,0)</f>
        <v>0.82608695652173914</v>
      </c>
      <c r="BW213" s="184"/>
      <c r="BX213" s="431">
        <f>BX209+BX211</f>
        <v>40</v>
      </c>
      <c r="BY213" s="210">
        <f>BY203*IF('[1]Pricing Summary'!$B$4="Yes",1,1+'[1]Core Assumptions'!$D$26)</f>
        <v>24610</v>
      </c>
      <c r="BZ213" s="210">
        <f>BZ209+BZ211</f>
        <v>20330</v>
      </c>
      <c r="CA213" s="211">
        <f>IFERROR(BZ213/BY213,0)</f>
        <v>0.82608695652173914</v>
      </c>
      <c r="CB213" s="184"/>
      <c r="CC213" s="432">
        <f>CC209+CC211</f>
        <v>40</v>
      </c>
      <c r="CD213" s="213">
        <f>CD203*IF('[1]Pricing Summary'!$B$4="Yes",1,1+'[1]Core Assumptions'!$D$26)</f>
        <v>24610</v>
      </c>
      <c r="CE213" s="213">
        <f>CE209+CE211</f>
        <v>20330</v>
      </c>
      <c r="CF213" s="214">
        <f>IFERROR(CE213/CD213,0)</f>
        <v>0.82608695652173914</v>
      </c>
      <c r="CG213" s="184"/>
      <c r="CH213" s="167"/>
    </row>
    <row r="214" spans="1:86" ht="16" collapsed="1" x14ac:dyDescent="0.2">
      <c r="A214" s="39" t="s">
        <v>181</v>
      </c>
      <c r="I214" s="370"/>
      <c r="K214" s="370"/>
      <c r="L214" s="370"/>
      <c r="M214" s="370"/>
      <c r="N214" s="370"/>
      <c r="O214" s="370"/>
      <c r="P214" s="370"/>
      <c r="Q214" s="370"/>
      <c r="R214" s="370"/>
      <c r="S214" s="370"/>
      <c r="T214" s="370"/>
      <c r="U214" s="370"/>
      <c r="V214" s="370"/>
      <c r="W214" s="370"/>
      <c r="X214" s="370"/>
      <c r="Y214" s="370"/>
      <c r="Z214" s="370"/>
      <c r="AA214" s="370"/>
      <c r="AB214" s="370"/>
      <c r="AC214" s="370"/>
      <c r="AD214" s="370"/>
      <c r="AE214" s="370"/>
      <c r="AG214" s="371"/>
      <c r="AH214" s="371"/>
      <c r="AI214" s="370"/>
      <c r="AO214" s="11"/>
      <c r="AP214" s="11"/>
      <c r="AQ214" s="163"/>
      <c r="AV214" s="371"/>
      <c r="AX214" s="157"/>
      <c r="BD214" s="370"/>
      <c r="BG214" s="380"/>
      <c r="BI214" s="370"/>
      <c r="BL214" s="380"/>
      <c r="BN214" s="370"/>
      <c r="BQ214" s="380"/>
      <c r="BS214" s="370"/>
      <c r="BV214" s="380"/>
      <c r="BX214" s="370"/>
      <c r="CA214" s="380"/>
      <c r="CC214" s="370"/>
      <c r="CF214" s="380"/>
    </row>
    <row r="215" spans="1:86" ht="8.25" customHeight="1" x14ac:dyDescent="0.2">
      <c r="A215" s="160"/>
      <c r="B215" s="161"/>
      <c r="C215" s="161"/>
      <c r="D215" s="162"/>
      <c r="E215" s="162"/>
      <c r="F215" s="162"/>
      <c r="G215" s="162"/>
      <c r="H215" s="162"/>
      <c r="J215" s="162"/>
      <c r="AF215" s="162"/>
      <c r="AK215" s="162"/>
      <c r="AO215" s="11"/>
      <c r="AP215" s="11"/>
      <c r="AQ215" s="163"/>
      <c r="AS215" s="162"/>
      <c r="AU215" s="164"/>
      <c r="AX215" s="157"/>
      <c r="AY215" s="164"/>
      <c r="BC215" s="166"/>
      <c r="BD215" s="162"/>
      <c r="BG215" s="7"/>
      <c r="BH215" s="162"/>
      <c r="BI215" s="162"/>
      <c r="BM215" s="162"/>
      <c r="BN215" s="162"/>
      <c r="BR215" s="162"/>
      <c r="BS215" s="162"/>
      <c r="BV215" s="7"/>
      <c r="BW215" s="162"/>
      <c r="BX215" s="162"/>
      <c r="CB215" s="162"/>
      <c r="CC215" s="162"/>
      <c r="CG215" s="162"/>
    </row>
    <row r="216" spans="1:86" ht="19" x14ac:dyDescent="0.25">
      <c r="A216" s="160"/>
      <c r="B216" s="234" t="s">
        <v>182</v>
      </c>
      <c r="C216" s="234"/>
      <c r="D216" s="162"/>
      <c r="E216" s="162"/>
      <c r="F216" s="162"/>
      <c r="G216" s="162"/>
      <c r="H216" s="162"/>
      <c r="I216" s="370"/>
      <c r="J216" s="162"/>
      <c r="K216" s="370"/>
      <c r="L216" s="370"/>
      <c r="M216" s="370"/>
      <c r="N216" s="370"/>
      <c r="O216" s="370"/>
      <c r="P216" s="370"/>
      <c r="Q216" s="370"/>
      <c r="R216" s="370"/>
      <c r="S216" s="370"/>
      <c r="T216" s="370"/>
      <c r="U216" s="370"/>
      <c r="V216" s="370"/>
      <c r="W216" s="370"/>
      <c r="X216" s="370"/>
      <c r="Y216" s="370"/>
      <c r="Z216" s="370"/>
      <c r="AA216" s="370"/>
      <c r="AB216" s="370"/>
      <c r="AC216" s="370"/>
      <c r="AD216" s="370"/>
      <c r="AE216" s="370"/>
      <c r="AF216" s="162"/>
      <c r="AG216" s="371"/>
      <c r="AH216" s="371"/>
      <c r="AI216" s="370"/>
      <c r="AK216" s="162"/>
      <c r="AO216" s="11"/>
      <c r="AP216" s="11"/>
      <c r="AQ216" s="163"/>
      <c r="AS216" s="162"/>
      <c r="AU216" s="164"/>
      <c r="AV216" s="371"/>
      <c r="AX216" s="157"/>
      <c r="AY216" s="164"/>
      <c r="BC216" s="166"/>
      <c r="BD216" s="370"/>
      <c r="BE216" s="379"/>
      <c r="BF216" s="379"/>
      <c r="BG216" s="380"/>
      <c r="BH216" s="162"/>
      <c r="BI216" s="370"/>
      <c r="BJ216" s="379"/>
      <c r="BK216" s="379"/>
      <c r="BL216" s="381"/>
      <c r="BM216" s="162"/>
      <c r="BN216" s="370"/>
      <c r="BO216" s="379"/>
      <c r="BP216" s="379"/>
      <c r="BQ216" s="381"/>
      <c r="BR216" s="162"/>
      <c r="BS216" s="370"/>
      <c r="BT216" s="379"/>
      <c r="BU216" s="379"/>
      <c r="BV216" s="380"/>
      <c r="BW216" s="162"/>
      <c r="BX216" s="370"/>
      <c r="BY216" s="379"/>
      <c r="BZ216" s="379"/>
      <c r="CA216" s="381"/>
      <c r="CB216" s="162"/>
      <c r="CC216" s="370"/>
      <c r="CD216" s="379"/>
      <c r="CE216" s="379"/>
      <c r="CF216" s="381"/>
      <c r="CG216" s="162"/>
    </row>
    <row r="217" spans="1:86" s="39" customFormat="1" ht="16" hidden="1" outlineLevel="1" x14ac:dyDescent="0.2">
      <c r="A217" s="163"/>
      <c r="B217" s="435" t="s">
        <v>183</v>
      </c>
      <c r="C217" s="436"/>
      <c r="I217" s="370"/>
      <c r="K217" s="437">
        <f t="shared" ref="K217:AE217" si="203">K192/$AI192</f>
        <v>0</v>
      </c>
      <c r="L217" s="438">
        <f t="shared" si="203"/>
        <v>0</v>
      </c>
      <c r="M217" s="438">
        <f t="shared" si="203"/>
        <v>0</v>
      </c>
      <c r="N217" s="438">
        <f t="shared" si="203"/>
        <v>0</v>
      </c>
      <c r="O217" s="438">
        <f t="shared" si="203"/>
        <v>0</v>
      </c>
      <c r="P217" s="438">
        <f t="shared" si="203"/>
        <v>0</v>
      </c>
      <c r="Q217" s="438">
        <f t="shared" si="203"/>
        <v>0</v>
      </c>
      <c r="R217" s="438">
        <f t="shared" si="203"/>
        <v>1</v>
      </c>
      <c r="S217" s="438">
        <f t="shared" si="203"/>
        <v>0</v>
      </c>
      <c r="T217" s="438">
        <f t="shared" si="203"/>
        <v>0</v>
      </c>
      <c r="U217" s="437">
        <f t="shared" si="203"/>
        <v>0</v>
      </c>
      <c r="V217" s="438">
        <f t="shared" si="203"/>
        <v>0</v>
      </c>
      <c r="W217" s="438">
        <f t="shared" si="203"/>
        <v>0</v>
      </c>
      <c r="X217" s="438">
        <f t="shared" si="203"/>
        <v>0</v>
      </c>
      <c r="Y217" s="438">
        <f t="shared" si="203"/>
        <v>0</v>
      </c>
      <c r="Z217" s="438">
        <f t="shared" si="203"/>
        <v>0</v>
      </c>
      <c r="AA217" s="439">
        <f t="shared" si="203"/>
        <v>0</v>
      </c>
      <c r="AB217" s="437">
        <f t="shared" si="203"/>
        <v>0</v>
      </c>
      <c r="AC217" s="438">
        <f t="shared" si="203"/>
        <v>0</v>
      </c>
      <c r="AD217" s="438">
        <f t="shared" si="203"/>
        <v>0</v>
      </c>
      <c r="AE217" s="439">
        <f t="shared" si="203"/>
        <v>0</v>
      </c>
      <c r="AG217" s="440"/>
      <c r="AH217" s="440"/>
      <c r="AI217" s="441">
        <f>SUM(K217:AE217)</f>
        <v>1</v>
      </c>
      <c r="AL217" s="163"/>
      <c r="AM217" s="163"/>
      <c r="AN217" s="163"/>
      <c r="AT217" s="163"/>
      <c r="AU217" s="442"/>
      <c r="AV217" s="440"/>
      <c r="AW217" s="443"/>
      <c r="AX217" s="442"/>
      <c r="AY217" s="442"/>
      <c r="AZ217" s="444"/>
      <c r="BA217" s="444"/>
      <c r="BB217" s="444"/>
      <c r="BC217" s="445"/>
      <c r="BE217" s="163"/>
      <c r="BF217" s="163"/>
      <c r="BG217" s="163"/>
      <c r="BJ217" s="163"/>
      <c r="BK217" s="163"/>
      <c r="BL217" s="163"/>
      <c r="BO217" s="163"/>
      <c r="BP217" s="163"/>
      <c r="BQ217" s="163"/>
      <c r="BT217" s="163"/>
      <c r="BU217" s="163"/>
      <c r="BV217" s="163"/>
      <c r="BY217" s="163"/>
      <c r="BZ217" s="163"/>
      <c r="CA217" s="163"/>
      <c r="CD217" s="163"/>
      <c r="CE217" s="163"/>
      <c r="CF217" s="163"/>
      <c r="CH217" s="446"/>
    </row>
    <row r="218" spans="1:86" s="39" customFormat="1" ht="17" hidden="1" outlineLevel="1" thickBot="1" x14ac:dyDescent="0.25">
      <c r="A218" s="163"/>
      <c r="B218" s="447" t="s">
        <v>184</v>
      </c>
      <c r="C218" s="436"/>
      <c r="I218" s="370"/>
      <c r="K218" s="448">
        <f>(K217+AB217)/$AI217</f>
        <v>0</v>
      </c>
      <c r="L218" s="449">
        <f>L217/$AI217</f>
        <v>0</v>
      </c>
      <c r="M218" s="449">
        <f>(M217+U217+AC217)/$AI217</f>
        <v>0</v>
      </c>
      <c r="N218" s="449">
        <f>(N217+V217)/$AI217</f>
        <v>0</v>
      </c>
      <c r="O218" s="449">
        <f>(O217+W217+AD217)/$AI217</f>
        <v>0</v>
      </c>
      <c r="P218" s="449">
        <f>(P217+X217)/$AI217</f>
        <v>0</v>
      </c>
      <c r="Q218" s="449">
        <f>(Q217+Y217+AE217)/$AI217</f>
        <v>0</v>
      </c>
      <c r="R218" s="449">
        <f>(R217+Z217)/$AI217</f>
        <v>1</v>
      </c>
      <c r="S218" s="449">
        <f>(S217+AA217)/$AI217</f>
        <v>0</v>
      </c>
      <c r="T218" s="449">
        <f>T217/$AI217</f>
        <v>0</v>
      </c>
      <c r="U218" s="450"/>
      <c r="V218" s="451"/>
      <c r="W218" s="451"/>
      <c r="X218" s="451"/>
      <c r="Y218" s="451"/>
      <c r="Z218" s="451"/>
      <c r="AA218" s="452"/>
      <c r="AB218" s="450"/>
      <c r="AC218" s="451"/>
      <c r="AD218" s="451"/>
      <c r="AE218" s="452"/>
      <c r="AG218" s="440"/>
      <c r="AH218" s="440"/>
      <c r="AI218" s="453">
        <f>SUM(K218:AE218)</f>
        <v>1</v>
      </c>
      <c r="AL218" s="163"/>
      <c r="AM218" s="163"/>
      <c r="AN218" s="163"/>
      <c r="AT218" s="163"/>
      <c r="AU218" s="442"/>
      <c r="AV218" s="440"/>
      <c r="AW218" s="443"/>
      <c r="AX218" s="442"/>
      <c r="AY218" s="442"/>
      <c r="AZ218" s="444"/>
      <c r="BA218" s="444"/>
      <c r="BB218" s="444"/>
      <c r="BC218" s="445"/>
      <c r="BE218" s="163"/>
      <c r="BF218" s="163"/>
      <c r="BG218" s="163"/>
      <c r="BJ218" s="163"/>
      <c r="BK218" s="163"/>
      <c r="BL218" s="163"/>
      <c r="BO218" s="163"/>
      <c r="BP218" s="163"/>
      <c r="BQ218" s="163"/>
      <c r="BT218" s="163"/>
      <c r="BU218" s="163"/>
      <c r="BV218" s="163"/>
      <c r="BY218" s="163"/>
      <c r="BZ218" s="163"/>
      <c r="CA218" s="163"/>
      <c r="CD218" s="163"/>
      <c r="CE218" s="163"/>
      <c r="CF218" s="163"/>
      <c r="CH218" s="446"/>
    </row>
    <row r="219" spans="1:86" s="163" customFormat="1" ht="17" hidden="1" outlineLevel="1" thickBot="1" x14ac:dyDescent="0.25">
      <c r="B219" s="447" t="s">
        <v>94</v>
      </c>
      <c r="C219" s="436"/>
      <c r="I219" s="370"/>
      <c r="AG219" s="443"/>
      <c r="AH219" s="443"/>
      <c r="AL219" s="454">
        <f>AL192/$AL192</f>
        <v>1</v>
      </c>
      <c r="AM219" s="455">
        <f>AM192/$AL192</f>
        <v>1</v>
      </c>
      <c r="AN219" s="455">
        <f>AN192/$AL192</f>
        <v>1.008695652173913</v>
      </c>
      <c r="AO219" s="456">
        <f>AO192/$AL192</f>
        <v>1.0043478260869565</v>
      </c>
      <c r="AP219" s="457"/>
      <c r="AQ219" s="457"/>
      <c r="AU219" s="443"/>
      <c r="AV219" s="443"/>
      <c r="AW219" s="458">
        <f>AW192/$AW192</f>
        <v>1</v>
      </c>
      <c r="AX219" s="459">
        <f>AX192/$AW192</f>
        <v>1.0043478260869565</v>
      </c>
      <c r="AY219" s="443"/>
      <c r="AZ219" s="444"/>
      <c r="BA219" s="444"/>
      <c r="BB219" s="444"/>
      <c r="BC219" s="460"/>
      <c r="CH219" s="461"/>
    </row>
    <row r="220" spans="1:86" s="39" customFormat="1" ht="17" hidden="1" outlineLevel="1" thickBot="1" x14ac:dyDescent="0.25">
      <c r="A220" s="163"/>
      <c r="B220" s="462" t="s">
        <v>185</v>
      </c>
      <c r="C220" s="463"/>
      <c r="I220" s="370"/>
      <c r="K220" s="464">
        <f>K192/'[1]Core Assumptions'!$D$15</f>
        <v>0</v>
      </c>
      <c r="L220" s="465">
        <f>L192/'[1]Core Assumptions'!$D$15</f>
        <v>0</v>
      </c>
      <c r="M220" s="465">
        <f>M192/'[1]Core Assumptions'!$D$15</f>
        <v>0</v>
      </c>
      <c r="N220" s="465">
        <f>N192/'[1]Core Assumptions'!$D$15</f>
        <v>0</v>
      </c>
      <c r="O220" s="465">
        <f>O192/'[1]Core Assumptions'!$D$15</f>
        <v>0</v>
      </c>
      <c r="P220" s="465">
        <f>P192/'[1]Core Assumptions'!$D$15</f>
        <v>0</v>
      </c>
      <c r="Q220" s="465">
        <f>Q192/'[1]Core Assumptions'!$D$15</f>
        <v>0</v>
      </c>
      <c r="R220" s="465">
        <f>R192/'[1]Core Assumptions'!$D$15</f>
        <v>1</v>
      </c>
      <c r="S220" s="465">
        <f>S192/'[1]Core Assumptions'!$D$15</f>
        <v>0</v>
      </c>
      <c r="T220" s="465">
        <f>T192/'[1]Core Assumptions'!$D$15</f>
        <v>0</v>
      </c>
      <c r="U220" s="464">
        <f>U192/'[1]Core Assumptions'!$D$15</f>
        <v>0</v>
      </c>
      <c r="V220" s="465">
        <f>V192/'[1]Core Assumptions'!$D$15</f>
        <v>0</v>
      </c>
      <c r="W220" s="465">
        <f>W192/'[1]Core Assumptions'!$D$15</f>
        <v>0</v>
      </c>
      <c r="X220" s="465">
        <f>X192/'[1]Core Assumptions'!$D$15</f>
        <v>0</v>
      </c>
      <c r="Y220" s="465">
        <f>Y192/'[1]Core Assumptions'!$D$15</f>
        <v>0</v>
      </c>
      <c r="Z220" s="465">
        <f>Z192/'[1]Core Assumptions'!$D$15</f>
        <v>0</v>
      </c>
      <c r="AA220" s="466">
        <f>AA192/'[1]Core Assumptions'!$D$15</f>
        <v>0</v>
      </c>
      <c r="AB220" s="464">
        <f>AB192/'[1]Core Assumptions'!$D$15</f>
        <v>0</v>
      </c>
      <c r="AC220" s="465">
        <f>AC192/'[1]Core Assumptions'!$D$15</f>
        <v>0</v>
      </c>
      <c r="AD220" s="465">
        <f>AD192/'[1]Core Assumptions'!$D$15</f>
        <v>0</v>
      </c>
      <c r="AE220" s="466">
        <f>AE192/'[1]Core Assumptions'!$D$15</f>
        <v>0</v>
      </c>
      <c r="AG220" s="467"/>
      <c r="AH220" s="467"/>
      <c r="AI220" s="468">
        <f>AI192/'[1]Core Assumptions'!$D$15</f>
        <v>1</v>
      </c>
      <c r="AL220" s="163"/>
      <c r="AM220" s="163"/>
      <c r="AN220" s="163"/>
      <c r="AT220" s="163"/>
      <c r="AU220" s="442"/>
      <c r="AV220" s="467"/>
      <c r="AW220" s="443"/>
      <c r="AX220" s="442"/>
      <c r="AY220" s="442"/>
      <c r="AZ220" s="444"/>
      <c r="BA220" s="444"/>
      <c r="BB220" s="444"/>
      <c r="BC220" s="445"/>
      <c r="BE220" s="163"/>
      <c r="BF220" s="163"/>
      <c r="BG220" s="163"/>
      <c r="BJ220" s="163"/>
      <c r="BK220" s="163"/>
      <c r="BL220" s="163"/>
      <c r="BO220" s="163"/>
      <c r="BP220" s="163"/>
      <c r="BQ220" s="163"/>
      <c r="BT220" s="163"/>
      <c r="BU220" s="163"/>
      <c r="BV220" s="163"/>
      <c r="BY220" s="163"/>
      <c r="BZ220" s="163"/>
      <c r="CA220" s="163"/>
      <c r="CD220" s="163"/>
      <c r="CE220" s="163"/>
      <c r="CF220" s="163"/>
      <c r="CH220" s="446"/>
    </row>
    <row r="221" spans="1:86" s="11" customFormat="1" ht="16" hidden="1" outlineLevel="1" x14ac:dyDescent="0.2">
      <c r="B221" s="462" t="s">
        <v>186</v>
      </c>
      <c r="C221" s="463"/>
      <c r="I221" s="370"/>
      <c r="AG221" s="157"/>
      <c r="AH221" s="157"/>
      <c r="AQ221" s="163"/>
      <c r="AR221" s="163"/>
      <c r="AU221" s="157"/>
      <c r="AV221" s="157"/>
      <c r="AW221" s="157"/>
      <c r="AX221" s="157"/>
      <c r="AY221" s="157"/>
      <c r="AZ221" s="469">
        <f>AZ200-$BO200</f>
        <v>0</v>
      </c>
      <c r="BA221" s="469">
        <f>BA200-$BO200</f>
        <v>0</v>
      </c>
      <c r="BB221" s="165"/>
      <c r="BC221" s="470"/>
      <c r="BD221" s="471">
        <f>BD200-$BN200</f>
        <v>0</v>
      </c>
      <c r="BE221" s="472">
        <f>BE200-$BO200</f>
        <v>0</v>
      </c>
      <c r="BF221" s="473">
        <f>BF200-$BP200</f>
        <v>0</v>
      </c>
      <c r="BG221" s="2"/>
      <c r="BH221" s="2"/>
      <c r="BI221" s="474">
        <f>BI200-$BN200</f>
        <v>0</v>
      </c>
      <c r="BJ221" s="475">
        <f>BJ200-$BO200</f>
        <v>0</v>
      </c>
      <c r="BK221" s="476">
        <f>BK200-$BP200</f>
        <v>0</v>
      </c>
      <c r="BN221" s="39"/>
      <c r="BS221" s="471">
        <f>IF('[1]Pricing Summary'!$B$31="VP Calculation",BS200-$CC200,BS213-$CC213)</f>
        <v>0</v>
      </c>
      <c r="BT221" s="472">
        <f>IF('[1]Pricing Summary'!$B$31="VP Calculation",BT200-$CD200,BT213-$CD213)</f>
        <v>0</v>
      </c>
      <c r="BU221" s="473">
        <f>IF('[1]Pricing Summary'!$B$31="VP Calculation",BU200-$CE200,BU213-$CE213)</f>
        <v>0</v>
      </c>
      <c r="BV221" s="2"/>
      <c r="BW221" s="2"/>
      <c r="BX221" s="474">
        <f>IF('[1]Pricing Summary'!$B$31="VP Calculation",BX200-$CC200,BX213-$CC213)</f>
        <v>0</v>
      </c>
      <c r="BY221" s="475">
        <f>IF('[1]Pricing Summary'!$B$31="VP Calculation",BY200-$CD200,BY213-$CD213)</f>
        <v>0</v>
      </c>
      <c r="BZ221" s="476">
        <f>IF('[1]Pricing Summary'!$B$31="VP Calculation",BZ200-$CE200,BZ213-$CE213)</f>
        <v>0</v>
      </c>
      <c r="CC221" s="39"/>
      <c r="CH221" s="477"/>
    </row>
    <row r="222" spans="1:86" ht="17" hidden="1" outlineLevel="1" thickBot="1" x14ac:dyDescent="0.25">
      <c r="B222" s="462" t="s">
        <v>187</v>
      </c>
      <c r="C222" s="463"/>
      <c r="I222" s="370"/>
      <c r="AZ222" s="478">
        <f>AZ221/$CD192</f>
        <v>0</v>
      </c>
      <c r="BA222" s="478">
        <f>BA221/$CD192</f>
        <v>0</v>
      </c>
      <c r="BD222" s="479">
        <f>BD221/$CC192</f>
        <v>0</v>
      </c>
      <c r="BE222" s="480">
        <f>BE221/$CD192</f>
        <v>0</v>
      </c>
      <c r="BF222" s="481">
        <f>BF221/$CE192</f>
        <v>0</v>
      </c>
      <c r="BG222" s="2"/>
      <c r="BI222" s="482">
        <f>BI221/$CC192</f>
        <v>0</v>
      </c>
      <c r="BJ222" s="483">
        <f>BJ221/$CD192</f>
        <v>0</v>
      </c>
      <c r="BK222" s="484">
        <f>BK221/$CE192</f>
        <v>0</v>
      </c>
      <c r="BN222" s="39"/>
      <c r="BS222" s="479">
        <f>BS221/$CC192</f>
        <v>0</v>
      </c>
      <c r="BT222" s="480">
        <f>BT221/$CD192</f>
        <v>0</v>
      </c>
      <c r="BU222" s="481">
        <f>BU221/$CE192</f>
        <v>0</v>
      </c>
      <c r="BV222" s="2"/>
      <c r="BX222" s="482">
        <f>BX221/$CC192</f>
        <v>0</v>
      </c>
      <c r="BY222" s="483">
        <f>BY221/$CD192</f>
        <v>0</v>
      </c>
      <c r="BZ222" s="484">
        <f>BZ221/$CE192</f>
        <v>0</v>
      </c>
      <c r="CC222" s="39"/>
    </row>
    <row r="223" spans="1:86" ht="16" hidden="1" outlineLevel="1" x14ac:dyDescent="0.2">
      <c r="B223" s="462" t="str">
        <f>CONCATENATE("WIP Rates PHB Based on ",'[1]Pricing Summary'!B33," Service Selected on Review Summary Tab")</f>
        <v>WIP Rates PHB Based on Ultimate Service Selected on Review Summary Tab</v>
      </c>
      <c r="C223" s="463"/>
      <c r="I223" s="370"/>
      <c r="K223" s="485">
        <f>IF($AW$190=0,0,IF('[1]Pricing Summary'!$B$31="T&amp;M",K13,ROUND(IF('[1]Pricing Summary'!$B$31="VP Calculation",($AX$196-$AX$191),($AX$209-$AX$191))/$AW$190*K11,0)))</f>
        <v>155</v>
      </c>
      <c r="L223" s="486">
        <f>IF($AW$190=0,0,IF('[1]Pricing Summary'!$B$31="T&amp;M",L13,ROUND(IF('[1]Pricing Summary'!$B$31="VP Calculation",($AX$196-$AX$191),($AX$209-$AX$191))/$AW$190*L11,0)))</f>
        <v>215</v>
      </c>
      <c r="M223" s="486">
        <f>IF($AW$190=0,0,IF('[1]Pricing Summary'!$B$31="T&amp;M",M13,ROUND(IF('[1]Pricing Summary'!$B$31="VP Calculation",($AX$196-$AX$191),($AX$209-$AX$191))/$AW$190*M11,0)))</f>
        <v>275</v>
      </c>
      <c r="N223" s="486">
        <f>IF($AW$190=0,0,IF('[1]Pricing Summary'!$B$31="T&amp;M",N13,ROUND(IF('[1]Pricing Summary'!$B$31="VP Calculation",($AX$196-$AX$191),($AX$209-$AX$191))/$AW$190*N11,0)))</f>
        <v>300</v>
      </c>
      <c r="O223" s="486">
        <f>IF($AW$190=0,0,IF('[1]Pricing Summary'!$B$31="T&amp;M",O13,ROUND(IF('[1]Pricing Summary'!$B$31="VP Calculation",($AX$196-$AX$191),($AX$209-$AX$191))/$AW$190*O11,0)))</f>
        <v>365</v>
      </c>
      <c r="P223" s="486">
        <f>IF($AW$190=0,0,IF('[1]Pricing Summary'!$B$31="T&amp;M",P13,ROUND(IF('[1]Pricing Summary'!$B$31="VP Calculation",($AX$196-$AX$191),($AX$209-$AX$191))/$AW$190*P11,0)))</f>
        <v>395</v>
      </c>
      <c r="Q223" s="486">
        <f>IF($AW$190=0,0,IF('[1]Pricing Summary'!$B$31="T&amp;M",Q13,ROUND(IF('[1]Pricing Summary'!$B$31="VP Calculation",($AX$196-$AX$191),($AX$209-$AX$191))/$AW$190*Q11,0)))</f>
        <v>450</v>
      </c>
      <c r="R223" s="486">
        <f>IF($AW$190=0,0,IF('[1]Pricing Summary'!$B$31="T&amp;M",R13,ROUND(IF('[1]Pricing Summary'!$B$31="VP Calculation",($AX$196-$AX$191),($AX$209-$AX$191))/$AW$190*R11,0)))</f>
        <v>575</v>
      </c>
      <c r="S223" s="486">
        <f>IF($AW$190=0,0,IF('[1]Pricing Summary'!$B$31="T&amp;M",S13,ROUND(IF('[1]Pricing Summary'!$B$31="VP Calculation",($AX$196-$AX$191),($AX$209-$AX$191))/$AW$190*S11,0)))</f>
        <v>695</v>
      </c>
      <c r="T223" s="486">
        <f>IF($AW$190=0,0,IF('[1]Pricing Summary'!$B$31="T&amp;M",T13,ROUND(IF('[1]Pricing Summary'!$B$31="VP Calculation",($AX$196-$AX$191),($AX$209-$AX$191))/$AW$190*T11,0)))</f>
        <v>910</v>
      </c>
      <c r="U223" s="485">
        <f>IF($AW$190=0,0,IF('[1]Pricing Summary'!$B$31="T&amp;M",U13,ROUND(IF('[1]Pricing Summary'!$B$31="VP Calculation",($AX$196-$AX$191),($AX$209-$AX$191))/$AW$190*U11,0)))</f>
        <v>210</v>
      </c>
      <c r="V223" s="486">
        <f>IF($AW$190=0,0,IF('[1]Pricing Summary'!$B$31="T&amp;M",V13,ROUND(IF('[1]Pricing Summary'!$B$31="VP Calculation",($AX$196-$AX$191),($AX$209-$AX$191))/$AW$190*V11,0)))</f>
        <v>230</v>
      </c>
      <c r="W223" s="486">
        <f>IF($AW$190=0,0,IF('[1]Pricing Summary'!$B$31="T&amp;M",W13,ROUND(IF('[1]Pricing Summary'!$B$31="VP Calculation",($AX$196-$AX$191),($AX$209-$AX$191))/$AW$190*W11,0)))</f>
        <v>275</v>
      </c>
      <c r="X223" s="486">
        <f>IF($AW$190=0,0,IF('[1]Pricing Summary'!$B$31="T&amp;M",X13,ROUND(IF('[1]Pricing Summary'!$B$31="VP Calculation",($AX$196-$AX$191),($AX$209-$AX$191))/$AW$190*X11,0)))</f>
        <v>295</v>
      </c>
      <c r="Y223" s="486">
        <f>IF($AW$190=0,0,IF('[1]Pricing Summary'!$B$31="T&amp;M",Y13,ROUND(IF('[1]Pricing Summary'!$B$31="VP Calculation",($AX$196-$AX$191),($AX$209-$AX$191))/$AW$190*Y11,0)))</f>
        <v>345</v>
      </c>
      <c r="Z223" s="486">
        <f>IF($AW$190=0,0,IF('[1]Pricing Summary'!$B$31="T&amp;M",Z13,ROUND(IF('[1]Pricing Summary'!$B$31="VP Calculation",($AX$196-$AX$191),($AX$209-$AX$191))/$AW$190*Z11,0)))</f>
        <v>430</v>
      </c>
      <c r="AA223" s="487">
        <f>IF($AW$190=0,0,IF('[1]Pricing Summary'!$B$31="T&amp;M",AA13,ROUND(IF('[1]Pricing Summary'!$B$31="VP Calculation",($AX$196-$AX$191),($AX$209-$AX$191))/$AW$190*AA11,0)))</f>
        <v>520</v>
      </c>
      <c r="AB223" s="485">
        <f>IF($AW$190=0,0,IF('[1]Pricing Summary'!$B$31="T&amp;M",AB13,ROUND(IF('[1]Pricing Summary'!$B$31="VP Calculation",($AX$196-$AX$191),($AX$209-$AX$191))/$AW$190*AB11,0)))</f>
        <v>155</v>
      </c>
      <c r="AC223" s="486">
        <f>IF($AW$190=0,0,IF('[1]Pricing Summary'!$B$31="T&amp;M",AC13,ROUND(IF('[1]Pricing Summary'!$B$31="VP Calculation",($AX$196-$AX$191),($AX$209-$AX$191))/$AW$190*AC11,0)))</f>
        <v>210</v>
      </c>
      <c r="AD223" s="486">
        <f>IF($AW$190=0,0,IF('[1]Pricing Summary'!$B$31="T&amp;M",AD13,ROUND(IF('[1]Pricing Summary'!$B$31="VP Calculation",($AX$196-$AX$191),($AX$209-$AX$191))/$AW$190*AD11,0)))</f>
        <v>275</v>
      </c>
      <c r="AE223" s="487">
        <f>IF($AW$190=0,0,IF('[1]Pricing Summary'!$B$31="T&amp;M",AE13,ROUND(IF('[1]Pricing Summary'!$B$31="VP Calculation",($AX$196-$AX$191),($AX$209-$AX$191))/$AW$190*AE11,0)))</f>
        <v>340</v>
      </c>
      <c r="AG223" s="488"/>
      <c r="AH223" s="488"/>
      <c r="AS223" s="39"/>
      <c r="AT223" s="39"/>
      <c r="AU223" s="442"/>
      <c r="AV223" s="488"/>
      <c r="AY223" s="442"/>
      <c r="AZ223" s="489"/>
      <c r="BA223" s="489"/>
      <c r="BC223" s="445"/>
      <c r="BD223" s="39"/>
      <c r="BE223" s="39"/>
      <c r="BF223" s="39"/>
      <c r="BG223" s="39"/>
      <c r="BH223" s="39"/>
      <c r="BI223" s="39"/>
      <c r="BJ223" s="39"/>
      <c r="BK223" s="39"/>
      <c r="BL223" s="39"/>
      <c r="BM223" s="39"/>
      <c r="BN223" s="39"/>
      <c r="BR223" s="39"/>
      <c r="BS223" s="39"/>
      <c r="BT223" s="39"/>
      <c r="BU223" s="39"/>
      <c r="BV223" s="39"/>
      <c r="BW223" s="39"/>
      <c r="BX223" s="39"/>
      <c r="BY223" s="39"/>
      <c r="BZ223" s="39"/>
      <c r="CA223" s="39"/>
      <c r="CB223" s="39"/>
      <c r="CC223" s="39"/>
    </row>
    <row r="224" spans="1:86" ht="17" hidden="1" outlineLevel="1" thickBot="1" x14ac:dyDescent="0.25">
      <c r="B224" s="490" t="str">
        <f>CONCATENATE("WIP Rates NOW Based on ",'[1]Pricing Summary'!B33," Service Selected on Review Summary Tab")</f>
        <v>WIP Rates NOW Based on Ultimate Service Selected on Review Summary Tab</v>
      </c>
      <c r="C224" s="463"/>
      <c r="I224" s="370"/>
      <c r="K224" s="491">
        <f>IF($AW$191=0,0,IF('[1]Pricing Summary'!$B$31="T&amp;M",K12,ROUND($AX$191/$AW$191*K12,0)))</f>
        <v>0</v>
      </c>
      <c r="L224" s="492">
        <f>IF($AW$191=0,0,IF('[1]Pricing Summary'!$B$31="T&amp;M",L12,ROUND($AX$191/$AW$191*L12,0)))</f>
        <v>0</v>
      </c>
      <c r="M224" s="492">
        <f>IF($AW$191=0,0,IF('[1]Pricing Summary'!$B$31="T&amp;M",M12,ROUND($AX$191/$AW$191*M12,0)))</f>
        <v>0</v>
      </c>
      <c r="N224" s="492">
        <f>IF($AW$191=0,0,IF('[1]Pricing Summary'!$B$31="T&amp;M",N12,ROUND($AX$191/$AW$191*N12,0)))</f>
        <v>0</v>
      </c>
      <c r="O224" s="492">
        <f>IF($AW$191=0,0,IF('[1]Pricing Summary'!$B$31="T&amp;M",O12,ROUND($AX$191/$AW$191*O12,0)))</f>
        <v>0</v>
      </c>
      <c r="P224" s="492">
        <f>IF($AW$191=0,0,IF('[1]Pricing Summary'!$B$31="T&amp;M",P12,ROUND($AX$191/$AW$191*P12,0)))</f>
        <v>0</v>
      </c>
      <c r="Q224" s="492">
        <f>IF($AW$191=0,0,IF('[1]Pricing Summary'!$B$31="T&amp;M",Q12,ROUND($AX$191/$AW$191*Q12,0)))</f>
        <v>0</v>
      </c>
      <c r="R224" s="492">
        <f>IF($AW$191=0,0,IF('[1]Pricing Summary'!$B$31="T&amp;M",R12,ROUND($AX$191/$AW$191*R12,0)))</f>
        <v>0</v>
      </c>
      <c r="S224" s="492">
        <f>IF($AW$191=0,0,IF('[1]Pricing Summary'!$B$31="T&amp;M",S12,ROUND($AX$191/$AW$191*S12,0)))</f>
        <v>0</v>
      </c>
      <c r="T224" s="492">
        <f>IF($AW$191=0,0,IF('[1]Pricing Summary'!$B$31="T&amp;M",T12,ROUND($AX$191/$AW$191*T12,0)))</f>
        <v>0</v>
      </c>
      <c r="U224" s="491">
        <f>IF($AW$191=0,0,IF('[1]Pricing Summary'!$B$31="T&amp;M",U12,ROUND($AX$191/$AW$191*U12,0)))</f>
        <v>0</v>
      </c>
      <c r="V224" s="492">
        <f>IF($AW$191=0,0,IF('[1]Pricing Summary'!$B$31="T&amp;M",V12,ROUND($AX$191/$AW$191*V12,0)))</f>
        <v>0</v>
      </c>
      <c r="W224" s="492">
        <f>IF($AW$191=0,0,IF('[1]Pricing Summary'!$B$31="T&amp;M",W12,ROUND($AX$191/$AW$191*W12,0)))</f>
        <v>0</v>
      </c>
      <c r="X224" s="492">
        <f>IF($AW$191=0,0,IF('[1]Pricing Summary'!$B$31="T&amp;M",X12,ROUND($AX$191/$AW$191*X12,0)))</f>
        <v>0</v>
      </c>
      <c r="Y224" s="492">
        <f>IF($AW$191=0,0,IF('[1]Pricing Summary'!$B$31="T&amp;M",Y12,ROUND($AX$191/$AW$191*Y12,0)))</f>
        <v>0</v>
      </c>
      <c r="Z224" s="492">
        <f>IF($AW$191=0,0,IF('[1]Pricing Summary'!$B$31="T&amp;M",Z12,ROUND($AX$191/$AW$191*Z12,0)))</f>
        <v>0</v>
      </c>
      <c r="AA224" s="493">
        <f>IF($AW$191=0,0,IF('[1]Pricing Summary'!$B$31="T&amp;M",AA12,ROUND($AX$191/$AW$191*AA12,0)))</f>
        <v>0</v>
      </c>
      <c r="AB224" s="491">
        <f>IF($AW$191=0,0,IF('[1]Pricing Summary'!$B$31="T&amp;M",AB12,ROUND($AX$191/$AW$191*AB12,0)))</f>
        <v>0</v>
      </c>
      <c r="AC224" s="492">
        <f>IF($AW$191=0,0,IF('[1]Pricing Summary'!$B$31="T&amp;M",AC12,ROUND($AX$191/$AW$191*AC12,0)))</f>
        <v>0</v>
      </c>
      <c r="AD224" s="492">
        <f>IF($AW$191=0,0,IF('[1]Pricing Summary'!$B$31="T&amp;M",AD12,ROUND($AX$191/$AW$191*AD12,0)))</f>
        <v>0</v>
      </c>
      <c r="AE224" s="493">
        <f>IF($AW$191=0,0,IF('[1]Pricing Summary'!$B$31="T&amp;M",AE12,ROUND($AX$191/$AW$191*AE12,0)))</f>
        <v>0</v>
      </c>
      <c r="AG224" s="488"/>
      <c r="AH224" s="488"/>
      <c r="AS224" s="39"/>
      <c r="AT224" s="39"/>
      <c r="AU224" s="442"/>
      <c r="AV224" s="488"/>
      <c r="AY224" s="442"/>
      <c r="AZ224" s="489"/>
      <c r="BA224" s="489"/>
      <c r="BC224" s="445"/>
      <c r="BD224" s="39"/>
      <c r="BE224" s="39"/>
      <c r="BF224" s="39"/>
      <c r="BG224" s="39"/>
      <c r="BH224" s="39"/>
      <c r="BI224" s="39"/>
      <c r="BJ224" s="39"/>
      <c r="BK224" s="39"/>
      <c r="BL224" s="39"/>
      <c r="BM224" s="39"/>
      <c r="BN224" s="39"/>
      <c r="BR224" s="39"/>
      <c r="BS224" s="39"/>
      <c r="BT224" s="39"/>
      <c r="BU224" s="39"/>
      <c r="BV224" s="39"/>
      <c r="BW224" s="39"/>
      <c r="BX224" s="39"/>
      <c r="BY224" s="39"/>
      <c r="BZ224" s="39"/>
      <c r="CA224" s="39"/>
      <c r="CB224" s="39"/>
      <c r="CC224" s="39"/>
    </row>
    <row r="225" spans="1:86" ht="16" collapsed="1" x14ac:dyDescent="0.2">
      <c r="A225" s="39" t="s">
        <v>188</v>
      </c>
      <c r="I225" s="370"/>
      <c r="K225" s="370"/>
      <c r="L225" s="370"/>
      <c r="M225" s="370"/>
      <c r="N225" s="370"/>
      <c r="O225" s="370"/>
      <c r="P225" s="370"/>
      <c r="Q225" s="370"/>
      <c r="R225" s="370"/>
      <c r="S225" s="370"/>
      <c r="T225" s="370"/>
      <c r="U225" s="370"/>
      <c r="V225" s="370"/>
      <c r="W225" s="370"/>
      <c r="X225" s="370"/>
      <c r="Y225" s="370"/>
      <c r="Z225" s="370"/>
      <c r="AA225" s="370"/>
      <c r="AB225" s="370"/>
      <c r="AC225" s="370"/>
      <c r="AD225" s="370"/>
      <c r="AE225" s="370"/>
      <c r="AG225" s="371"/>
      <c r="AH225" s="371"/>
      <c r="AI225" s="370"/>
      <c r="AO225" s="11"/>
      <c r="AP225" s="11"/>
      <c r="AQ225" s="163"/>
      <c r="AV225" s="371"/>
      <c r="AX225" s="157"/>
      <c r="BD225" s="370"/>
      <c r="BG225" s="380"/>
      <c r="BI225" s="370"/>
      <c r="BL225" s="380"/>
      <c r="BN225" s="370"/>
      <c r="BQ225" s="380"/>
      <c r="BS225" s="370"/>
      <c r="BV225" s="380"/>
      <c r="BX225" s="370"/>
      <c r="CA225" s="380"/>
      <c r="CC225" s="370"/>
      <c r="CF225" s="380"/>
    </row>
    <row r="226" spans="1:86" x14ac:dyDescent="0.2">
      <c r="CH226" s="477"/>
    </row>
    <row r="227" spans="1:86" ht="20" thickBot="1" x14ac:dyDescent="0.3">
      <c r="A227" s="190"/>
      <c r="B227" s="234" t="s">
        <v>189</v>
      </c>
      <c r="C227" s="234"/>
      <c r="CH227" s="494"/>
    </row>
    <row r="228" spans="1:86" ht="19" x14ac:dyDescent="0.2">
      <c r="B228" s="495" t="s">
        <v>190</v>
      </c>
      <c r="C228" s="496"/>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97"/>
      <c r="AH228" s="497"/>
      <c r="AI228" s="40"/>
      <c r="AJ228" s="40"/>
      <c r="AK228" s="40"/>
      <c r="AL228" s="359"/>
      <c r="AM228" s="359"/>
      <c r="AN228" s="359"/>
      <c r="AO228" s="40"/>
      <c r="AP228" s="40"/>
      <c r="AQ228" s="361"/>
      <c r="AR228" s="361"/>
      <c r="AS228" s="40"/>
      <c r="AT228" s="359"/>
      <c r="AU228" s="497"/>
      <c r="AV228" s="497"/>
      <c r="AW228" s="362"/>
      <c r="AX228" s="497"/>
      <c r="AY228" s="497"/>
      <c r="AZ228" s="363"/>
      <c r="BA228" s="363"/>
      <c r="BB228" s="363"/>
      <c r="BC228" s="498"/>
      <c r="BD228" s="40"/>
      <c r="BE228" s="359"/>
      <c r="BF228" s="359"/>
      <c r="BG228" s="359"/>
      <c r="BH228" s="40"/>
      <c r="BI228" s="40"/>
      <c r="BJ228" s="359"/>
      <c r="BK228" s="359"/>
      <c r="BL228" s="359"/>
      <c r="BM228" s="40"/>
      <c r="BN228" s="40"/>
      <c r="BO228" s="359"/>
      <c r="BP228" s="359"/>
      <c r="BQ228" s="359"/>
      <c r="BR228" s="40"/>
      <c r="BS228" s="40"/>
      <c r="BT228" s="359"/>
      <c r="BU228" s="359"/>
      <c r="BV228" s="359"/>
      <c r="BW228" s="40"/>
      <c r="BX228" s="40"/>
      <c r="BY228" s="359"/>
      <c r="BZ228" s="359"/>
      <c r="CA228" s="359"/>
      <c r="CB228" s="40"/>
      <c r="CC228" s="40"/>
      <c r="CD228" s="359"/>
      <c r="CE228" s="359"/>
      <c r="CF228" s="359"/>
      <c r="CG228" s="40"/>
      <c r="CH228" s="499"/>
    </row>
    <row r="229" spans="1:86" ht="19" x14ac:dyDescent="0.2">
      <c r="B229" s="500" t="s">
        <v>51</v>
      </c>
      <c r="C229" s="501"/>
      <c r="CH229" s="502"/>
    </row>
    <row r="230" spans="1:86" ht="18.75" customHeight="1" x14ac:dyDescent="0.2">
      <c r="B230" s="503" t="s">
        <v>464</v>
      </c>
      <c r="C230" s="504"/>
      <c r="D230" s="504"/>
      <c r="E230" s="504"/>
      <c r="F230" s="504"/>
      <c r="G230" s="504"/>
      <c r="CH230" s="502"/>
    </row>
    <row r="231" spans="1:86" ht="18.75" customHeight="1" thickBot="1" x14ac:dyDescent="0.25">
      <c r="B231" s="53" t="s">
        <v>52</v>
      </c>
      <c r="C231" s="54"/>
      <c r="D231" s="54"/>
      <c r="E231" s="54"/>
      <c r="F231" s="54"/>
      <c r="G231" s="54"/>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505"/>
      <c r="AH231" s="505"/>
      <c r="AI231" s="63"/>
      <c r="AJ231" s="63"/>
      <c r="AK231" s="63"/>
      <c r="AL231" s="372"/>
      <c r="AM231" s="372"/>
      <c r="AN231" s="372"/>
      <c r="AO231" s="63"/>
      <c r="AP231" s="63"/>
      <c r="AQ231" s="373"/>
      <c r="AR231" s="373"/>
      <c r="AS231" s="63"/>
      <c r="AT231" s="372"/>
      <c r="AU231" s="505"/>
      <c r="AV231" s="505"/>
      <c r="AW231" s="374"/>
      <c r="AX231" s="505"/>
      <c r="AY231" s="505"/>
      <c r="AZ231" s="375"/>
      <c r="BA231" s="375"/>
      <c r="BB231" s="375"/>
      <c r="BC231" s="506"/>
      <c r="BD231" s="63"/>
      <c r="BE231" s="372"/>
      <c r="BF231" s="372"/>
      <c r="BG231" s="372"/>
      <c r="BH231" s="63"/>
      <c r="BI231" s="63"/>
      <c r="BJ231" s="372"/>
      <c r="BK231" s="372"/>
      <c r="BL231" s="372"/>
      <c r="BM231" s="63"/>
      <c r="BN231" s="63"/>
      <c r="BO231" s="372"/>
      <c r="BP231" s="372"/>
      <c r="BQ231" s="372"/>
      <c r="BR231" s="63"/>
      <c r="BS231" s="63"/>
      <c r="BT231" s="372"/>
      <c r="BU231" s="372"/>
      <c r="BV231" s="372"/>
      <c r="BW231" s="63"/>
      <c r="BX231" s="63"/>
      <c r="BY231" s="372"/>
      <c r="BZ231" s="372"/>
      <c r="CA231" s="372"/>
      <c r="CB231" s="63"/>
      <c r="CC231" s="63"/>
      <c r="CD231" s="372"/>
      <c r="CE231" s="372"/>
      <c r="CF231" s="372"/>
      <c r="CG231" s="63"/>
      <c r="CH231" s="507"/>
    </row>
    <row r="232" spans="1:86" ht="16" x14ac:dyDescent="0.2">
      <c r="B232" s="508"/>
      <c r="C232" s="508"/>
    </row>
    <row r="235" spans="1:86" x14ac:dyDescent="0.2">
      <c r="CH235" s="477"/>
    </row>
    <row r="243" spans="86:86" x14ac:dyDescent="0.2">
      <c r="CH243" s="477"/>
    </row>
    <row r="248" spans="86:86" x14ac:dyDescent="0.2">
      <c r="CH248" s="461"/>
    </row>
    <row r="260" spans="86:86" x14ac:dyDescent="0.2">
      <c r="CH260" s="461"/>
    </row>
    <row r="261" spans="86:86" x14ac:dyDescent="0.2">
      <c r="CH261" s="461"/>
    </row>
  </sheetData>
  <mergeCells count="51">
    <mergeCell ref="BN2:BQ2"/>
    <mergeCell ref="BS2:BV2"/>
    <mergeCell ref="BX2:CA2"/>
    <mergeCell ref="CC2:CF2"/>
    <mergeCell ref="B231:G231"/>
    <mergeCell ref="AT2:AT3"/>
    <mergeCell ref="AV2:AV3"/>
    <mergeCell ref="AW2:AW3"/>
    <mergeCell ref="AX2:AX3"/>
    <mergeCell ref="BD2:BG2"/>
    <mergeCell ref="BI2:BL2"/>
    <mergeCell ref="AM2:AM3"/>
    <mergeCell ref="AN2:AN3"/>
    <mergeCell ref="AO2:AO3"/>
    <mergeCell ref="AP2:AP3"/>
    <mergeCell ref="AQ2:AQ3"/>
    <mergeCell ref="AR2:AR3"/>
    <mergeCell ref="AE2:AE3"/>
    <mergeCell ref="AG2:AG3"/>
    <mergeCell ref="AH2:AH3"/>
    <mergeCell ref="AI2:AI3"/>
    <mergeCell ref="AJ2:AJ3"/>
    <mergeCell ref="AL2:AL3"/>
    <mergeCell ref="Y2:Y3"/>
    <mergeCell ref="Z2:Z3"/>
    <mergeCell ref="AA2:AA3"/>
    <mergeCell ref="AB2:AB3"/>
    <mergeCell ref="AC2:AC3"/>
    <mergeCell ref="AD2:AD3"/>
    <mergeCell ref="S2:S3"/>
    <mergeCell ref="T2:T3"/>
    <mergeCell ref="U2:U3"/>
    <mergeCell ref="V2:V3"/>
    <mergeCell ref="W2:W3"/>
    <mergeCell ref="X2:X3"/>
    <mergeCell ref="M2:M3"/>
    <mergeCell ref="N2:N3"/>
    <mergeCell ref="O2:O3"/>
    <mergeCell ref="P2:P3"/>
    <mergeCell ref="Q2:Q3"/>
    <mergeCell ref="R2:R3"/>
    <mergeCell ref="D1:D4"/>
    <mergeCell ref="AF1:AF4"/>
    <mergeCell ref="CG1:CG4"/>
    <mergeCell ref="C2:C3"/>
    <mergeCell ref="E2:E3"/>
    <mergeCell ref="F2:F3"/>
    <mergeCell ref="G2:G3"/>
    <mergeCell ref="I2:I3"/>
    <mergeCell ref="K2:K3"/>
    <mergeCell ref="L2:L3"/>
  </mergeCells>
  <conditionalFormatting sqref="I17:I56 K17:AE56 AI17:AJ56 AL17:AR56 AT17:AT56 I59:I93 K59:AE93 AI59:AJ93 AL59:AR93 AT59:AT93 I96:I130 K96:AE130 AI96:AJ130 AL96:AR130 AT96:AT130 I133:I187 K133:AE187 AI133:AJ187 AL133:AR187 AT133:AT187">
    <cfRule type="expression" dxfId="117" priority="1">
      <formula>AND($E17=FALSE,$F17=FALSE,$G17=FALSE)</formula>
    </cfRule>
  </conditionalFormatting>
  <dataValidations count="2">
    <dataValidation type="list" allowBlank="1" showDropDown="1" showInputMessage="1" showErrorMessage="1" sqref="E96:G130 E59:G93 E17:G56 E133:G187" xr:uid="{4EE1DDDB-0EFE-6348-B2A8-2208BD9F8B77}">
      <formula1>"TRUE, FALSE"</formula1>
    </dataValidation>
    <dataValidation type="decimal" operator="greaterThanOrEqual" allowBlank="1" showInputMessage="1" showErrorMessage="1" sqref="K11:T14 U11:AE12 AB4:AE4 I11:I12 I6 I190:I192 AV4 AV11:AV12 AG11:AI12 AG4:AH4" xr:uid="{970470CE-D3F3-3349-A421-E8D9C5988C18}">
      <formula1>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20B0-7F85-FA4C-9E78-3AD4D0D759AC}">
  <dimension ref="A1:Z39"/>
  <sheetViews>
    <sheetView workbookViewId="0">
      <selection sqref="A1:XFD1048576"/>
    </sheetView>
  </sheetViews>
  <sheetFormatPr baseColWidth="10" defaultColWidth="6.6640625" defaultRowHeight="16" outlineLevelRow="1" outlineLevelCol="1" x14ac:dyDescent="0.2"/>
  <cols>
    <col min="1" max="1" width="80.83203125" style="2" customWidth="1"/>
    <col min="2" max="2" width="15.1640625" style="512" customWidth="1"/>
    <col min="3" max="3" width="2.6640625" style="512" customWidth="1"/>
    <col min="4" max="4" width="11.83203125" style="2" customWidth="1"/>
    <col min="5" max="5" width="1.5" style="2" customWidth="1"/>
    <col min="6" max="6" width="11.83203125" style="2" customWidth="1"/>
    <col min="7" max="7" width="1.5" style="2" customWidth="1"/>
    <col min="8" max="8" width="11.83203125" style="2" customWidth="1"/>
    <col min="9" max="9" width="2.6640625" style="2" hidden="1" customWidth="1" outlineLevel="1"/>
    <col min="10" max="10" width="11.83203125" style="2" hidden="1" customWidth="1" outlineLevel="1"/>
    <col min="11" max="11" width="1.5" style="2" hidden="1" customWidth="1" outlineLevel="1"/>
    <col min="12" max="12" width="11.83203125" style="2" hidden="1" customWidth="1" outlineLevel="1"/>
    <col min="13" max="13" width="1.5" style="2" hidden="1" customWidth="1" outlineLevel="1"/>
    <col min="14" max="14" width="11.83203125" style="2" hidden="1" customWidth="1" outlineLevel="1"/>
    <col min="15" max="15" width="2.6640625" style="2" customWidth="1" collapsed="1"/>
    <col min="16" max="16" width="11.83203125" style="2" customWidth="1"/>
    <col min="17" max="17" width="1.5" style="2" customWidth="1"/>
    <col min="18" max="18" width="11.83203125" style="2" customWidth="1"/>
    <col min="19" max="19" width="1.5" style="2" customWidth="1"/>
    <col min="20" max="20" width="11.83203125" style="2" customWidth="1"/>
    <col min="21" max="21" width="2.6640625" style="2" customWidth="1"/>
    <col min="22" max="22" width="13.33203125" style="2" customWidth="1"/>
    <col min="23" max="23" width="2.6640625" style="2" customWidth="1"/>
    <col min="24" max="24" width="11.83203125" style="2" hidden="1" customWidth="1" outlineLevel="1"/>
    <col min="25" max="25" width="49.33203125" style="2" hidden="1" customWidth="1" outlineLevel="1"/>
    <col min="26" max="26" width="2.6640625" style="2" customWidth="1" collapsed="1"/>
    <col min="27" max="16384" width="6.6640625" style="2"/>
  </cols>
  <sheetData>
    <row r="1" spans="1:26" s="65" customFormat="1" ht="23" thickBot="1" x14ac:dyDescent="0.35">
      <c r="A1" s="509"/>
      <c r="D1" s="10" t="s">
        <v>205</v>
      </c>
      <c r="F1" s="10"/>
      <c r="H1" s="10"/>
      <c r="J1" s="10" t="s">
        <v>206</v>
      </c>
      <c r="L1" s="10"/>
      <c r="N1" s="10"/>
      <c r="O1" s="66" t="s">
        <v>191</v>
      </c>
      <c r="P1" s="10" t="s">
        <v>192</v>
      </c>
      <c r="R1" s="10"/>
      <c r="T1" s="10"/>
      <c r="V1" s="10" t="s">
        <v>193</v>
      </c>
      <c r="W1" s="510"/>
      <c r="X1" s="10"/>
      <c r="Z1" s="66" t="s">
        <v>194</v>
      </c>
    </row>
    <row r="2" spans="1:26" ht="42" thickBot="1" x14ac:dyDescent="0.35">
      <c r="A2" s="511" t="str">
        <f>CONCATENATE('[1]Core Assumptions'!D7," Review Summary - ",'[1]Core Assumptions'!D5)</f>
        <v>PHB Review Summary - Ted Black Tax Return</v>
      </c>
      <c r="B2" s="8" t="s">
        <v>2</v>
      </c>
      <c r="D2" s="513" t="s">
        <v>73</v>
      </c>
      <c r="E2" s="514"/>
      <c r="F2" s="515" t="s">
        <v>74</v>
      </c>
      <c r="G2" s="514"/>
      <c r="H2" s="516" t="s">
        <v>75</v>
      </c>
      <c r="J2" s="513" t="s">
        <v>73</v>
      </c>
      <c r="K2" s="514"/>
      <c r="L2" s="515" t="s">
        <v>74</v>
      </c>
      <c r="M2" s="514"/>
      <c r="N2" s="516" t="s">
        <v>75</v>
      </c>
      <c r="O2" s="66"/>
      <c r="P2" s="513" t="s">
        <v>73</v>
      </c>
      <c r="Q2" s="514"/>
      <c r="R2" s="515" t="s">
        <v>74</v>
      </c>
      <c r="S2" s="514"/>
      <c r="T2" s="516" t="s">
        <v>75</v>
      </c>
      <c r="V2" s="517" t="s">
        <v>195</v>
      </c>
      <c r="W2" s="518"/>
      <c r="X2" s="519" t="str" cm="1">
        <f t="array" ref="X2">CONCATENATE("Comparison Data - ",_xlfn.TEXTBEFORE(_xlfn.TEXTAFTER(_xlfn.XLOOKUP(TRUE,'[1]Project Profitability Import'!A:A&lt;&gt;"",'[1]Project Profitability Import'!A:A,,,-1),"is "),"Date"))</f>
        <v xml:space="preserve">Comparison Data - Alacon Investors, LLC Partnership LLC Return 2024/12 (PRJ000162919)
</v>
      </c>
      <c r="Y2" s="520"/>
      <c r="Z2" s="66"/>
    </row>
    <row r="3" spans="1:26" ht="17" thickBot="1" x14ac:dyDescent="0.25">
      <c r="O3" s="66"/>
      <c r="Z3" s="66"/>
    </row>
    <row r="4" spans="1:26" ht="23" thickBot="1" x14ac:dyDescent="0.35">
      <c r="A4" s="10" t="s">
        <v>196</v>
      </c>
      <c r="B4" s="521" t="s">
        <v>13</v>
      </c>
      <c r="O4" s="66"/>
      <c r="Z4" s="66"/>
    </row>
    <row r="5" spans="1:26" thickBot="1" x14ac:dyDescent="0.25">
      <c r="A5" s="161"/>
      <c r="B5" s="2"/>
      <c r="C5" s="2"/>
      <c r="D5" s="162"/>
      <c r="E5" s="162"/>
      <c r="F5" s="162"/>
      <c r="G5" s="162"/>
      <c r="H5" s="162"/>
      <c r="J5" s="162"/>
      <c r="K5" s="162"/>
      <c r="L5" s="162"/>
      <c r="M5" s="162"/>
      <c r="N5" s="162"/>
      <c r="P5" s="162"/>
      <c r="Q5" s="162"/>
      <c r="R5" s="162"/>
      <c r="S5" s="162"/>
      <c r="T5" s="162"/>
      <c r="V5" s="162"/>
      <c r="X5" s="162"/>
    </row>
    <row r="6" spans="1:26" ht="23" thickBot="1" x14ac:dyDescent="0.35">
      <c r="A6" s="10" t="str">
        <f>CONCATENATE("Enter an Adjusted Total if applying an overall Fixed Fee ",IF('[1]Pricing Summary'!B4="No","(BEFORE Admin Fee)","(AFTER Admin Fee)"))</f>
        <v>Enter an Adjusted Total if applying an overall Fixed Fee (BEFORE Admin Fee)</v>
      </c>
      <c r="D6" s="522"/>
      <c r="E6" s="522"/>
      <c r="F6" s="522"/>
      <c r="G6" s="522"/>
      <c r="H6" s="522"/>
      <c r="J6" s="522"/>
      <c r="K6" s="522"/>
      <c r="L6" s="522"/>
      <c r="M6" s="522"/>
      <c r="N6" s="522"/>
      <c r="P6" s="523">
        <v>23000</v>
      </c>
      <c r="Q6" s="524"/>
      <c r="R6" s="523">
        <v>23000</v>
      </c>
      <c r="S6" s="522"/>
      <c r="T6" s="523">
        <v>23000</v>
      </c>
      <c r="V6" s="522"/>
      <c r="X6" s="522">
        <f>IF('[1]Pricing Summary'!$B$4="Yes",MROUND('[1]Pricing Calculator'!$BT$192*(1+'[1]Core Assumptions'!$D$26),'[1]Core Assumptions'!$E$24),MROUND('[1]Pricing Calculator'!$BT$192,'[1]Core Assumptions'!$E$24))</f>
        <v>23000</v>
      </c>
    </row>
    <row r="7" spans="1:26" ht="20" thickBot="1" x14ac:dyDescent="0.3">
      <c r="D7" s="234"/>
      <c r="F7" s="234"/>
      <c r="H7" s="234"/>
      <c r="J7" s="234"/>
      <c r="L7" s="234"/>
      <c r="N7" s="234"/>
      <c r="P7" s="234"/>
      <c r="R7" s="234"/>
      <c r="T7" s="234"/>
      <c r="V7" s="234"/>
    </row>
    <row r="8" spans="1:26" s="524" customFormat="1" ht="20" thickBot="1" x14ac:dyDescent="0.3">
      <c r="A8" s="525" t="s">
        <v>106</v>
      </c>
      <c r="B8" s="526"/>
      <c r="C8" s="526"/>
      <c r="D8" s="527">
        <f>'[1]Pricing Calculator'!$BD196</f>
        <v>40</v>
      </c>
      <c r="F8" s="527">
        <f>'[1]Pricing Calculator'!$BI196</f>
        <v>40</v>
      </c>
      <c r="H8" s="527">
        <f>'[1]Pricing Calculator'!$BN196</f>
        <v>40</v>
      </c>
      <c r="J8" s="527">
        <f>'[1]Pricing Calculator'!$BS196</f>
        <v>40</v>
      </c>
      <c r="L8" s="527">
        <f>'[1]Pricing Calculator'!$BX196</f>
        <v>40</v>
      </c>
      <c r="N8" s="527">
        <f>'[1]Pricing Calculator'!$CC196</f>
        <v>40</v>
      </c>
      <c r="P8" s="527">
        <f>'[1]Pricing Calculator'!$BS209</f>
        <v>40</v>
      </c>
      <c r="R8" s="527">
        <f>'[1]Pricing Calculator'!$BX209</f>
        <v>40</v>
      </c>
      <c r="T8" s="527">
        <f>'[1]Pricing Calculator'!$CC209</f>
        <v>40</v>
      </c>
      <c r="V8" s="527">
        <f>_xlfn.XLOOKUP("True",$D$39:$T$39,$D8:$T8)</f>
        <v>40</v>
      </c>
      <c r="X8" s="527">
        <f>'[1]Pricing Calculator'!AI6</f>
        <v>10.8</v>
      </c>
    </row>
    <row r="9" spans="1:26" thickBot="1" x14ac:dyDescent="0.25">
      <c r="A9" s="161"/>
      <c r="B9" s="2"/>
      <c r="C9" s="2"/>
      <c r="D9" s="162"/>
      <c r="E9" s="162"/>
      <c r="F9" s="162"/>
      <c r="G9" s="162"/>
      <c r="H9" s="162"/>
      <c r="J9" s="162"/>
      <c r="K9" s="162"/>
      <c r="L9" s="162"/>
      <c r="M9" s="162"/>
      <c r="N9" s="162"/>
      <c r="P9" s="162"/>
      <c r="Q9" s="162"/>
      <c r="R9" s="162"/>
      <c r="S9" s="162"/>
      <c r="T9" s="162"/>
      <c r="V9" s="162"/>
      <c r="X9" s="162"/>
    </row>
    <row r="10" spans="1:26" s="524" customFormat="1" ht="20" hidden="1" thickBot="1" x14ac:dyDescent="0.3">
      <c r="A10" s="525" t="s">
        <v>207</v>
      </c>
      <c r="B10" s="526"/>
      <c r="C10" s="526"/>
      <c r="D10" s="528">
        <f>'[1]Pricing Calculator'!$AZ$196</f>
        <v>23000</v>
      </c>
      <c r="F10" s="528">
        <f>'[1]Pricing Calculator'!$BA$196</f>
        <v>23000</v>
      </c>
      <c r="H10" s="528">
        <f>'[1]Pricing Calculator'!$BB$196</f>
        <v>23000</v>
      </c>
      <c r="J10" s="528">
        <f>'[1]Pricing Calculator'!$AZ$196</f>
        <v>23000</v>
      </c>
      <c r="L10" s="528">
        <f>'[1]Pricing Calculator'!$BA$196</f>
        <v>23000</v>
      </c>
      <c r="N10" s="528">
        <f>'[1]Pricing Calculator'!$BB$196</f>
        <v>23000</v>
      </c>
      <c r="P10" s="528">
        <f>'[1]Pricing Calculator'!$AZ$196</f>
        <v>23000</v>
      </c>
      <c r="R10" s="528">
        <f>'[1]Pricing Calculator'!$BA$196</f>
        <v>23000</v>
      </c>
      <c r="T10" s="528">
        <f>'[1]Pricing Calculator'!$BB$196</f>
        <v>23000</v>
      </c>
      <c r="V10" s="528">
        <f>_xlfn.XLOOKUP("True",$D$39:$T$39,$D10:$T10)</f>
        <v>23000</v>
      </c>
      <c r="X10" s="528">
        <f>IF('[1]Pricing Calculator'!$AZ$6=0,0,'[1]Pricing Calculator'!$AZ$6)</f>
        <v>7236</v>
      </c>
    </row>
    <row r="11" spans="1:26" hidden="1" thickBot="1" x14ac:dyDescent="0.25">
      <c r="A11" s="161"/>
      <c r="B11" s="2"/>
      <c r="C11" s="2"/>
      <c r="D11" s="162"/>
      <c r="E11" s="162"/>
      <c r="F11" s="162"/>
      <c r="G11" s="162"/>
      <c r="H11" s="162"/>
      <c r="J11" s="162"/>
      <c r="K11" s="162"/>
      <c r="L11" s="162"/>
      <c r="M11" s="162"/>
      <c r="N11" s="162"/>
      <c r="P11" s="162"/>
      <c r="Q11" s="162"/>
      <c r="R11" s="162"/>
      <c r="S11" s="162"/>
      <c r="T11" s="162"/>
      <c r="V11" s="162"/>
      <c r="X11" s="162"/>
    </row>
    <row r="12" spans="1:26" s="524" customFormat="1" ht="20" hidden="1" thickBot="1" x14ac:dyDescent="0.3">
      <c r="A12" s="525" t="s">
        <v>208</v>
      </c>
      <c r="B12" s="526"/>
      <c r="C12" s="526"/>
      <c r="D12" s="528">
        <f>$D14</f>
        <v>23000</v>
      </c>
      <c r="F12" s="528">
        <f>$F14</f>
        <v>23000</v>
      </c>
      <c r="H12" s="528">
        <f>$H14</f>
        <v>23000</v>
      </c>
      <c r="J12" s="528">
        <f>$D14</f>
        <v>23000</v>
      </c>
      <c r="L12" s="528">
        <f>$F14</f>
        <v>23000</v>
      </c>
      <c r="N12" s="528">
        <f>$H14</f>
        <v>23000</v>
      </c>
      <c r="P12" s="528">
        <f>$D14</f>
        <v>23000</v>
      </c>
      <c r="R12" s="528">
        <f>$F14</f>
        <v>23000</v>
      </c>
      <c r="T12" s="528">
        <f>$H14</f>
        <v>23000</v>
      </c>
      <c r="V12" s="528">
        <f>_xlfn.XLOOKUP("True",$D$39:$T$39,$D12:$T12)</f>
        <v>23000</v>
      </c>
      <c r="X12" s="528">
        <f>IF('[1]Pricing Calculator'!$BE$6=0,0,'[1]Pricing Calculator'!$BE$6)</f>
        <v>7236</v>
      </c>
    </row>
    <row r="13" spans="1:26" hidden="1" thickBot="1" x14ac:dyDescent="0.25">
      <c r="A13" s="161"/>
      <c r="B13" s="2"/>
      <c r="C13" s="2"/>
      <c r="D13" s="162"/>
      <c r="E13" s="162"/>
      <c r="F13" s="162"/>
      <c r="G13" s="162"/>
      <c r="H13" s="162"/>
      <c r="J13" s="162"/>
      <c r="K13" s="162"/>
      <c r="L13" s="162"/>
      <c r="M13" s="162"/>
      <c r="N13" s="162"/>
      <c r="P13" s="162"/>
      <c r="Q13" s="162"/>
      <c r="R13" s="162"/>
      <c r="S13" s="162"/>
      <c r="T13" s="162"/>
      <c r="X13" s="162"/>
    </row>
    <row r="14" spans="1:26" s="524" customFormat="1" ht="20" thickBot="1" x14ac:dyDescent="0.3">
      <c r="A14" s="525" t="s">
        <v>197</v>
      </c>
      <c r="B14" s="526"/>
      <c r="C14" s="526"/>
      <c r="D14" s="529">
        <f>'[1]Pricing Calculator'!$BE196</f>
        <v>23000</v>
      </c>
      <c r="F14" s="530">
        <f>'[1]Pricing Calculator'!$BJ196</f>
        <v>23000</v>
      </c>
      <c r="H14" s="531">
        <f>'[1]Pricing Calculator'!$BO196</f>
        <v>23000</v>
      </c>
      <c r="J14" s="529">
        <f>'[1]Pricing Calculator'!$BT196</f>
        <v>23100</v>
      </c>
      <c r="L14" s="530">
        <f>'[1]Pricing Calculator'!$BY196</f>
        <v>23100</v>
      </c>
      <c r="N14" s="531">
        <f>'[1]Pricing Calculator'!$CD196</f>
        <v>23100</v>
      </c>
      <c r="P14" s="529">
        <f>'[1]Pricing Calculator'!$BT209</f>
        <v>23000</v>
      </c>
      <c r="R14" s="530">
        <f>'[1]Pricing Calculator'!$BY209</f>
        <v>23000</v>
      </c>
      <c r="T14" s="531">
        <f>'[1]Pricing Calculator'!$CD209</f>
        <v>23000</v>
      </c>
      <c r="V14" s="532">
        <f>V18/('[1]Core Assumptions'!D28)</f>
        <v>16850.393700787401</v>
      </c>
      <c r="W14" s="2"/>
      <c r="X14" s="533">
        <f>IF('[1]Pricing Calculator'!$BT$6=0,0,'[1]Pricing Calculator'!$BT$6)</f>
        <v>7236</v>
      </c>
    </row>
    <row r="15" spans="1:26" thickBot="1" x14ac:dyDescent="0.25">
      <c r="A15" s="161"/>
      <c r="B15" s="2"/>
      <c r="C15" s="2"/>
      <c r="D15" s="162"/>
      <c r="E15" s="162"/>
      <c r="F15" s="162"/>
      <c r="G15" s="162"/>
      <c r="H15" s="162"/>
      <c r="J15" s="162"/>
      <c r="K15" s="162"/>
      <c r="L15" s="162"/>
      <c r="M15" s="162"/>
      <c r="N15" s="162"/>
      <c r="P15" s="162"/>
      <c r="Q15" s="162"/>
      <c r="R15" s="162"/>
      <c r="S15" s="162"/>
      <c r="T15" s="162"/>
      <c r="V15" s="162"/>
      <c r="X15" s="162"/>
    </row>
    <row r="16" spans="1:26" ht="20" thickBot="1" x14ac:dyDescent="0.3">
      <c r="A16" s="525" t="s">
        <v>198</v>
      </c>
      <c r="D16" s="528">
        <f>'[1]Pricing Calculator'!$BE200</f>
        <v>24610</v>
      </c>
      <c r="E16" s="524"/>
      <c r="F16" s="528">
        <f>'[1]Pricing Calculator'!$BJ200</f>
        <v>24610</v>
      </c>
      <c r="G16" s="524"/>
      <c r="H16" s="528">
        <f>'[1]Pricing Calculator'!$BO200</f>
        <v>24610</v>
      </c>
      <c r="J16" s="528">
        <f>'[1]Pricing Calculator'!$BT200</f>
        <v>24717</v>
      </c>
      <c r="K16" s="524"/>
      <c r="L16" s="528">
        <f>'[1]Pricing Calculator'!$BY200</f>
        <v>24717</v>
      </c>
      <c r="M16" s="524"/>
      <c r="N16" s="528">
        <f>'[1]Pricing Calculator'!$CD200</f>
        <v>24717</v>
      </c>
      <c r="P16" s="528">
        <f>'[1]Pricing Calculator'!$BT213</f>
        <v>24610</v>
      </c>
      <c r="Q16" s="524"/>
      <c r="R16" s="528">
        <f>'[1]Pricing Calculator'!$BY213</f>
        <v>24610</v>
      </c>
      <c r="S16" s="524"/>
      <c r="T16" s="528">
        <f>'[1]Pricing Calculator'!$CD213</f>
        <v>24610</v>
      </c>
      <c r="V16" s="528">
        <f>V14*(1+'[1]Core Assumptions'!D26)</f>
        <v>18029.921259842518</v>
      </c>
      <c r="W16" s="524"/>
      <c r="X16" s="528">
        <f>X14*(1+'[1]Core Assumptions'!$D$26)</f>
        <v>7742.52</v>
      </c>
    </row>
    <row r="17" spans="1:26" thickBot="1" x14ac:dyDescent="0.25">
      <c r="A17" s="161"/>
      <c r="B17" s="2"/>
      <c r="C17" s="2"/>
      <c r="D17" s="162"/>
      <c r="E17" s="162"/>
      <c r="F17" s="162"/>
      <c r="G17" s="162"/>
      <c r="H17" s="162"/>
      <c r="J17" s="162"/>
      <c r="K17" s="162"/>
      <c r="L17" s="162"/>
      <c r="M17" s="162"/>
      <c r="N17" s="162"/>
      <c r="P17" s="162"/>
      <c r="Q17" s="162"/>
      <c r="R17" s="162"/>
      <c r="S17" s="162"/>
      <c r="T17" s="162"/>
      <c r="V17" s="162"/>
    </row>
    <row r="18" spans="1:26" s="524" customFormat="1" ht="21" thickBot="1" x14ac:dyDescent="0.3">
      <c r="A18" s="534" t="s">
        <v>199</v>
      </c>
      <c r="B18" s="526"/>
      <c r="C18" s="526"/>
      <c r="D18" s="529">
        <f>'[1]Pricing Calculator'!$BF196</f>
        <v>18720</v>
      </c>
      <c r="F18" s="530">
        <f>'[1]Pricing Calculator'!$BK196</f>
        <v>18720</v>
      </c>
      <c r="H18" s="531">
        <f>'[1]Pricing Calculator'!$BP196</f>
        <v>18720</v>
      </c>
      <c r="J18" s="529">
        <f>'[1]Pricing Calculator'!$BU196</f>
        <v>18820</v>
      </c>
      <c r="L18" s="530">
        <f>'[1]Pricing Calculator'!$BZ196</f>
        <v>18820</v>
      </c>
      <c r="N18" s="531">
        <f>'[1]Pricing Calculator'!$CE196</f>
        <v>18820</v>
      </c>
      <c r="P18" s="529">
        <f>'[1]Pricing Calculator'!$BU209</f>
        <v>18720</v>
      </c>
      <c r="R18" s="530">
        <f>'[1]Pricing Calculator'!$BZ209</f>
        <v>18720</v>
      </c>
      <c r="T18" s="531">
        <f>'[1]Pricing Calculator'!$CE209</f>
        <v>18720</v>
      </c>
      <c r="V18" s="532">
        <f>(_xlfn.XLOOKUP("True",$D$39:$T$39,$D14:$T14)-_xlfn.XLOOKUP("True",$D$39:$T$39,$D18:$T18))/(1-'[1]Core Assumptions'!D28)*'[1]Core Assumptions'!D28</f>
        <v>12570.393700787401</v>
      </c>
      <c r="X18" s="533">
        <f>IF('[1]Pricing Calculator'!$BU$6=0,0,'[1]Pricing Calculator'!$BU$6)</f>
        <v>5793.78</v>
      </c>
    </row>
    <row r="19" spans="1:26" thickBot="1" x14ac:dyDescent="0.25">
      <c r="A19" s="161"/>
      <c r="B19" s="2"/>
      <c r="C19" s="2"/>
      <c r="D19" s="162"/>
      <c r="E19" s="162"/>
      <c r="F19" s="162"/>
      <c r="G19" s="162"/>
      <c r="H19" s="162"/>
      <c r="J19" s="162"/>
      <c r="K19" s="162"/>
      <c r="L19" s="162"/>
      <c r="M19" s="162"/>
      <c r="N19" s="162"/>
      <c r="P19" s="162"/>
      <c r="Q19" s="162"/>
      <c r="R19" s="162"/>
      <c r="S19" s="162"/>
      <c r="T19" s="162"/>
      <c r="V19" s="162"/>
      <c r="X19" s="162"/>
    </row>
    <row r="20" spans="1:26" s="524" customFormat="1" ht="20" thickBot="1" x14ac:dyDescent="0.3">
      <c r="A20" s="525" t="s">
        <v>200</v>
      </c>
      <c r="B20" s="526"/>
      <c r="C20" s="526"/>
      <c r="D20" s="535">
        <f>IF(D14=0,0,D18/D14)</f>
        <v>0.81391304347826088</v>
      </c>
      <c r="F20" s="536">
        <f>IF(F14=0,0,F18/F14)</f>
        <v>0.81391304347826088</v>
      </c>
      <c r="H20" s="537">
        <f>IF(H14=0,0,H18/H14)</f>
        <v>0.81391304347826088</v>
      </c>
      <c r="J20" s="535">
        <f>IF(J14=0,0,J18/J14)</f>
        <v>0.81471861471861473</v>
      </c>
      <c r="L20" s="536">
        <f>IF(L14=0,0,L18/L14)</f>
        <v>0.81471861471861473</v>
      </c>
      <c r="N20" s="537">
        <f>IF(N14=0,0,N18/N14)</f>
        <v>0.81471861471861473</v>
      </c>
      <c r="P20" s="535">
        <f>IF(P14=0,0,P18/P14)</f>
        <v>0.81391304347826088</v>
      </c>
      <c r="R20" s="536">
        <f>IF(R14=0,0,R18/R14)</f>
        <v>0.81391304347826088</v>
      </c>
      <c r="T20" s="537">
        <f>IF(T14=0,0,T18/T14)</f>
        <v>0.81391304347826088</v>
      </c>
      <c r="V20" s="538">
        <f>IF(V14=0,0,V18/V14)</f>
        <v>0.746</v>
      </c>
      <c r="W20" s="2"/>
      <c r="X20" s="539">
        <f>IF(X14=0,0,X18/X14)</f>
        <v>0.80068822553897179</v>
      </c>
    </row>
    <row r="21" spans="1:26" thickBot="1" x14ac:dyDescent="0.25">
      <c r="A21" s="161"/>
      <c r="B21" s="2"/>
      <c r="C21" s="2"/>
      <c r="D21" s="162"/>
      <c r="E21" s="162"/>
      <c r="F21" s="162"/>
      <c r="G21" s="162"/>
      <c r="H21" s="162"/>
      <c r="J21" s="162"/>
      <c r="K21" s="162"/>
      <c r="L21" s="162"/>
      <c r="M21" s="162"/>
      <c r="N21" s="162"/>
      <c r="P21" s="162"/>
      <c r="Q21" s="162"/>
      <c r="R21" s="162"/>
      <c r="S21" s="162"/>
      <c r="T21" s="162"/>
      <c r="V21" s="162"/>
      <c r="X21" s="162"/>
    </row>
    <row r="22" spans="1:26" ht="20" thickBot="1" x14ac:dyDescent="0.3">
      <c r="A22" s="525" t="str">
        <f>CONCATENATE("Ensure Gross Margin % Exceeds Target of ",IF('[1]Core Assumptions'!$D$28="TBD","TBD",'[1]Core Assumptions'!$D$28*100),"%")</f>
        <v>Ensure Gross Margin % Exceeds Target of 74.6%</v>
      </c>
      <c r="D22" s="540" t="str">
        <f>IF('[1]Core Assumptions'!$D$28="TBD","TBD",IF(D20-'[1]Core Assumptions'!$D$28&gt;=0,"OK","Below Target"))</f>
        <v>OK</v>
      </c>
      <c r="E22" s="524"/>
      <c r="F22" s="540" t="str">
        <f>IF('[1]Core Assumptions'!$D$28="TBD","TBD",IF(F20-'[1]Core Assumptions'!$D$28&gt;=0,"OK","Below Target"))</f>
        <v>OK</v>
      </c>
      <c r="G22" s="524"/>
      <c r="H22" s="540" t="str">
        <f>IF('[1]Core Assumptions'!$D$28="TBD","TBD",IF(H20-'[1]Core Assumptions'!$D$28&gt;=0,"OK","Below Target"))</f>
        <v>OK</v>
      </c>
      <c r="J22" s="540" t="str">
        <f>IF('[1]Core Assumptions'!$D$28="TBD","TBD",IF(J20-'[1]Core Assumptions'!$D$28&gt;=0,"OK","Below Target"))</f>
        <v>OK</v>
      </c>
      <c r="K22" s="524"/>
      <c r="L22" s="540" t="str">
        <f>IF('[1]Core Assumptions'!$D$28="TBD","TBD",IF(L20-'[1]Core Assumptions'!$D$28&gt;=0,"OK","Below Target"))</f>
        <v>OK</v>
      </c>
      <c r="M22" s="524"/>
      <c r="N22" s="540" t="str">
        <f>IF('[1]Core Assumptions'!$D$28="TBD","TBD",IF(N20-'[1]Core Assumptions'!$D$28&gt;=0,"OK","Below Target"))</f>
        <v>OK</v>
      </c>
      <c r="P22" s="540" t="str">
        <f>IF('[1]Core Assumptions'!$D$28="TBD","TBD",IF(P20-'[1]Core Assumptions'!$D$28&gt;=0,"OK","Below Target"))</f>
        <v>OK</v>
      </c>
      <c r="Q22" s="524"/>
      <c r="R22" s="540" t="str">
        <f>IF('[1]Core Assumptions'!$D$28="TBD","TBD",IF(R20-'[1]Core Assumptions'!$D$28&gt;=0,"OK","Below Target"))</f>
        <v>OK</v>
      </c>
      <c r="S22" s="524"/>
      <c r="T22" s="540" t="str">
        <f>IF('[1]Core Assumptions'!$D$28="TBD","TBD",IF(T20-'[1]Core Assumptions'!$D$28&gt;=0,"OK","Below Target"))</f>
        <v>OK</v>
      </c>
      <c r="V22" s="540" t="str">
        <f>IF('[1]Core Assumptions'!$D$28="TBD","TBD",IF(V20-'[1]Core Assumptions'!$D$28&gt;=0,"OK","Below Target"))</f>
        <v>OK</v>
      </c>
      <c r="W22" s="7"/>
      <c r="X22" s="540" t="str">
        <f>IF('[1]Core Assumptions'!$D$28="TBD","TBD",IF(X20-'[1]Core Assumptions'!$D$28&gt;=0,"OK","Below Target"))</f>
        <v>OK</v>
      </c>
    </row>
    <row r="23" spans="1:26" ht="15" hidden="1" outlineLevel="1" x14ac:dyDescent="0.2">
      <c r="A23" s="161"/>
      <c r="B23" s="2"/>
      <c r="C23" s="2"/>
      <c r="D23" s="162"/>
      <c r="E23" s="162"/>
      <c r="F23" s="162"/>
      <c r="G23" s="162"/>
      <c r="H23" s="162"/>
      <c r="J23" s="162"/>
      <c r="K23" s="162"/>
      <c r="L23" s="162"/>
      <c r="M23" s="162"/>
      <c r="N23" s="162"/>
      <c r="P23" s="162"/>
      <c r="Q23" s="162"/>
      <c r="R23" s="162"/>
      <c r="S23" s="162"/>
      <c r="T23" s="162"/>
      <c r="V23" s="162"/>
    </row>
    <row r="24" spans="1:26" s="7" customFormat="1" ht="17" hidden="1" outlineLevel="1" thickBot="1" x14ac:dyDescent="0.25">
      <c r="A24" s="190" t="s">
        <v>209</v>
      </c>
      <c r="B24" s="541"/>
      <c r="C24" s="541"/>
      <c r="D24" s="542">
        <f>IF(D$10=0,"",D14/D$10)</f>
        <v>1</v>
      </c>
      <c r="F24" s="543">
        <f>IF(F$10=0,"",F14/F$10)</f>
        <v>1</v>
      </c>
      <c r="H24" s="544">
        <f>IF(H$10=0,"",H14/H$10)</f>
        <v>1</v>
      </c>
      <c r="J24" s="542">
        <f>IF(J$10=0,"",J14/J$10)</f>
        <v>1.0043478260869565</v>
      </c>
      <c r="L24" s="543">
        <f>IF(L$10=0,"",L14/L$10)</f>
        <v>1.0043478260869565</v>
      </c>
      <c r="N24" s="544">
        <f>IF(N$10=0,"",N14/N$10)</f>
        <v>1.0043478260869565</v>
      </c>
      <c r="P24" s="542">
        <f>IF(P$10=0,"",P14/P$10)</f>
        <v>1</v>
      </c>
      <c r="R24" s="543">
        <f>IF(R$10=0,"",R14/R$10)</f>
        <v>1</v>
      </c>
      <c r="T24" s="544">
        <f>IF(T$10=0,"",T14/T$10)</f>
        <v>1</v>
      </c>
      <c r="V24" s="545">
        <f>IF(V$10=0,"",V14/V$10)</f>
        <v>0.73262581307771313</v>
      </c>
      <c r="X24" s="546">
        <f>IF(X$10=0,"",X14/X$10)</f>
        <v>1</v>
      </c>
    </row>
    <row r="25" spans="1:26" ht="15" hidden="1" outlineLevel="1" x14ac:dyDescent="0.2">
      <c r="A25" s="161"/>
      <c r="B25" s="2"/>
      <c r="C25" s="2"/>
      <c r="D25" s="162"/>
      <c r="E25" s="162"/>
      <c r="F25" s="162"/>
      <c r="G25" s="162"/>
      <c r="H25" s="162"/>
      <c r="J25" s="162"/>
      <c r="K25" s="162"/>
      <c r="L25" s="162"/>
      <c r="M25" s="162"/>
      <c r="N25" s="162"/>
      <c r="P25" s="162"/>
      <c r="Q25" s="162"/>
      <c r="R25" s="162"/>
      <c r="S25" s="162"/>
      <c r="T25" s="162"/>
    </row>
    <row r="26" spans="1:26" s="7" customFormat="1" ht="17" hidden="1" outlineLevel="1" thickBot="1" x14ac:dyDescent="0.25">
      <c r="A26" s="190" t="s">
        <v>210</v>
      </c>
      <c r="B26" s="541"/>
      <c r="C26" s="541"/>
      <c r="D26" s="542">
        <f>IF(D$12=0,"",D14/D$12)</f>
        <v>1</v>
      </c>
      <c r="F26" s="543">
        <f>IF(F$12=0,"",F14/F$12)</f>
        <v>1</v>
      </c>
      <c r="H26" s="544">
        <f>IF(H$12=0,"",H14/H$12)</f>
        <v>1</v>
      </c>
      <c r="J26" s="542">
        <f>IF(J$12=0,"",J14/J$12)</f>
        <v>1.0043478260869565</v>
      </c>
      <c r="L26" s="543">
        <f>IF(L$12=0,"",L14/L$12)</f>
        <v>1.0043478260869565</v>
      </c>
      <c r="N26" s="544">
        <f>IF(N$12=0,"",N14/N$12)</f>
        <v>1.0043478260869565</v>
      </c>
      <c r="P26" s="542">
        <f>IF(P$12=0,"",P14/P$12)</f>
        <v>1</v>
      </c>
      <c r="R26" s="543">
        <f>IF(R$12=0,"",R14/R$12)</f>
        <v>1</v>
      </c>
      <c r="T26" s="544">
        <f>IF(T$12=0,"",T14/T$12)</f>
        <v>1</v>
      </c>
      <c r="V26" s="545">
        <f>IF(V$12=0,"",V14/V$12)</f>
        <v>0.73262581307771313</v>
      </c>
      <c r="W26" s="2"/>
      <c r="X26" s="546">
        <f>IF(X$12=0,"",X14/X$12)</f>
        <v>1</v>
      </c>
    </row>
    <row r="27" spans="1:26" ht="15" hidden="1" outlineLevel="1" x14ac:dyDescent="0.2">
      <c r="A27" s="161"/>
      <c r="B27" s="2"/>
      <c r="C27" s="2"/>
      <c r="D27" s="162"/>
      <c r="E27" s="162"/>
      <c r="F27" s="162"/>
      <c r="G27" s="162"/>
      <c r="H27" s="162"/>
      <c r="J27" s="162"/>
      <c r="K27" s="162"/>
      <c r="L27" s="162"/>
      <c r="M27" s="162"/>
      <c r="N27" s="162"/>
      <c r="P27" s="162"/>
      <c r="Q27" s="162"/>
      <c r="R27" s="162"/>
      <c r="S27" s="162"/>
      <c r="T27" s="162"/>
    </row>
    <row r="28" spans="1:26" s="7" customFormat="1" ht="17" hidden="1" outlineLevel="1" thickBot="1" x14ac:dyDescent="0.25">
      <c r="A28" s="190" t="s">
        <v>211</v>
      </c>
      <c r="B28" s="541"/>
      <c r="C28" s="541"/>
      <c r="D28" s="547">
        <f>IF(D$8=0,"",D14/D$8)</f>
        <v>575</v>
      </c>
      <c r="F28" s="548">
        <f>IF(F$8=0,"",F14/F$8)</f>
        <v>575</v>
      </c>
      <c r="H28" s="549">
        <f>IF(H$8=0,"",H14/H$8)</f>
        <v>575</v>
      </c>
      <c r="J28" s="547">
        <f>IF(J$8=0,"",J14/J$8)</f>
        <v>577.5</v>
      </c>
      <c r="L28" s="548">
        <f>IF(L$8=0,"",L14/L$8)</f>
        <v>577.5</v>
      </c>
      <c r="N28" s="549">
        <f>IF(N$8=0,"",N14/N$8)</f>
        <v>577.5</v>
      </c>
      <c r="P28" s="547">
        <f>IF(P$8=0,"",P14/P$8)</f>
        <v>575</v>
      </c>
      <c r="R28" s="548">
        <f>IF(R$8=0,"",R14/R$8)</f>
        <v>575</v>
      </c>
      <c r="T28" s="549">
        <f>IF(T$8=0,"",T14/T$8)</f>
        <v>575</v>
      </c>
      <c r="V28" s="550">
        <f>IF(V$8=0,"",V14/V$8)</f>
        <v>421.25984251968504</v>
      </c>
      <c r="W28" s="2"/>
      <c r="X28" s="551">
        <f>IF(X$8=0,"",X14/X$8)</f>
        <v>670</v>
      </c>
    </row>
    <row r="29" spans="1:26" s="524" customFormat="1" ht="19" collapsed="1" x14ac:dyDescent="0.25">
      <c r="A29" s="39" t="s">
        <v>201</v>
      </c>
      <c r="B29" s="526"/>
      <c r="C29" s="526"/>
      <c r="D29" s="2"/>
      <c r="E29" s="162"/>
      <c r="F29" s="2"/>
      <c r="G29" s="162"/>
      <c r="H29" s="2"/>
      <c r="I29" s="2"/>
      <c r="J29" s="2"/>
      <c r="K29" s="162"/>
      <c r="L29" s="2"/>
      <c r="M29" s="162"/>
      <c r="N29" s="2"/>
      <c r="O29" s="2"/>
      <c r="P29" s="2"/>
      <c r="Q29" s="162"/>
      <c r="R29" s="2"/>
      <c r="S29" s="162"/>
      <c r="T29" s="2"/>
      <c r="U29" s="2"/>
      <c r="V29" s="2"/>
      <c r="W29" s="2"/>
      <c r="X29" s="162"/>
      <c r="Z29" s="2"/>
    </row>
    <row r="30" spans="1:26" thickBot="1" x14ac:dyDescent="0.25">
      <c r="A30" s="161"/>
      <c r="B30" s="162"/>
      <c r="C30" s="2"/>
      <c r="E30" s="162"/>
      <c r="G30" s="162"/>
      <c r="K30" s="162"/>
      <c r="M30" s="162"/>
      <c r="Q30" s="162"/>
      <c r="S30" s="162"/>
      <c r="X30" s="162"/>
    </row>
    <row r="31" spans="1:26" ht="23" thickBot="1" x14ac:dyDescent="0.35">
      <c r="A31" s="10" t="s">
        <v>202</v>
      </c>
      <c r="B31" s="521" t="s">
        <v>203</v>
      </c>
      <c r="V31" s="552" t="str">
        <f>IF($B$27="VP Calculation","True","False")</f>
        <v>False</v>
      </c>
      <c r="W31" s="552"/>
    </row>
    <row r="32" spans="1:26" thickBot="1" x14ac:dyDescent="0.25">
      <c r="A32" s="161"/>
      <c r="B32" s="2"/>
      <c r="C32" s="2"/>
      <c r="D32" s="162"/>
      <c r="E32" s="162"/>
      <c r="F32" s="162"/>
      <c r="G32" s="162"/>
      <c r="H32" s="162"/>
      <c r="J32" s="162"/>
      <c r="K32" s="162"/>
      <c r="L32" s="162"/>
      <c r="M32" s="162"/>
      <c r="N32" s="162"/>
      <c r="P32" s="162"/>
      <c r="Q32" s="162"/>
      <c r="R32" s="162"/>
      <c r="S32" s="162"/>
      <c r="T32" s="162"/>
    </row>
    <row r="33" spans="1:26" ht="23" thickBot="1" x14ac:dyDescent="0.35">
      <c r="A33" s="10" t="s">
        <v>204</v>
      </c>
      <c r="B33" s="521" t="s">
        <v>73</v>
      </c>
    </row>
    <row r="34" spans="1:26" ht="15" x14ac:dyDescent="0.2">
      <c r="A34" s="161"/>
      <c r="B34" s="162"/>
      <c r="C34" s="2"/>
      <c r="E34" s="162"/>
      <c r="G34" s="162"/>
      <c r="K34" s="162"/>
      <c r="M34" s="162"/>
      <c r="Q34" s="162"/>
      <c r="S34" s="162"/>
      <c r="X34" s="162"/>
    </row>
    <row r="35" spans="1:26" ht="22" x14ac:dyDescent="0.3">
      <c r="A35" s="10" t="str">
        <f>IF(_xlfn.XLOOKUP("True",'[1]Pricing Summary'!$D$39:$T$39,'[1]Pricing Summary'!$D$20:$T$20)&gt;$V$20,"Margin Meets Benchmark - OK to Proceed","Margin is Below Benchmark - Requires PGL Approval")</f>
        <v>Margin Meets Benchmark - OK to Proceed</v>
      </c>
      <c r="B35" s="162"/>
    </row>
    <row r="36" spans="1:26" ht="19" x14ac:dyDescent="0.25">
      <c r="P36" s="553">
        <f>IF('[1]Pricing Summary'!$B$4="Yes",MROUND('[1]Pricing Calculator'!$BT$192*(1+'[1]Core Assumptions'!$D$26),'[1]Core Assumptions'!$E$24),MROUND('[1]Pricing Calculator'!$BT$192,'[1]Core Assumptions'!$E$24))</f>
        <v>23000</v>
      </c>
      <c r="Q36" s="553"/>
      <c r="R36" s="553">
        <f>IF('[1]Pricing Summary'!$B$4="Yes",MROUND('[1]Pricing Calculator'!$BY$192*(1+'[1]Core Assumptions'!$D$26),'[1]Core Assumptions'!$E$24),MROUND('[1]Pricing Calculator'!$BY$192,'[1]Core Assumptions'!$E$24))</f>
        <v>23000</v>
      </c>
      <c r="T36" s="553">
        <f>IF('[1]Pricing Summary'!$B$4="Yes",MROUND('[1]Pricing Calculator'!$CD$192*(1+'[1]Core Assumptions'!$D$26),'[1]Core Assumptions'!$E$24),MROUND('[1]Pricing Calculator'!$CD$192,'[1]Core Assumptions'!$E$24))</f>
        <v>23000</v>
      </c>
    </row>
    <row r="38" spans="1:26" x14ac:dyDescent="0.2">
      <c r="D38" s="159"/>
      <c r="E38" s="159"/>
      <c r="F38" s="159"/>
      <c r="G38" s="159"/>
      <c r="H38" s="159"/>
      <c r="I38" s="159"/>
      <c r="J38" s="159"/>
      <c r="K38" s="159"/>
      <c r="L38" s="159"/>
      <c r="M38" s="159"/>
      <c r="N38" s="159"/>
      <c r="O38" s="159"/>
      <c r="P38" s="159"/>
      <c r="Q38" s="159"/>
      <c r="R38" s="159"/>
      <c r="S38" s="159"/>
      <c r="T38" s="159"/>
      <c r="U38" s="159"/>
      <c r="V38" s="159"/>
    </row>
    <row r="39" spans="1:26" x14ac:dyDescent="0.2">
      <c r="D39" s="552" t="str">
        <f>IF(AND($B$31="T&amp;M",$B$33="Ultimate"),"True","False")</f>
        <v>False</v>
      </c>
      <c r="E39" s="552"/>
      <c r="F39" s="552" t="str">
        <f>IF(AND($B$31="T&amp;M",$B$33="Enhanced"),"True","False")</f>
        <v>False</v>
      </c>
      <c r="G39" s="552"/>
      <c r="H39" s="552" t="str">
        <f>IF(AND($B$31="T&amp;M",$B$33="Essential"),"True","False")</f>
        <v>False</v>
      </c>
      <c r="I39" s="552"/>
      <c r="J39" s="552" t="str">
        <f>IF(AND($B$31="VP Calculation",$B$33="Ultimate"),"True","False")</f>
        <v>False</v>
      </c>
      <c r="K39" s="552"/>
      <c r="L39" s="552" t="str">
        <f>IF(AND($B$31="VP Calculation",$B$33="Enhanced"),"True","False")</f>
        <v>False</v>
      </c>
      <c r="M39" s="552"/>
      <c r="N39" s="552" t="str">
        <f>IF(AND($B$31="VP Calculation",$B$33="Essential"),"True","False")</f>
        <v>False</v>
      </c>
      <c r="O39" s="552"/>
      <c r="P39" s="552" t="str">
        <f>IF(AND($B$31="Fixed Fee",$B$33="Ultimate"),"True","False")</f>
        <v>True</v>
      </c>
      <c r="Q39" s="552"/>
      <c r="R39" s="552" t="str">
        <f>IF(AND($B$31="Fixed Fee",$B$33="Enhanced"),"True","False")</f>
        <v>False</v>
      </c>
      <c r="S39" s="552"/>
      <c r="T39" s="552" t="str">
        <f>IF(AND($B$31="Fixed Fee",$B$33="Essential"),"True","False")</f>
        <v>False</v>
      </c>
      <c r="U39" s="159"/>
      <c r="V39" s="159"/>
      <c r="Z39" s="552"/>
    </row>
  </sheetData>
  <mergeCells count="2">
    <mergeCell ref="O1:O4"/>
    <mergeCell ref="Z1:Z4"/>
  </mergeCells>
  <conditionalFormatting sqref="A35">
    <cfRule type="expression" dxfId="116" priority="1">
      <formula>$A$35="Margin is Below Benchmark - Requires PGL Approval"</formula>
    </cfRule>
  </conditionalFormatting>
  <conditionalFormatting sqref="D1 R3:R5 T3:T5 D3:D7 F3:F7 H3:H7 J3:J7 L3:L7 N3:N7 P7 R7 T7 F9 H9 J9 L9 N9 P9 R9 T9 D11 F11 H11 J11 L11 N11 P11 R11 T11 D13 F13 H13 J13 L13 N13 P13 R13 T13 D15 F15 H15 J15 L15 N15 P15 R15 T15 D17 F17 H17 J17 L17 N17 P17 R17 T17 D19 F19 H19 J19 L19 N19 P19 R19 T19 D21 F21 H21 J21 L21 N21 P21 R21 T21 D29:D35 F29:F35 H29:H35 J29:J35 L29:L35 N29:N35 P29:P35 R29:R35 T29:T35">
    <cfRule type="expression" dxfId="115" priority="9">
      <formula>D$39="True"</formula>
    </cfRule>
  </conditionalFormatting>
  <conditionalFormatting sqref="D9">
    <cfRule type="expression" dxfId="114" priority="3">
      <formula>D$39="True"</formula>
    </cfRule>
  </conditionalFormatting>
  <conditionalFormatting sqref="D23 F23 H23 J23 L23 N23 P23 R23 T23 D25 F25 H25 J25 L25 N25 P25 R25 T25 D27 F27 H27 J27 L27 N27 P27 R27 T27">
    <cfRule type="expression" dxfId="113" priority="12">
      <formula>D$38="True"</formula>
    </cfRule>
  </conditionalFormatting>
  <conditionalFormatting sqref="F1">
    <cfRule type="expression" dxfId="112" priority="8">
      <formula>F$39="True"</formula>
    </cfRule>
  </conditionalFormatting>
  <conditionalFormatting sqref="H1">
    <cfRule type="expression" dxfId="111" priority="7">
      <formula>H$39="True"</formula>
    </cfRule>
  </conditionalFormatting>
  <conditionalFormatting sqref="J1">
    <cfRule type="expression" dxfId="110" priority="6">
      <formula>J$39="True"</formula>
    </cfRule>
  </conditionalFormatting>
  <conditionalFormatting sqref="L1">
    <cfRule type="expression" dxfId="109" priority="5">
      <formula>L$39="True"</formula>
    </cfRule>
  </conditionalFormatting>
  <conditionalFormatting sqref="N1">
    <cfRule type="expression" dxfId="108" priority="4">
      <formula>N$39="True"</formula>
    </cfRule>
  </conditionalFormatting>
  <conditionalFormatting sqref="P1">
    <cfRule type="expression" dxfId="107" priority="15">
      <formula>P$39="True"</formula>
    </cfRule>
  </conditionalFormatting>
  <conditionalFormatting sqref="P3:P5">
    <cfRule type="expression" dxfId="106" priority="16">
      <formula>P$39="True"</formula>
    </cfRule>
  </conditionalFormatting>
  <conditionalFormatting sqref="R1">
    <cfRule type="expression" dxfId="105" priority="14">
      <formula>R$39="True"</formula>
    </cfRule>
  </conditionalFormatting>
  <conditionalFormatting sqref="T1">
    <cfRule type="expression" dxfId="104" priority="13">
      <formula>T$39="True"</formula>
    </cfRule>
  </conditionalFormatting>
  <conditionalFormatting sqref="V3:V7 V25 V27">
    <cfRule type="expression" dxfId="103" priority="11">
      <formula>V$31="True"</formula>
    </cfRule>
  </conditionalFormatting>
  <conditionalFormatting sqref="V9 V11 V15 V17 V19 V21">
    <cfRule type="expression" dxfId="102" priority="2">
      <formula>V$31="True"</formula>
    </cfRule>
  </conditionalFormatting>
  <conditionalFormatting sqref="V23">
    <cfRule type="expression" dxfId="101" priority="10">
      <formula>V$30="True"</formula>
    </cfRule>
  </conditionalFormatting>
  <dataValidations count="4">
    <dataValidation type="list" allowBlank="1" showInputMessage="1" showErrorMessage="1" sqref="B4" xr:uid="{5E2DB470-77F3-8844-8341-858F1DFE6C93}">
      <formula1>"Yes, No"</formula1>
    </dataValidation>
    <dataValidation type="list" allowBlank="1" showInputMessage="1" showErrorMessage="1" sqref="B31" xr:uid="{74E9CE45-B88A-0A48-8E3E-C4483D303CA0}">
      <formula1>"T&amp;M, Fixed Fee"</formula1>
    </dataValidation>
    <dataValidation type="list" allowBlank="1" showInputMessage="1" showErrorMessage="1" sqref="B33" xr:uid="{C01A452C-E432-9C4F-A46B-A691D03BC791}">
      <formula1>"Ultimate, Enhanced, Essential"</formula1>
    </dataValidation>
    <dataValidation type="decimal" operator="greaterThanOrEqual" allowBlank="1" showInputMessage="1" showErrorMessage="1" sqref="J6:N6 X6 S5:T5 K5 M5:N5 Q5 P6:T6 G5:H5 D6:H6 E5 K8:K19 M8:N19 Q8:Q19 S8:T19 E8:E19 G8:H19 G28:H28 E28 S28:T28 Q28 M28:N28 K28 V6" xr:uid="{C3A62958-6C76-E146-A6FA-DCF0614F82B9}">
      <formula1>0</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09124-EBA1-0542-ABEE-9CA2E323F9ED}">
  <dimension ref="A1:AE154"/>
  <sheetViews>
    <sheetView topLeftCell="A13" workbookViewId="0">
      <selection activeCell="M116" sqref="M116"/>
    </sheetView>
  </sheetViews>
  <sheetFormatPr baseColWidth="10" defaultColWidth="6.6640625" defaultRowHeight="15" outlineLevelRow="1" outlineLevelCol="1" x14ac:dyDescent="0.2"/>
  <cols>
    <col min="1" max="1" width="3.5" style="11" customWidth="1"/>
    <col min="2" max="2" width="60.83203125" style="2" customWidth="1"/>
    <col min="3" max="3" width="16.6640625" style="2" customWidth="1"/>
    <col min="4" max="4" width="2.6640625" style="2" customWidth="1"/>
    <col min="5" max="5" width="6.5" style="2" customWidth="1"/>
    <col min="6" max="26" width="6.6640625" style="2"/>
    <col min="27" max="27" width="2.6640625" style="2" customWidth="1"/>
    <col min="28" max="30" width="9.83203125" style="2" hidden="1" customWidth="1" outlineLevel="1"/>
    <col min="31" max="31" width="9.83203125" style="2" customWidth="1" collapsed="1"/>
    <col min="32" max="16384" width="6.6640625" style="2"/>
  </cols>
  <sheetData>
    <row r="1" spans="1:31" s="65" customFormat="1" ht="27" customHeight="1" thickBot="1" x14ac:dyDescent="0.4">
      <c r="A1" s="1" t="str">
        <f>IF('[1]Core Assumptions'!D5="","",'[1]Core Assumptions'!D5)</f>
        <v>Ted Black Tax Return</v>
      </c>
      <c r="D1" s="66"/>
      <c r="E1" s="67"/>
      <c r="F1" s="68"/>
      <c r="G1" s="68"/>
      <c r="H1" s="68"/>
      <c r="I1" s="68"/>
      <c r="J1" s="68"/>
      <c r="K1" s="68"/>
      <c r="L1" s="68"/>
      <c r="M1" s="68"/>
      <c r="N1" s="68"/>
      <c r="O1" s="69" t="str">
        <f>IF(OR('[1]Core Assumptions'!$D$17="No",'[1]Core Assumptions'!$D$18="No"),"Check that Offshoring is Available &amp; Acceptable","")</f>
        <v/>
      </c>
      <c r="P1" s="68"/>
      <c r="Q1" s="68"/>
      <c r="R1" s="68"/>
      <c r="S1" s="68"/>
      <c r="T1" s="68"/>
      <c r="U1" s="68"/>
      <c r="V1" s="68"/>
      <c r="W1" s="68"/>
      <c r="X1" s="68"/>
      <c r="Y1" s="68"/>
      <c r="Z1" s="68"/>
      <c r="AB1" s="67"/>
      <c r="AC1" s="67"/>
      <c r="AD1" s="67"/>
      <c r="AE1" s="67"/>
    </row>
    <row r="2" spans="1:31" s="65" customFormat="1" ht="21" customHeight="1" x14ac:dyDescent="0.3">
      <c r="A2" s="80"/>
      <c r="B2" s="81"/>
      <c r="D2" s="66"/>
      <c r="E2" s="554" t="s">
        <v>77</v>
      </c>
      <c r="F2" s="555" t="s">
        <v>78</v>
      </c>
      <c r="G2" s="555" t="s">
        <v>79</v>
      </c>
      <c r="H2" s="555" t="s">
        <v>80</v>
      </c>
      <c r="I2" s="555" t="s">
        <v>81</v>
      </c>
      <c r="J2" s="555" t="s">
        <v>82</v>
      </c>
      <c r="K2" s="555" t="s">
        <v>83</v>
      </c>
      <c r="L2" s="555" t="s">
        <v>84</v>
      </c>
      <c r="M2" s="555" t="s">
        <v>85</v>
      </c>
      <c r="N2" s="555" t="s">
        <v>86</v>
      </c>
      <c r="O2" s="556" t="s">
        <v>79</v>
      </c>
      <c r="P2" s="555" t="s">
        <v>80</v>
      </c>
      <c r="Q2" s="555" t="s">
        <v>81</v>
      </c>
      <c r="R2" s="555" t="s">
        <v>82</v>
      </c>
      <c r="S2" s="555" t="s">
        <v>83</v>
      </c>
      <c r="T2" s="555" t="s">
        <v>84</v>
      </c>
      <c r="U2" s="557" t="s">
        <v>85</v>
      </c>
      <c r="V2" s="555" t="s">
        <v>77</v>
      </c>
      <c r="W2" s="555" t="s">
        <v>79</v>
      </c>
      <c r="X2" s="555" t="s">
        <v>81</v>
      </c>
      <c r="Y2" s="558" t="s">
        <v>83</v>
      </c>
      <c r="Z2" s="89" t="s">
        <v>212</v>
      </c>
      <c r="AB2" s="559" t="s">
        <v>213</v>
      </c>
      <c r="AC2" s="559" t="s">
        <v>214</v>
      </c>
      <c r="AD2" s="559" t="s">
        <v>215</v>
      </c>
      <c r="AE2" s="95" t="s">
        <v>216</v>
      </c>
    </row>
    <row r="3" spans="1:31" ht="63" customHeight="1" thickBot="1" x14ac:dyDescent="0.35">
      <c r="A3" s="116" t="str">
        <f>'[1]Core Assumptions'!A2</f>
        <v>Scoping and Pricing Calculator - Tax PHB Clients</v>
      </c>
      <c r="B3" s="64"/>
      <c r="C3" s="65"/>
      <c r="D3" s="66"/>
      <c r="E3" s="560"/>
      <c r="F3" s="561"/>
      <c r="G3" s="561"/>
      <c r="H3" s="561"/>
      <c r="I3" s="561"/>
      <c r="J3" s="561"/>
      <c r="K3" s="561"/>
      <c r="L3" s="561"/>
      <c r="M3" s="561"/>
      <c r="N3" s="561"/>
      <c r="O3" s="562"/>
      <c r="P3" s="561"/>
      <c r="Q3" s="561"/>
      <c r="R3" s="561"/>
      <c r="S3" s="561"/>
      <c r="T3" s="561"/>
      <c r="U3" s="563"/>
      <c r="V3" s="561"/>
      <c r="W3" s="561"/>
      <c r="X3" s="561"/>
      <c r="Y3" s="564"/>
      <c r="Z3" s="125"/>
      <c r="AB3" s="565"/>
      <c r="AC3" s="565"/>
      <c r="AD3" s="565"/>
      <c r="AE3" s="131"/>
    </row>
    <row r="4" spans="1:31" ht="24" customHeight="1" x14ac:dyDescent="0.25">
      <c r="B4" s="553"/>
      <c r="C4" s="553"/>
      <c r="D4" s="66"/>
      <c r="E4" s="153" t="e" vm="1">
        <v>#VALUE!</v>
      </c>
      <c r="F4" s="153" t="e" vm="1">
        <v>#VALUE!</v>
      </c>
      <c r="G4" s="153" t="e" vm="1">
        <v>#VALUE!</v>
      </c>
      <c r="H4" s="153" t="e" vm="1">
        <v>#VALUE!</v>
      </c>
      <c r="I4" s="153" t="e" vm="1">
        <v>#VALUE!</v>
      </c>
      <c r="J4" s="153" t="e" vm="1">
        <v>#VALUE!</v>
      </c>
      <c r="K4" s="153" t="e" vm="1">
        <v>#VALUE!</v>
      </c>
      <c r="L4" s="153" t="e" vm="1">
        <v>#VALUE!</v>
      </c>
      <c r="M4" s="153" t="e" vm="1">
        <v>#VALUE!</v>
      </c>
      <c r="N4" s="153" t="e" vm="1">
        <v>#VALUE!</v>
      </c>
      <c r="O4" s="154" t="e" vm="2">
        <v>#VALUE!</v>
      </c>
      <c r="P4" s="154" t="e" vm="2">
        <v>#VALUE!</v>
      </c>
      <c r="Q4" s="154" t="e" vm="2">
        <v>#VALUE!</v>
      </c>
      <c r="R4" s="154" t="e" vm="2">
        <v>#VALUE!</v>
      </c>
      <c r="S4" s="154" t="e" vm="2">
        <v>#VALUE!</v>
      </c>
      <c r="T4" s="154" t="e" vm="2">
        <v>#VALUE!</v>
      </c>
      <c r="U4" s="154" t="e" vm="2">
        <v>#VALUE!</v>
      </c>
      <c r="V4" s="154" t="e" vm="3">
        <v>#VALUE!</v>
      </c>
      <c r="W4" s="154" t="e" vm="3">
        <v>#VALUE!</v>
      </c>
      <c r="X4" s="154" t="e" vm="3">
        <v>#VALUE!</v>
      </c>
      <c r="Y4" s="154" t="e" vm="3">
        <v>#VALUE!</v>
      </c>
      <c r="Z4" s="154"/>
      <c r="AB4" s="153"/>
      <c r="AC4" s="153"/>
      <c r="AD4" s="153"/>
    </row>
    <row r="5" spans="1:31" ht="8.25" customHeight="1" x14ac:dyDescent="0.2">
      <c r="A5" s="160"/>
      <c r="B5" s="161"/>
      <c r="C5" s="161"/>
      <c r="D5" s="162"/>
      <c r="V5" s="154"/>
    </row>
    <row r="6" spans="1:31" ht="23.25" customHeight="1" x14ac:dyDescent="0.3">
      <c r="A6" s="160"/>
      <c r="B6" s="10" t="s">
        <v>217</v>
      </c>
      <c r="C6" s="235"/>
      <c r="D6" s="162"/>
      <c r="E6" s="236"/>
      <c r="O6" s="69"/>
      <c r="AB6" s="236"/>
      <c r="AC6" s="236"/>
      <c r="AD6" s="236"/>
    </row>
    <row r="7" spans="1:31" ht="19" x14ac:dyDescent="0.25">
      <c r="B7" s="566" t="s">
        <v>218</v>
      </c>
      <c r="C7" s="567" t="str">
        <f>'[1]Pricing Summary'!B31</f>
        <v>Fixed Fee</v>
      </c>
    </row>
    <row r="8" spans="1:31" ht="19" x14ac:dyDescent="0.25">
      <c r="B8" s="566" t="s">
        <v>219</v>
      </c>
      <c r="C8" s="568">
        <f>Z112</f>
        <v>40</v>
      </c>
    </row>
    <row r="9" spans="1:31" ht="19" x14ac:dyDescent="0.25">
      <c r="B9" s="566" t="s">
        <v>220</v>
      </c>
      <c r="C9" s="569">
        <f>IF('[1]Pricing Summary'!B4="No",_xlfn.XLOOKUP("True",'[1]Pricing Summary'!$D$39:$T$39,'[1]Pricing Summary'!$D$14:$T$14),_xlfn.XLOOKUP("True",'[1]Pricing Summary'!$D$39:$T$39,'[1]Pricing Summary'!$D$16:$T$16))</f>
        <v>23000</v>
      </c>
    </row>
    <row r="10" spans="1:31" ht="19" x14ac:dyDescent="0.25">
      <c r="B10" s="566" t="s">
        <v>221</v>
      </c>
      <c r="C10" s="570">
        <f>_xlfn.XLOOKUP("True",'[1]Pricing Summary'!$D$39:$T$39,'[1]Pricing Summary'!$D$24:$T$24)</f>
        <v>1</v>
      </c>
    </row>
    <row r="11" spans="1:31" ht="19" x14ac:dyDescent="0.25">
      <c r="A11" s="2"/>
      <c r="B11" s="566" t="s">
        <v>222</v>
      </c>
      <c r="C11" s="570">
        <f>ROUND(CEILING(C10,0.05),2)</f>
        <v>1</v>
      </c>
    </row>
    <row r="12" spans="1:31" ht="19" x14ac:dyDescent="0.25">
      <c r="B12" s="566" t="s">
        <v>223</v>
      </c>
      <c r="C12" s="570">
        <f>_xlfn.XLOOKUP("True",'[1]Pricing Summary'!$D$39:$T$39,'[1]Pricing Summary'!$D$20:$T$20)</f>
        <v>0.81391304347826088</v>
      </c>
    </row>
    <row r="13" spans="1:31" ht="19" x14ac:dyDescent="0.25">
      <c r="B13" s="566" t="s">
        <v>224</v>
      </c>
      <c r="C13" s="570">
        <f>'[1]Core Assumptions'!D26</f>
        <v>7.0000000000000007E-2</v>
      </c>
    </row>
    <row r="14" spans="1:31" ht="19" x14ac:dyDescent="0.25">
      <c r="B14" s="566" t="s">
        <v>196</v>
      </c>
      <c r="C14" s="570" t="str">
        <f>'[1]Pricing Summary'!B4</f>
        <v>No</v>
      </c>
    </row>
    <row r="15" spans="1:31" ht="37" x14ac:dyDescent="0.45">
      <c r="B15" s="571" t="str">
        <f>IF(ROUND(Z68,1)+ROUND(AE68,0)=0,"","Validation Error - Check Row 67")</f>
        <v/>
      </c>
      <c r="C15" s="572"/>
    </row>
    <row r="16" spans="1:31" ht="19" x14ac:dyDescent="0.25">
      <c r="B16" s="573" t="str">
        <f>IF('[1]Pricing Summary'!A35="Margin is Below Benchmark - Requires PGL Approval","Margin is Below Benchmark - Requires PGL Approval","")</f>
        <v/>
      </c>
      <c r="C16" s="572"/>
    </row>
    <row r="17" spans="1:29" ht="8.25" customHeight="1" x14ac:dyDescent="0.2">
      <c r="A17" s="160"/>
      <c r="B17" s="161"/>
      <c r="C17" s="161"/>
      <c r="D17" s="162"/>
      <c r="AB17" s="574"/>
      <c r="AC17" s="574"/>
    </row>
    <row r="18" spans="1:29" ht="23.25" hidden="1" customHeight="1" outlineLevel="1" x14ac:dyDescent="0.3">
      <c r="A18" s="160"/>
      <c r="B18" s="10" t="s">
        <v>225</v>
      </c>
      <c r="C18" s="235"/>
      <c r="D18" s="162"/>
      <c r="E18" s="236"/>
      <c r="O18" s="69"/>
      <c r="AB18" s="575"/>
      <c r="AC18" s="575"/>
    </row>
    <row r="19" spans="1:29" ht="15.75" hidden="1" customHeight="1" outlineLevel="1" x14ac:dyDescent="0.2">
      <c r="A19" s="242">
        <v>1</v>
      </c>
      <c r="B19" s="576" t="str">
        <f>IF('[1]Core Assumptions'!B32="","",CONCATENATE("Entity - ",'[1]Core Assumptions'!B32))</f>
        <v>Entity - A Business</v>
      </c>
      <c r="C19" s="577" t="str">
        <f>IF('[1]Core Assumptions'!B32="","",'[1]Core Assumptions'!B32)</f>
        <v>A Business</v>
      </c>
      <c r="D19" s="245" t="s">
        <v>11</v>
      </c>
      <c r="E19" s="578" cm="1">
        <f t="array" ref="E19">IF($C19="",0,SUMPRODUCT(--('[1]Pricing Calculator'!$C$17:$C$187=$C19),'[1]Pricing Calculator'!$I$17:$I$187,'[1]Pricing Calculator'!K$17:K$187,'[1]Pricing Calculator'!$AG$17:$AG$187))</f>
        <v>0</v>
      </c>
      <c r="F19" s="579" cm="1">
        <f t="array" ref="F19">IF($C19="",0,SUMPRODUCT(--('[1]Pricing Calculator'!$C$17:$C$187=$C19),'[1]Pricing Calculator'!$I$17:$I$187,'[1]Pricing Calculator'!L$17:L$187,'[1]Pricing Calculator'!$AG$17:$AG$187))</f>
        <v>0</v>
      </c>
      <c r="G19" s="579" cm="1">
        <f t="array" ref="G19">IF($C19="",0,SUMPRODUCT(--('[1]Pricing Calculator'!$C$17:$C$187=$C19),'[1]Pricing Calculator'!$I$17:$I$187,'[1]Pricing Calculator'!M$17:M$187,'[1]Pricing Calculator'!$AG$17:$AG$187))</f>
        <v>0</v>
      </c>
      <c r="H19" s="579" cm="1">
        <f t="array" ref="H19">IF($C19="",0,SUMPRODUCT(--('[1]Pricing Calculator'!$C$17:$C$187=$C19),'[1]Pricing Calculator'!$I$17:$I$187,'[1]Pricing Calculator'!N$17:N$187,'[1]Pricing Calculator'!$AG$17:$AG$187))</f>
        <v>0</v>
      </c>
      <c r="I19" s="579" cm="1">
        <f t="array" ref="I19">IF($C19="",0,SUMPRODUCT(--('[1]Pricing Calculator'!$C$17:$C$187=$C19),'[1]Pricing Calculator'!$I$17:$I$187,'[1]Pricing Calculator'!O$17:O$187,'[1]Pricing Calculator'!$AG$17:$AG$187))</f>
        <v>0</v>
      </c>
      <c r="J19" s="579" cm="1">
        <f t="array" ref="J19">IF($C19="",0,SUMPRODUCT(--('[1]Pricing Calculator'!$C$17:$C$187=$C19),'[1]Pricing Calculator'!$I$17:$I$187,'[1]Pricing Calculator'!P$17:P$187,'[1]Pricing Calculator'!$AG$17:$AG$187))</f>
        <v>0</v>
      </c>
      <c r="K19" s="579" cm="1">
        <f t="array" ref="K19">IF($C19="",0,SUMPRODUCT(--('[1]Pricing Calculator'!$C$17:$C$187=$C19),'[1]Pricing Calculator'!$I$17:$I$187,'[1]Pricing Calculator'!Q$17:Q$187,'[1]Pricing Calculator'!$AG$17:$AG$187))</f>
        <v>0</v>
      </c>
      <c r="L19" s="579" cm="1">
        <f t="array" ref="L19">IF($C19="",0,SUMPRODUCT(--('[1]Pricing Calculator'!$C$17:$C$187=$C19),'[1]Pricing Calculator'!$I$17:$I$187,'[1]Pricing Calculator'!R$17:R$187,'[1]Pricing Calculator'!$AG$17:$AG$187))</f>
        <v>10</v>
      </c>
      <c r="M19" s="579" cm="1">
        <f t="array" ref="M19">IF($C19="",0,SUMPRODUCT(--('[1]Pricing Calculator'!$C$17:$C$187=$C19),'[1]Pricing Calculator'!$I$17:$I$187,'[1]Pricing Calculator'!S$17:S$187,'[1]Pricing Calculator'!$AG$17:$AG$187))</f>
        <v>0</v>
      </c>
      <c r="N19" s="579" cm="1">
        <f t="array" ref="N19">IF($C19="",0,SUMPRODUCT(--('[1]Pricing Calculator'!$C$17:$C$187=$C19),'[1]Pricing Calculator'!$I$17:$I$187,'[1]Pricing Calculator'!T$17:T$187,'[1]Pricing Calculator'!$AG$17:$AG$187))</f>
        <v>0</v>
      </c>
      <c r="O19" s="578" cm="1">
        <f t="array" ref="O19">IF($C19="",0,SUMPRODUCT(--('[1]Pricing Calculator'!$C$17:$C$187=$C19),'[1]Pricing Calculator'!$I$17:$I$187,'[1]Pricing Calculator'!U$17:U$187,'[1]Pricing Calculator'!$AG$17:$AG$187))</f>
        <v>0</v>
      </c>
      <c r="P19" s="579" cm="1">
        <f t="array" ref="P19">IF($C19="",0,SUMPRODUCT(--('[1]Pricing Calculator'!$C$17:$C$187=$C19),'[1]Pricing Calculator'!$I$17:$I$187,'[1]Pricing Calculator'!V$17:V$187,'[1]Pricing Calculator'!$AG$17:$AG$187))</f>
        <v>0</v>
      </c>
      <c r="Q19" s="579" cm="1">
        <f t="array" ref="Q19">IF($C19="",0,SUMPRODUCT(--('[1]Pricing Calculator'!$C$17:$C$187=$C19),'[1]Pricing Calculator'!$I$17:$I$187,'[1]Pricing Calculator'!W$17:W$187,'[1]Pricing Calculator'!$AG$17:$AG$187))</f>
        <v>0</v>
      </c>
      <c r="R19" s="579" cm="1">
        <f t="array" ref="R19">IF($C19="",0,SUMPRODUCT(--('[1]Pricing Calculator'!$C$17:$C$187=$C19),'[1]Pricing Calculator'!$I$17:$I$187,'[1]Pricing Calculator'!X$17:X$187,'[1]Pricing Calculator'!$AG$17:$AG$187))</f>
        <v>0</v>
      </c>
      <c r="S19" s="579" cm="1">
        <f t="array" ref="S19">IF($C19="",0,SUMPRODUCT(--('[1]Pricing Calculator'!$C$17:$C$187=$C19),'[1]Pricing Calculator'!$I$17:$I$187,'[1]Pricing Calculator'!Y$17:Y$187,'[1]Pricing Calculator'!$AG$17:$AG$187))</f>
        <v>0</v>
      </c>
      <c r="T19" s="579" cm="1">
        <f t="array" ref="T19">IF($C19="",0,SUMPRODUCT(--('[1]Pricing Calculator'!$C$17:$C$187=$C19),'[1]Pricing Calculator'!$I$17:$I$187,'[1]Pricing Calculator'!Z$17:Z$187,'[1]Pricing Calculator'!$AG$17:$AG$187))</f>
        <v>0</v>
      </c>
      <c r="U19" s="580" cm="1">
        <f t="array" ref="U19">IF($C19="",0,SUMPRODUCT(--('[1]Pricing Calculator'!$C$17:$C$187=$C19),'[1]Pricing Calculator'!$I$17:$I$187,'[1]Pricing Calculator'!AA$17:AA$187,'[1]Pricing Calculator'!$AG$17:$AG$187))</f>
        <v>0</v>
      </c>
      <c r="V19" s="578" cm="1">
        <f t="array" ref="V19">IF($C19="",0,SUMPRODUCT(--('[1]Pricing Calculator'!$C$17:$C$187=$C19),'[1]Pricing Calculator'!$I$17:$I$187,'[1]Pricing Calculator'!AB$17:AB$187,'[1]Pricing Calculator'!$AG$17:$AG$187))</f>
        <v>0</v>
      </c>
      <c r="W19" s="579" cm="1">
        <f t="array" ref="W19">IF($C19="",0,SUMPRODUCT(--('[1]Pricing Calculator'!$C$17:$C$187=$C19),'[1]Pricing Calculator'!$I$17:$I$187,'[1]Pricing Calculator'!AC$17:AC$187,'[1]Pricing Calculator'!$AG$17:$AG$187))</f>
        <v>0</v>
      </c>
      <c r="X19" s="579" cm="1">
        <f t="array" ref="X19">IF($C19="",0,SUMPRODUCT(--('[1]Pricing Calculator'!$C$17:$C$187=$C19),'[1]Pricing Calculator'!$I$17:$I$187,'[1]Pricing Calculator'!AD$17:AD$187,'[1]Pricing Calculator'!$AG$17:$AG$187))</f>
        <v>0</v>
      </c>
      <c r="Y19" s="580" cm="1">
        <f t="array" ref="Y19">IF($C19="",0,SUMPRODUCT(--('[1]Pricing Calculator'!$C$17:$C$187=$C19),'[1]Pricing Calculator'!$I$17:$I$187,'[1]Pricing Calculator'!AE$17:AE$187,'[1]Pricing Calculator'!$AG$17:$AG$187))</f>
        <v>0</v>
      </c>
      <c r="Z19" s="580">
        <f t="shared" ref="Z19:Z58" si="0">SUM(E19:Y19)</f>
        <v>10</v>
      </c>
      <c r="AB19" s="581" cm="1">
        <f t="array" ref="AB19">IF($C19="",0,SUMPRODUCT(--('[1]Pricing Calculator'!$C$17:$C$187=$C19),'[1]Pricing Calculator'!$I$17:$I$187,'[1]Pricing Calculator'!AM$17:AM$187,'[1]Pricing Calculator'!$AG$17:$AG$187))*IF('[1]Pricing Summary'!$B$4="Yes",1+'[1]Core Assumptions'!$D$26,1)</f>
        <v>5750</v>
      </c>
      <c r="AC19" s="581" cm="1">
        <f t="array" ref="AC19">IF($C19="",0,SUMPRODUCT(--('[1]Pricing Calculator'!$C$17:$C$187=$C19),'[1]Pricing Calculator'!$I$17:$I$187,'[1]Pricing Calculator'!AO$17:AO$187,'[1]Pricing Calculator'!$AG$17:$AG$187))*IF('[1]Pricing Summary'!$B$4="Yes",1+'[1]Core Assumptions'!$D$26,1)</f>
        <v>5700</v>
      </c>
    </row>
    <row r="20" spans="1:29" ht="15.75" hidden="1" customHeight="1" outlineLevel="1" x14ac:dyDescent="0.2">
      <c r="A20" s="242">
        <v>2</v>
      </c>
      <c r="B20" s="582" t="str">
        <f>IF('[1]Core Assumptions'!B33="","",CONCATENATE("Entity - ",'[1]Core Assumptions'!B33))</f>
        <v>Entity - B Corp</v>
      </c>
      <c r="C20" s="583" t="str">
        <f>IF('[1]Core Assumptions'!B33="","",'[1]Core Assumptions'!B33)</f>
        <v>B Corp</v>
      </c>
      <c r="D20" s="245" t="s">
        <v>11</v>
      </c>
      <c r="E20" s="584" cm="1">
        <f t="array" ref="E20">IF($C20="",0,SUMPRODUCT(--('[1]Pricing Calculator'!$C$17:$C$187=$C20),'[1]Pricing Calculator'!$I$17:$I$187,'[1]Pricing Calculator'!K$17:K$187,'[1]Pricing Calculator'!$AG$17:$AG$187))</f>
        <v>0</v>
      </c>
      <c r="F20" s="585" cm="1">
        <f t="array" ref="F20">IF($C20="",0,SUMPRODUCT(--('[1]Pricing Calculator'!$C$17:$C$187=$C20),'[1]Pricing Calculator'!$I$17:$I$187,'[1]Pricing Calculator'!L$17:L$187,'[1]Pricing Calculator'!$AG$17:$AG$187))</f>
        <v>0</v>
      </c>
      <c r="G20" s="585" cm="1">
        <f t="array" ref="G20">IF($C20="",0,SUMPRODUCT(--('[1]Pricing Calculator'!$C$17:$C$187=$C20),'[1]Pricing Calculator'!$I$17:$I$187,'[1]Pricing Calculator'!M$17:M$187,'[1]Pricing Calculator'!$AG$17:$AG$187))</f>
        <v>0</v>
      </c>
      <c r="H20" s="585" cm="1">
        <f t="array" ref="H20">IF($C20="",0,SUMPRODUCT(--('[1]Pricing Calculator'!$C$17:$C$187=$C20),'[1]Pricing Calculator'!$I$17:$I$187,'[1]Pricing Calculator'!N$17:N$187,'[1]Pricing Calculator'!$AG$17:$AG$187))</f>
        <v>0</v>
      </c>
      <c r="I20" s="585" cm="1">
        <f t="array" ref="I20">IF($C20="",0,SUMPRODUCT(--('[1]Pricing Calculator'!$C$17:$C$187=$C20),'[1]Pricing Calculator'!$I$17:$I$187,'[1]Pricing Calculator'!O$17:O$187,'[1]Pricing Calculator'!$AG$17:$AG$187))</f>
        <v>0</v>
      </c>
      <c r="J20" s="585" cm="1">
        <f t="array" ref="J20">IF($C20="",0,SUMPRODUCT(--('[1]Pricing Calculator'!$C$17:$C$187=$C20),'[1]Pricing Calculator'!$I$17:$I$187,'[1]Pricing Calculator'!P$17:P$187,'[1]Pricing Calculator'!$AG$17:$AG$187))</f>
        <v>0</v>
      </c>
      <c r="K20" s="585" cm="1">
        <f t="array" ref="K20">IF($C20="",0,SUMPRODUCT(--('[1]Pricing Calculator'!$C$17:$C$187=$C20),'[1]Pricing Calculator'!$I$17:$I$187,'[1]Pricing Calculator'!Q$17:Q$187,'[1]Pricing Calculator'!$AG$17:$AG$187))</f>
        <v>0</v>
      </c>
      <c r="L20" s="585" cm="1">
        <f t="array" ref="L20">IF($C20="",0,SUMPRODUCT(--('[1]Pricing Calculator'!$C$17:$C$187=$C20),'[1]Pricing Calculator'!$I$17:$I$187,'[1]Pricing Calculator'!R$17:R$187,'[1]Pricing Calculator'!$AG$17:$AG$187))</f>
        <v>10</v>
      </c>
      <c r="M20" s="585" cm="1">
        <f t="array" ref="M20">IF($C20="",0,SUMPRODUCT(--('[1]Pricing Calculator'!$C$17:$C$187=$C20),'[1]Pricing Calculator'!$I$17:$I$187,'[1]Pricing Calculator'!S$17:S$187,'[1]Pricing Calculator'!$AG$17:$AG$187))</f>
        <v>0</v>
      </c>
      <c r="N20" s="585" cm="1">
        <f t="array" ref="N20">IF($C20="",0,SUMPRODUCT(--('[1]Pricing Calculator'!$C$17:$C$187=$C20),'[1]Pricing Calculator'!$I$17:$I$187,'[1]Pricing Calculator'!T$17:T$187,'[1]Pricing Calculator'!$AG$17:$AG$187))</f>
        <v>0</v>
      </c>
      <c r="O20" s="584" cm="1">
        <f t="array" ref="O20">IF($C20="",0,SUMPRODUCT(--('[1]Pricing Calculator'!$C$17:$C$187=$C20),'[1]Pricing Calculator'!$I$17:$I$187,'[1]Pricing Calculator'!U$17:U$187,'[1]Pricing Calculator'!$AG$17:$AG$187))</f>
        <v>0</v>
      </c>
      <c r="P20" s="585" cm="1">
        <f t="array" ref="P20">IF($C20="",0,SUMPRODUCT(--('[1]Pricing Calculator'!$C$17:$C$187=$C20),'[1]Pricing Calculator'!$I$17:$I$187,'[1]Pricing Calculator'!V$17:V$187,'[1]Pricing Calculator'!$AG$17:$AG$187))</f>
        <v>0</v>
      </c>
      <c r="Q20" s="585" cm="1">
        <f t="array" ref="Q20">IF($C20="",0,SUMPRODUCT(--('[1]Pricing Calculator'!$C$17:$C$187=$C20),'[1]Pricing Calculator'!$I$17:$I$187,'[1]Pricing Calculator'!W$17:W$187,'[1]Pricing Calculator'!$AG$17:$AG$187))</f>
        <v>0</v>
      </c>
      <c r="R20" s="585" cm="1">
        <f t="array" ref="R20">IF($C20="",0,SUMPRODUCT(--('[1]Pricing Calculator'!$C$17:$C$187=$C20),'[1]Pricing Calculator'!$I$17:$I$187,'[1]Pricing Calculator'!X$17:X$187,'[1]Pricing Calculator'!$AG$17:$AG$187))</f>
        <v>0</v>
      </c>
      <c r="S20" s="585" cm="1">
        <f t="array" ref="S20">IF($C20="",0,SUMPRODUCT(--('[1]Pricing Calculator'!$C$17:$C$187=$C20),'[1]Pricing Calculator'!$I$17:$I$187,'[1]Pricing Calculator'!Y$17:Y$187,'[1]Pricing Calculator'!$AG$17:$AG$187))</f>
        <v>0</v>
      </c>
      <c r="T20" s="585" cm="1">
        <f t="array" ref="T20">IF($C20="",0,SUMPRODUCT(--('[1]Pricing Calculator'!$C$17:$C$187=$C20),'[1]Pricing Calculator'!$I$17:$I$187,'[1]Pricing Calculator'!Z$17:Z$187,'[1]Pricing Calculator'!$AG$17:$AG$187))</f>
        <v>0</v>
      </c>
      <c r="U20" s="586" cm="1">
        <f t="array" ref="U20">IF($C20="",0,SUMPRODUCT(--('[1]Pricing Calculator'!$C$17:$C$187=$C20),'[1]Pricing Calculator'!$I$17:$I$187,'[1]Pricing Calculator'!AA$17:AA$187,'[1]Pricing Calculator'!$AG$17:$AG$187))</f>
        <v>0</v>
      </c>
      <c r="V20" s="584" cm="1">
        <f t="array" ref="V20">IF($C20="",0,SUMPRODUCT(--('[1]Pricing Calculator'!$C$17:$C$187=$C20),'[1]Pricing Calculator'!$I$17:$I$187,'[1]Pricing Calculator'!AB$17:AB$187,'[1]Pricing Calculator'!$AG$17:$AG$187))</f>
        <v>0</v>
      </c>
      <c r="W20" s="585" cm="1">
        <f t="array" ref="W20">IF($C20="",0,SUMPRODUCT(--('[1]Pricing Calculator'!$C$17:$C$187=$C20),'[1]Pricing Calculator'!$I$17:$I$187,'[1]Pricing Calculator'!AC$17:AC$187,'[1]Pricing Calculator'!$AG$17:$AG$187))</f>
        <v>0</v>
      </c>
      <c r="X20" s="585" cm="1">
        <f t="array" ref="X20">IF($C20="",0,SUMPRODUCT(--('[1]Pricing Calculator'!$C$17:$C$187=$C20),'[1]Pricing Calculator'!$I$17:$I$187,'[1]Pricing Calculator'!AD$17:AD$187,'[1]Pricing Calculator'!$AG$17:$AG$187))</f>
        <v>0</v>
      </c>
      <c r="Y20" s="586" cm="1">
        <f t="array" ref="Y20">IF($C20="",0,SUMPRODUCT(--('[1]Pricing Calculator'!$C$17:$C$187=$C20),'[1]Pricing Calculator'!$I$17:$I$187,'[1]Pricing Calculator'!AE$17:AE$187,'[1]Pricing Calculator'!$AG$17:$AG$187))</f>
        <v>0</v>
      </c>
      <c r="Z20" s="586">
        <f t="shared" si="0"/>
        <v>10</v>
      </c>
      <c r="AB20" s="587" cm="1">
        <f t="array" ref="AB20">IF($C20="",0,SUMPRODUCT(--('[1]Pricing Calculator'!$C$17:$C$187=$C20),'[1]Pricing Calculator'!$I$17:$I$187,'[1]Pricing Calculator'!AM$17:AM$187,'[1]Pricing Calculator'!$AG$17:$AG$187))*IF('[1]Pricing Summary'!$B$4="Yes",1+'[1]Core Assumptions'!$D$26,1)</f>
        <v>5750</v>
      </c>
      <c r="AC20" s="587" cm="1">
        <f t="array" ref="AC20">IF($C20="",0,SUMPRODUCT(--('[1]Pricing Calculator'!$C$17:$C$187=$C20),'[1]Pricing Calculator'!$I$17:$I$187,'[1]Pricing Calculator'!AO$17:AO$187,'[1]Pricing Calculator'!$AG$17:$AG$187))*IF('[1]Pricing Summary'!$B$4="Yes",1+'[1]Core Assumptions'!$D$26,1)</f>
        <v>5800</v>
      </c>
    </row>
    <row r="21" spans="1:29" ht="15.75" hidden="1" customHeight="1" outlineLevel="1" x14ac:dyDescent="0.2">
      <c r="A21" s="242">
        <v>3</v>
      </c>
      <c r="B21" s="582" t="str">
        <f>IF('[1]Core Assumptions'!B34="","",CONCATENATE("Entity - ",'[1]Core Assumptions'!B34))</f>
        <v>Entity - C LLC</v>
      </c>
      <c r="C21" s="583" t="str">
        <f>IF('[1]Core Assumptions'!B34="","",'[1]Core Assumptions'!B34)</f>
        <v>C LLC</v>
      </c>
      <c r="D21" s="245" t="s">
        <v>11</v>
      </c>
      <c r="E21" s="584" cm="1">
        <f t="array" ref="E21">IF($C21="",0,SUMPRODUCT(--('[1]Pricing Calculator'!$C$17:$C$187=$C21),'[1]Pricing Calculator'!$I$17:$I$187,'[1]Pricing Calculator'!K$17:K$187,'[1]Pricing Calculator'!$AG$17:$AG$187))</f>
        <v>0</v>
      </c>
      <c r="F21" s="585" cm="1">
        <f t="array" ref="F21">IF($C21="",0,SUMPRODUCT(--('[1]Pricing Calculator'!$C$17:$C$187=$C21),'[1]Pricing Calculator'!$I$17:$I$187,'[1]Pricing Calculator'!L$17:L$187,'[1]Pricing Calculator'!$AG$17:$AG$187))</f>
        <v>0</v>
      </c>
      <c r="G21" s="585" cm="1">
        <f t="array" ref="G21">IF($C21="",0,SUMPRODUCT(--('[1]Pricing Calculator'!$C$17:$C$187=$C21),'[1]Pricing Calculator'!$I$17:$I$187,'[1]Pricing Calculator'!M$17:M$187,'[1]Pricing Calculator'!$AG$17:$AG$187))</f>
        <v>0</v>
      </c>
      <c r="H21" s="585" cm="1">
        <f t="array" ref="H21">IF($C21="",0,SUMPRODUCT(--('[1]Pricing Calculator'!$C$17:$C$187=$C21),'[1]Pricing Calculator'!$I$17:$I$187,'[1]Pricing Calculator'!N$17:N$187,'[1]Pricing Calculator'!$AG$17:$AG$187))</f>
        <v>0</v>
      </c>
      <c r="I21" s="585" cm="1">
        <f t="array" ref="I21">IF($C21="",0,SUMPRODUCT(--('[1]Pricing Calculator'!$C$17:$C$187=$C21),'[1]Pricing Calculator'!$I$17:$I$187,'[1]Pricing Calculator'!O$17:O$187,'[1]Pricing Calculator'!$AG$17:$AG$187))</f>
        <v>0</v>
      </c>
      <c r="J21" s="585" cm="1">
        <f t="array" ref="J21">IF($C21="",0,SUMPRODUCT(--('[1]Pricing Calculator'!$C$17:$C$187=$C21),'[1]Pricing Calculator'!$I$17:$I$187,'[1]Pricing Calculator'!P$17:P$187,'[1]Pricing Calculator'!$AG$17:$AG$187))</f>
        <v>0</v>
      </c>
      <c r="K21" s="585" cm="1">
        <f t="array" ref="K21">IF($C21="",0,SUMPRODUCT(--('[1]Pricing Calculator'!$C$17:$C$187=$C21),'[1]Pricing Calculator'!$I$17:$I$187,'[1]Pricing Calculator'!Q$17:Q$187,'[1]Pricing Calculator'!$AG$17:$AG$187))</f>
        <v>0</v>
      </c>
      <c r="L21" s="585" cm="1">
        <f t="array" ref="L21">IF($C21="",0,SUMPRODUCT(--('[1]Pricing Calculator'!$C$17:$C$187=$C21),'[1]Pricing Calculator'!$I$17:$I$187,'[1]Pricing Calculator'!R$17:R$187,'[1]Pricing Calculator'!$AG$17:$AG$187))</f>
        <v>10</v>
      </c>
      <c r="M21" s="585" cm="1">
        <f t="array" ref="M21">IF($C21="",0,SUMPRODUCT(--('[1]Pricing Calculator'!$C$17:$C$187=$C21),'[1]Pricing Calculator'!$I$17:$I$187,'[1]Pricing Calculator'!S$17:S$187,'[1]Pricing Calculator'!$AG$17:$AG$187))</f>
        <v>0</v>
      </c>
      <c r="N21" s="585" cm="1">
        <f t="array" ref="N21">IF($C21="",0,SUMPRODUCT(--('[1]Pricing Calculator'!$C$17:$C$187=$C21),'[1]Pricing Calculator'!$I$17:$I$187,'[1]Pricing Calculator'!T$17:T$187,'[1]Pricing Calculator'!$AG$17:$AG$187))</f>
        <v>0</v>
      </c>
      <c r="O21" s="584" cm="1">
        <f t="array" ref="O21">IF($C21="",0,SUMPRODUCT(--('[1]Pricing Calculator'!$C$17:$C$187=$C21),'[1]Pricing Calculator'!$I$17:$I$187,'[1]Pricing Calculator'!U$17:U$187,'[1]Pricing Calculator'!$AG$17:$AG$187))</f>
        <v>0</v>
      </c>
      <c r="P21" s="585" cm="1">
        <f t="array" ref="P21">IF($C21="",0,SUMPRODUCT(--('[1]Pricing Calculator'!$C$17:$C$187=$C21),'[1]Pricing Calculator'!$I$17:$I$187,'[1]Pricing Calculator'!V$17:V$187,'[1]Pricing Calculator'!$AG$17:$AG$187))</f>
        <v>0</v>
      </c>
      <c r="Q21" s="585" cm="1">
        <f t="array" ref="Q21">IF($C21="",0,SUMPRODUCT(--('[1]Pricing Calculator'!$C$17:$C$187=$C21),'[1]Pricing Calculator'!$I$17:$I$187,'[1]Pricing Calculator'!W$17:W$187,'[1]Pricing Calculator'!$AG$17:$AG$187))</f>
        <v>0</v>
      </c>
      <c r="R21" s="585" cm="1">
        <f t="array" ref="R21">IF($C21="",0,SUMPRODUCT(--('[1]Pricing Calculator'!$C$17:$C$187=$C21),'[1]Pricing Calculator'!$I$17:$I$187,'[1]Pricing Calculator'!X$17:X$187,'[1]Pricing Calculator'!$AG$17:$AG$187))</f>
        <v>0</v>
      </c>
      <c r="S21" s="585" cm="1">
        <f t="array" ref="S21">IF($C21="",0,SUMPRODUCT(--('[1]Pricing Calculator'!$C$17:$C$187=$C21),'[1]Pricing Calculator'!$I$17:$I$187,'[1]Pricing Calculator'!Y$17:Y$187,'[1]Pricing Calculator'!$AG$17:$AG$187))</f>
        <v>0</v>
      </c>
      <c r="T21" s="585" cm="1">
        <f t="array" ref="T21">IF($C21="",0,SUMPRODUCT(--('[1]Pricing Calculator'!$C$17:$C$187=$C21),'[1]Pricing Calculator'!$I$17:$I$187,'[1]Pricing Calculator'!Z$17:Z$187,'[1]Pricing Calculator'!$AG$17:$AG$187))</f>
        <v>0</v>
      </c>
      <c r="U21" s="586" cm="1">
        <f t="array" ref="U21">IF($C21="",0,SUMPRODUCT(--('[1]Pricing Calculator'!$C$17:$C$187=$C21),'[1]Pricing Calculator'!$I$17:$I$187,'[1]Pricing Calculator'!AA$17:AA$187,'[1]Pricing Calculator'!$AG$17:$AG$187))</f>
        <v>0</v>
      </c>
      <c r="V21" s="584" cm="1">
        <f t="array" ref="V21">IF($C21="",0,SUMPRODUCT(--('[1]Pricing Calculator'!$C$17:$C$187=$C21),'[1]Pricing Calculator'!$I$17:$I$187,'[1]Pricing Calculator'!AB$17:AB$187,'[1]Pricing Calculator'!$AG$17:$AG$187))</f>
        <v>0</v>
      </c>
      <c r="W21" s="585" cm="1">
        <f t="array" ref="W21">IF($C21="",0,SUMPRODUCT(--('[1]Pricing Calculator'!$C$17:$C$187=$C21),'[1]Pricing Calculator'!$I$17:$I$187,'[1]Pricing Calculator'!AC$17:AC$187,'[1]Pricing Calculator'!$AG$17:$AG$187))</f>
        <v>0</v>
      </c>
      <c r="X21" s="585" cm="1">
        <f t="array" ref="X21">IF($C21="",0,SUMPRODUCT(--('[1]Pricing Calculator'!$C$17:$C$187=$C21),'[1]Pricing Calculator'!$I$17:$I$187,'[1]Pricing Calculator'!AD$17:AD$187,'[1]Pricing Calculator'!$AG$17:$AG$187))</f>
        <v>0</v>
      </c>
      <c r="Y21" s="586" cm="1">
        <f t="array" ref="Y21">IF($C21="",0,SUMPRODUCT(--('[1]Pricing Calculator'!$C$17:$C$187=$C21),'[1]Pricing Calculator'!$I$17:$I$187,'[1]Pricing Calculator'!AE$17:AE$187,'[1]Pricing Calculator'!$AG$17:$AG$187))</f>
        <v>0</v>
      </c>
      <c r="Z21" s="586">
        <f t="shared" si="0"/>
        <v>10</v>
      </c>
      <c r="AB21" s="587" cm="1">
        <f t="array" ref="AB21">IF($C21="",0,SUMPRODUCT(--('[1]Pricing Calculator'!$C$17:$C$187=$C21),'[1]Pricing Calculator'!$I$17:$I$187,'[1]Pricing Calculator'!AM$17:AM$187,'[1]Pricing Calculator'!$AG$17:$AG$187))*IF('[1]Pricing Summary'!$B$4="Yes",1+'[1]Core Assumptions'!$D$26,1)</f>
        <v>5750</v>
      </c>
      <c r="AC21" s="587" cm="1">
        <f t="array" ref="AC21">IF($C21="",0,SUMPRODUCT(--('[1]Pricing Calculator'!$C$17:$C$187=$C21),'[1]Pricing Calculator'!$I$17:$I$187,'[1]Pricing Calculator'!AO$17:AO$187,'[1]Pricing Calculator'!$AG$17:$AG$187))*IF('[1]Pricing Summary'!$B$4="Yes",1+'[1]Core Assumptions'!$D$26,1)</f>
        <v>5800</v>
      </c>
    </row>
    <row r="22" spans="1:29" ht="15.75" hidden="1" customHeight="1" outlineLevel="1" x14ac:dyDescent="0.2">
      <c r="A22" s="242">
        <v>4</v>
      </c>
      <c r="B22" s="582" t="str">
        <f>IF('[1]Core Assumptions'!B35="","",CONCATENATE("Entity - ",'[1]Core Assumptions'!B35))</f>
        <v>Entity - D Demo Corp</v>
      </c>
      <c r="C22" s="583" t="str">
        <f>IF('[1]Core Assumptions'!B35="","",'[1]Core Assumptions'!B35)</f>
        <v>D Demo Corp</v>
      </c>
      <c r="D22" s="245" t="s">
        <v>11</v>
      </c>
      <c r="E22" s="584" cm="1">
        <f t="array" ref="E22">IF($C22="",0,SUMPRODUCT(--('[1]Pricing Calculator'!$C$17:$C$187=$C22),'[1]Pricing Calculator'!$I$17:$I$187,'[1]Pricing Calculator'!K$17:K$187,'[1]Pricing Calculator'!$AG$17:$AG$187))</f>
        <v>0</v>
      </c>
      <c r="F22" s="585" cm="1">
        <f t="array" ref="F22">IF($C22="",0,SUMPRODUCT(--('[1]Pricing Calculator'!$C$17:$C$187=$C22),'[1]Pricing Calculator'!$I$17:$I$187,'[1]Pricing Calculator'!L$17:L$187,'[1]Pricing Calculator'!$AG$17:$AG$187))</f>
        <v>0</v>
      </c>
      <c r="G22" s="585" cm="1">
        <f t="array" ref="G22">IF($C22="",0,SUMPRODUCT(--('[1]Pricing Calculator'!$C$17:$C$187=$C22),'[1]Pricing Calculator'!$I$17:$I$187,'[1]Pricing Calculator'!M$17:M$187,'[1]Pricing Calculator'!$AG$17:$AG$187))</f>
        <v>0</v>
      </c>
      <c r="H22" s="585" cm="1">
        <f t="array" ref="H22">IF($C22="",0,SUMPRODUCT(--('[1]Pricing Calculator'!$C$17:$C$187=$C22),'[1]Pricing Calculator'!$I$17:$I$187,'[1]Pricing Calculator'!N$17:N$187,'[1]Pricing Calculator'!$AG$17:$AG$187))</f>
        <v>0</v>
      </c>
      <c r="I22" s="585" cm="1">
        <f t="array" ref="I22">IF($C22="",0,SUMPRODUCT(--('[1]Pricing Calculator'!$C$17:$C$187=$C22),'[1]Pricing Calculator'!$I$17:$I$187,'[1]Pricing Calculator'!O$17:O$187,'[1]Pricing Calculator'!$AG$17:$AG$187))</f>
        <v>0</v>
      </c>
      <c r="J22" s="585" cm="1">
        <f t="array" ref="J22">IF($C22="",0,SUMPRODUCT(--('[1]Pricing Calculator'!$C$17:$C$187=$C22),'[1]Pricing Calculator'!$I$17:$I$187,'[1]Pricing Calculator'!P$17:P$187,'[1]Pricing Calculator'!$AG$17:$AG$187))</f>
        <v>0</v>
      </c>
      <c r="K22" s="585" cm="1">
        <f t="array" ref="K22">IF($C22="",0,SUMPRODUCT(--('[1]Pricing Calculator'!$C$17:$C$187=$C22),'[1]Pricing Calculator'!$I$17:$I$187,'[1]Pricing Calculator'!Q$17:Q$187,'[1]Pricing Calculator'!$AG$17:$AG$187))</f>
        <v>0</v>
      </c>
      <c r="L22" s="585" cm="1">
        <f t="array" ref="L22">IF($C22="",0,SUMPRODUCT(--('[1]Pricing Calculator'!$C$17:$C$187=$C22),'[1]Pricing Calculator'!$I$17:$I$187,'[1]Pricing Calculator'!R$17:R$187,'[1]Pricing Calculator'!$AG$17:$AG$187))</f>
        <v>10</v>
      </c>
      <c r="M22" s="585" cm="1">
        <f t="array" ref="M22">IF($C22="",0,SUMPRODUCT(--('[1]Pricing Calculator'!$C$17:$C$187=$C22),'[1]Pricing Calculator'!$I$17:$I$187,'[1]Pricing Calculator'!S$17:S$187,'[1]Pricing Calculator'!$AG$17:$AG$187))</f>
        <v>0</v>
      </c>
      <c r="N22" s="585" cm="1">
        <f t="array" ref="N22">IF($C22="",0,SUMPRODUCT(--('[1]Pricing Calculator'!$C$17:$C$187=$C22),'[1]Pricing Calculator'!$I$17:$I$187,'[1]Pricing Calculator'!T$17:T$187,'[1]Pricing Calculator'!$AG$17:$AG$187))</f>
        <v>0</v>
      </c>
      <c r="O22" s="584" cm="1">
        <f t="array" ref="O22">IF($C22="",0,SUMPRODUCT(--('[1]Pricing Calculator'!$C$17:$C$187=$C22),'[1]Pricing Calculator'!$I$17:$I$187,'[1]Pricing Calculator'!U$17:U$187,'[1]Pricing Calculator'!$AG$17:$AG$187))</f>
        <v>0</v>
      </c>
      <c r="P22" s="585" cm="1">
        <f t="array" ref="P22">IF($C22="",0,SUMPRODUCT(--('[1]Pricing Calculator'!$C$17:$C$187=$C22),'[1]Pricing Calculator'!$I$17:$I$187,'[1]Pricing Calculator'!V$17:V$187,'[1]Pricing Calculator'!$AG$17:$AG$187))</f>
        <v>0</v>
      </c>
      <c r="Q22" s="585" cm="1">
        <f t="array" ref="Q22">IF($C22="",0,SUMPRODUCT(--('[1]Pricing Calculator'!$C$17:$C$187=$C22),'[1]Pricing Calculator'!$I$17:$I$187,'[1]Pricing Calculator'!W$17:W$187,'[1]Pricing Calculator'!$AG$17:$AG$187))</f>
        <v>0</v>
      </c>
      <c r="R22" s="585" cm="1">
        <f t="array" ref="R22">IF($C22="",0,SUMPRODUCT(--('[1]Pricing Calculator'!$C$17:$C$187=$C22),'[1]Pricing Calculator'!$I$17:$I$187,'[1]Pricing Calculator'!X$17:X$187,'[1]Pricing Calculator'!$AG$17:$AG$187))</f>
        <v>0</v>
      </c>
      <c r="S22" s="585" cm="1">
        <f t="array" ref="S22">IF($C22="",0,SUMPRODUCT(--('[1]Pricing Calculator'!$C$17:$C$187=$C22),'[1]Pricing Calculator'!$I$17:$I$187,'[1]Pricing Calculator'!Y$17:Y$187,'[1]Pricing Calculator'!$AG$17:$AG$187))</f>
        <v>0</v>
      </c>
      <c r="T22" s="585" cm="1">
        <f t="array" ref="T22">IF($C22="",0,SUMPRODUCT(--('[1]Pricing Calculator'!$C$17:$C$187=$C22),'[1]Pricing Calculator'!$I$17:$I$187,'[1]Pricing Calculator'!Z$17:Z$187,'[1]Pricing Calculator'!$AG$17:$AG$187))</f>
        <v>0</v>
      </c>
      <c r="U22" s="586" cm="1">
        <f t="array" ref="U22">IF($C22="",0,SUMPRODUCT(--('[1]Pricing Calculator'!$C$17:$C$187=$C22),'[1]Pricing Calculator'!$I$17:$I$187,'[1]Pricing Calculator'!AA$17:AA$187,'[1]Pricing Calculator'!$AG$17:$AG$187))</f>
        <v>0</v>
      </c>
      <c r="V22" s="584" cm="1">
        <f t="array" ref="V22">IF($C22="",0,SUMPRODUCT(--('[1]Pricing Calculator'!$C$17:$C$187=$C22),'[1]Pricing Calculator'!$I$17:$I$187,'[1]Pricing Calculator'!AB$17:AB$187,'[1]Pricing Calculator'!$AG$17:$AG$187))</f>
        <v>0</v>
      </c>
      <c r="W22" s="585" cm="1">
        <f t="array" ref="W22">IF($C22="",0,SUMPRODUCT(--('[1]Pricing Calculator'!$C$17:$C$187=$C22),'[1]Pricing Calculator'!$I$17:$I$187,'[1]Pricing Calculator'!AC$17:AC$187,'[1]Pricing Calculator'!$AG$17:$AG$187))</f>
        <v>0</v>
      </c>
      <c r="X22" s="585" cm="1">
        <f t="array" ref="X22">IF($C22="",0,SUMPRODUCT(--('[1]Pricing Calculator'!$C$17:$C$187=$C22),'[1]Pricing Calculator'!$I$17:$I$187,'[1]Pricing Calculator'!AD$17:AD$187,'[1]Pricing Calculator'!$AG$17:$AG$187))</f>
        <v>0</v>
      </c>
      <c r="Y22" s="586" cm="1">
        <f t="array" ref="Y22">IF($C22="",0,SUMPRODUCT(--('[1]Pricing Calculator'!$C$17:$C$187=$C22),'[1]Pricing Calculator'!$I$17:$I$187,'[1]Pricing Calculator'!AE$17:AE$187,'[1]Pricing Calculator'!$AG$17:$AG$187))</f>
        <v>0</v>
      </c>
      <c r="Z22" s="586">
        <f t="shared" si="0"/>
        <v>10</v>
      </c>
      <c r="AB22" s="587" cm="1">
        <f t="array" ref="AB22">IF($C22="",0,SUMPRODUCT(--('[1]Pricing Calculator'!$C$17:$C$187=$C22),'[1]Pricing Calculator'!$I$17:$I$187,'[1]Pricing Calculator'!AM$17:AM$187,'[1]Pricing Calculator'!$AG$17:$AG$187))*IF('[1]Pricing Summary'!$B$4="Yes",1+'[1]Core Assumptions'!$D$26,1)</f>
        <v>5750</v>
      </c>
      <c r="AC22" s="587" cm="1">
        <f t="array" ref="AC22">IF($C22="",0,SUMPRODUCT(--('[1]Pricing Calculator'!$C$17:$C$187=$C22),'[1]Pricing Calculator'!$I$17:$I$187,'[1]Pricing Calculator'!AO$17:AO$187,'[1]Pricing Calculator'!$AG$17:$AG$187))*IF('[1]Pricing Summary'!$B$4="Yes",1+'[1]Core Assumptions'!$D$26,1)</f>
        <v>5800</v>
      </c>
    </row>
    <row r="23" spans="1:29" ht="15.75" hidden="1" customHeight="1" outlineLevel="1" x14ac:dyDescent="0.2">
      <c r="A23" s="242">
        <v>5</v>
      </c>
      <c r="B23" s="582" t="str">
        <f>IF('[1]Core Assumptions'!B36="","",CONCATENATE("Entity - ",'[1]Core Assumptions'!B36))</f>
        <v/>
      </c>
      <c r="C23" s="583" t="str">
        <f>IF('[1]Core Assumptions'!B36="","",'[1]Core Assumptions'!B36)</f>
        <v/>
      </c>
      <c r="D23" s="245" t="s">
        <v>11</v>
      </c>
      <c r="E23" s="584" cm="1">
        <f t="array" ref="E23">IF($C23="",0,SUMPRODUCT(--('[1]Pricing Calculator'!$C$17:$C$187=$C23),'[1]Pricing Calculator'!$I$17:$I$187,'[1]Pricing Calculator'!K$17:K$187,'[1]Pricing Calculator'!$AG$17:$AG$187))</f>
        <v>0</v>
      </c>
      <c r="F23" s="585" cm="1">
        <f t="array" ref="F23">IF($C23="",0,SUMPRODUCT(--('[1]Pricing Calculator'!$C$17:$C$187=$C23),'[1]Pricing Calculator'!$I$17:$I$187,'[1]Pricing Calculator'!L$17:L$187,'[1]Pricing Calculator'!$AG$17:$AG$187))</f>
        <v>0</v>
      </c>
      <c r="G23" s="585" cm="1">
        <f t="array" ref="G23">IF($C23="",0,SUMPRODUCT(--('[1]Pricing Calculator'!$C$17:$C$187=$C23),'[1]Pricing Calculator'!$I$17:$I$187,'[1]Pricing Calculator'!M$17:M$187,'[1]Pricing Calculator'!$AG$17:$AG$187))</f>
        <v>0</v>
      </c>
      <c r="H23" s="585" cm="1">
        <f t="array" ref="H23">IF($C23="",0,SUMPRODUCT(--('[1]Pricing Calculator'!$C$17:$C$187=$C23),'[1]Pricing Calculator'!$I$17:$I$187,'[1]Pricing Calculator'!N$17:N$187,'[1]Pricing Calculator'!$AG$17:$AG$187))</f>
        <v>0</v>
      </c>
      <c r="I23" s="585" cm="1">
        <f t="array" ref="I23">IF($C23="",0,SUMPRODUCT(--('[1]Pricing Calculator'!$C$17:$C$187=$C23),'[1]Pricing Calculator'!$I$17:$I$187,'[1]Pricing Calculator'!O$17:O$187,'[1]Pricing Calculator'!$AG$17:$AG$187))</f>
        <v>0</v>
      </c>
      <c r="J23" s="585" cm="1">
        <f t="array" ref="J23">IF($C23="",0,SUMPRODUCT(--('[1]Pricing Calculator'!$C$17:$C$187=$C23),'[1]Pricing Calculator'!$I$17:$I$187,'[1]Pricing Calculator'!P$17:P$187,'[1]Pricing Calculator'!$AG$17:$AG$187))</f>
        <v>0</v>
      </c>
      <c r="K23" s="585" cm="1">
        <f t="array" ref="K23">IF($C23="",0,SUMPRODUCT(--('[1]Pricing Calculator'!$C$17:$C$187=$C23),'[1]Pricing Calculator'!$I$17:$I$187,'[1]Pricing Calculator'!Q$17:Q$187,'[1]Pricing Calculator'!$AG$17:$AG$187))</f>
        <v>0</v>
      </c>
      <c r="L23" s="585" cm="1">
        <f t="array" ref="L23">IF($C23="",0,SUMPRODUCT(--('[1]Pricing Calculator'!$C$17:$C$187=$C23),'[1]Pricing Calculator'!$I$17:$I$187,'[1]Pricing Calculator'!R$17:R$187,'[1]Pricing Calculator'!$AG$17:$AG$187))</f>
        <v>0</v>
      </c>
      <c r="M23" s="585" cm="1">
        <f t="array" ref="M23">IF($C23="",0,SUMPRODUCT(--('[1]Pricing Calculator'!$C$17:$C$187=$C23),'[1]Pricing Calculator'!$I$17:$I$187,'[1]Pricing Calculator'!S$17:S$187,'[1]Pricing Calculator'!$AG$17:$AG$187))</f>
        <v>0</v>
      </c>
      <c r="N23" s="585" cm="1">
        <f t="array" ref="N23">IF($C23="",0,SUMPRODUCT(--('[1]Pricing Calculator'!$C$17:$C$187=$C23),'[1]Pricing Calculator'!$I$17:$I$187,'[1]Pricing Calculator'!T$17:T$187,'[1]Pricing Calculator'!$AG$17:$AG$187))</f>
        <v>0</v>
      </c>
      <c r="O23" s="584" cm="1">
        <f t="array" ref="O23">IF($C23="",0,SUMPRODUCT(--('[1]Pricing Calculator'!$C$17:$C$187=$C23),'[1]Pricing Calculator'!$I$17:$I$187,'[1]Pricing Calculator'!U$17:U$187,'[1]Pricing Calculator'!$AG$17:$AG$187))</f>
        <v>0</v>
      </c>
      <c r="P23" s="585" cm="1">
        <f t="array" ref="P23">IF($C23="",0,SUMPRODUCT(--('[1]Pricing Calculator'!$C$17:$C$187=$C23),'[1]Pricing Calculator'!$I$17:$I$187,'[1]Pricing Calculator'!V$17:V$187,'[1]Pricing Calculator'!$AG$17:$AG$187))</f>
        <v>0</v>
      </c>
      <c r="Q23" s="585" cm="1">
        <f t="array" ref="Q23">IF($C23="",0,SUMPRODUCT(--('[1]Pricing Calculator'!$C$17:$C$187=$C23),'[1]Pricing Calculator'!$I$17:$I$187,'[1]Pricing Calculator'!W$17:W$187,'[1]Pricing Calculator'!$AG$17:$AG$187))</f>
        <v>0</v>
      </c>
      <c r="R23" s="585" cm="1">
        <f t="array" ref="R23">IF($C23="",0,SUMPRODUCT(--('[1]Pricing Calculator'!$C$17:$C$187=$C23),'[1]Pricing Calculator'!$I$17:$I$187,'[1]Pricing Calculator'!X$17:X$187,'[1]Pricing Calculator'!$AG$17:$AG$187))</f>
        <v>0</v>
      </c>
      <c r="S23" s="585" cm="1">
        <f t="array" ref="S23">IF($C23="",0,SUMPRODUCT(--('[1]Pricing Calculator'!$C$17:$C$187=$C23),'[1]Pricing Calculator'!$I$17:$I$187,'[1]Pricing Calculator'!Y$17:Y$187,'[1]Pricing Calculator'!$AG$17:$AG$187))</f>
        <v>0</v>
      </c>
      <c r="T23" s="585" cm="1">
        <f t="array" ref="T23">IF($C23="",0,SUMPRODUCT(--('[1]Pricing Calculator'!$C$17:$C$187=$C23),'[1]Pricing Calculator'!$I$17:$I$187,'[1]Pricing Calculator'!Z$17:Z$187,'[1]Pricing Calculator'!$AG$17:$AG$187))</f>
        <v>0</v>
      </c>
      <c r="U23" s="586" cm="1">
        <f t="array" ref="U23">IF($C23="",0,SUMPRODUCT(--('[1]Pricing Calculator'!$C$17:$C$187=$C23),'[1]Pricing Calculator'!$I$17:$I$187,'[1]Pricing Calculator'!AA$17:AA$187,'[1]Pricing Calculator'!$AG$17:$AG$187))</f>
        <v>0</v>
      </c>
      <c r="V23" s="584" cm="1">
        <f t="array" ref="V23">IF($C23="",0,SUMPRODUCT(--('[1]Pricing Calculator'!$C$17:$C$187=$C23),'[1]Pricing Calculator'!$I$17:$I$187,'[1]Pricing Calculator'!AB$17:AB$187,'[1]Pricing Calculator'!$AG$17:$AG$187))</f>
        <v>0</v>
      </c>
      <c r="W23" s="585" cm="1">
        <f t="array" ref="W23">IF($C23="",0,SUMPRODUCT(--('[1]Pricing Calculator'!$C$17:$C$187=$C23),'[1]Pricing Calculator'!$I$17:$I$187,'[1]Pricing Calculator'!AC$17:AC$187,'[1]Pricing Calculator'!$AG$17:$AG$187))</f>
        <v>0</v>
      </c>
      <c r="X23" s="585" cm="1">
        <f t="array" ref="X23">IF($C23="",0,SUMPRODUCT(--('[1]Pricing Calculator'!$C$17:$C$187=$C23),'[1]Pricing Calculator'!$I$17:$I$187,'[1]Pricing Calculator'!AD$17:AD$187,'[1]Pricing Calculator'!$AG$17:$AG$187))</f>
        <v>0</v>
      </c>
      <c r="Y23" s="586" cm="1">
        <f t="array" ref="Y23">IF($C23="",0,SUMPRODUCT(--('[1]Pricing Calculator'!$C$17:$C$187=$C23),'[1]Pricing Calculator'!$I$17:$I$187,'[1]Pricing Calculator'!AE$17:AE$187,'[1]Pricing Calculator'!$AG$17:$AG$187))</f>
        <v>0</v>
      </c>
      <c r="Z23" s="586">
        <f t="shared" si="0"/>
        <v>0</v>
      </c>
      <c r="AB23" s="587" cm="1">
        <f t="array" ref="AB23">IF($C23="",0,SUMPRODUCT(--('[1]Pricing Calculator'!$C$17:$C$187=$C23),'[1]Pricing Calculator'!$I$17:$I$187,'[1]Pricing Calculator'!AM$17:AM$187,'[1]Pricing Calculator'!$AG$17:$AG$187))*IF('[1]Pricing Summary'!$B$4="Yes",1+'[1]Core Assumptions'!$D$26,1)</f>
        <v>0</v>
      </c>
      <c r="AC23" s="587" cm="1">
        <f t="array" ref="AC23">IF($C23="",0,SUMPRODUCT(--('[1]Pricing Calculator'!$C$17:$C$187=$C23),'[1]Pricing Calculator'!$I$17:$I$187,'[1]Pricing Calculator'!AO$17:AO$187,'[1]Pricing Calculator'!$AG$17:$AG$187))*IF('[1]Pricing Summary'!$B$4="Yes",1+'[1]Core Assumptions'!$D$26,1)</f>
        <v>0</v>
      </c>
    </row>
    <row r="24" spans="1:29" ht="15.75" hidden="1" customHeight="1" outlineLevel="1" x14ac:dyDescent="0.2">
      <c r="A24" s="242">
        <v>6</v>
      </c>
      <c r="B24" s="582" t="str">
        <f>IF('[1]Core Assumptions'!B37="","",CONCATENATE("Entity - ",'[1]Core Assumptions'!B37))</f>
        <v/>
      </c>
      <c r="C24" s="583" t="str">
        <f>IF('[1]Core Assumptions'!B37="","",'[1]Core Assumptions'!B37)</f>
        <v/>
      </c>
      <c r="D24" s="245" t="s">
        <v>11</v>
      </c>
      <c r="E24" s="584" cm="1">
        <f t="array" ref="E24">IF($C24="",0,SUMPRODUCT(--('[1]Pricing Calculator'!$C$17:$C$187=$C24),'[1]Pricing Calculator'!$I$17:$I$187,'[1]Pricing Calculator'!K$17:K$187,'[1]Pricing Calculator'!$AG$17:$AG$187))</f>
        <v>0</v>
      </c>
      <c r="F24" s="585" cm="1">
        <f t="array" ref="F24">IF($C24="",0,SUMPRODUCT(--('[1]Pricing Calculator'!$C$17:$C$187=$C24),'[1]Pricing Calculator'!$I$17:$I$187,'[1]Pricing Calculator'!L$17:L$187,'[1]Pricing Calculator'!$AG$17:$AG$187))</f>
        <v>0</v>
      </c>
      <c r="G24" s="585" cm="1">
        <f t="array" ref="G24">IF($C24="",0,SUMPRODUCT(--('[1]Pricing Calculator'!$C$17:$C$187=$C24),'[1]Pricing Calculator'!$I$17:$I$187,'[1]Pricing Calculator'!M$17:M$187,'[1]Pricing Calculator'!$AG$17:$AG$187))</f>
        <v>0</v>
      </c>
      <c r="H24" s="585" cm="1">
        <f t="array" ref="H24">IF($C24="",0,SUMPRODUCT(--('[1]Pricing Calculator'!$C$17:$C$187=$C24),'[1]Pricing Calculator'!$I$17:$I$187,'[1]Pricing Calculator'!N$17:N$187,'[1]Pricing Calculator'!$AG$17:$AG$187))</f>
        <v>0</v>
      </c>
      <c r="I24" s="585" cm="1">
        <f t="array" ref="I24">IF($C24="",0,SUMPRODUCT(--('[1]Pricing Calculator'!$C$17:$C$187=$C24),'[1]Pricing Calculator'!$I$17:$I$187,'[1]Pricing Calculator'!O$17:O$187,'[1]Pricing Calculator'!$AG$17:$AG$187))</f>
        <v>0</v>
      </c>
      <c r="J24" s="585" cm="1">
        <f t="array" ref="J24">IF($C24="",0,SUMPRODUCT(--('[1]Pricing Calculator'!$C$17:$C$187=$C24),'[1]Pricing Calculator'!$I$17:$I$187,'[1]Pricing Calculator'!P$17:P$187,'[1]Pricing Calculator'!$AG$17:$AG$187))</f>
        <v>0</v>
      </c>
      <c r="K24" s="585" cm="1">
        <f t="array" ref="K24">IF($C24="",0,SUMPRODUCT(--('[1]Pricing Calculator'!$C$17:$C$187=$C24),'[1]Pricing Calculator'!$I$17:$I$187,'[1]Pricing Calculator'!Q$17:Q$187,'[1]Pricing Calculator'!$AG$17:$AG$187))</f>
        <v>0</v>
      </c>
      <c r="L24" s="585" cm="1">
        <f t="array" ref="L24">IF($C24="",0,SUMPRODUCT(--('[1]Pricing Calculator'!$C$17:$C$187=$C24),'[1]Pricing Calculator'!$I$17:$I$187,'[1]Pricing Calculator'!R$17:R$187,'[1]Pricing Calculator'!$AG$17:$AG$187))</f>
        <v>0</v>
      </c>
      <c r="M24" s="585" cm="1">
        <f t="array" ref="M24">IF($C24="",0,SUMPRODUCT(--('[1]Pricing Calculator'!$C$17:$C$187=$C24),'[1]Pricing Calculator'!$I$17:$I$187,'[1]Pricing Calculator'!S$17:S$187,'[1]Pricing Calculator'!$AG$17:$AG$187))</f>
        <v>0</v>
      </c>
      <c r="N24" s="585" cm="1">
        <f t="array" ref="N24">IF($C24="",0,SUMPRODUCT(--('[1]Pricing Calculator'!$C$17:$C$187=$C24),'[1]Pricing Calculator'!$I$17:$I$187,'[1]Pricing Calculator'!T$17:T$187,'[1]Pricing Calculator'!$AG$17:$AG$187))</f>
        <v>0</v>
      </c>
      <c r="O24" s="584" cm="1">
        <f t="array" ref="O24">IF($C24="",0,SUMPRODUCT(--('[1]Pricing Calculator'!$C$17:$C$187=$C24),'[1]Pricing Calculator'!$I$17:$I$187,'[1]Pricing Calculator'!U$17:U$187,'[1]Pricing Calculator'!$AG$17:$AG$187))</f>
        <v>0</v>
      </c>
      <c r="P24" s="585" cm="1">
        <f t="array" ref="P24">IF($C24="",0,SUMPRODUCT(--('[1]Pricing Calculator'!$C$17:$C$187=$C24),'[1]Pricing Calculator'!$I$17:$I$187,'[1]Pricing Calculator'!V$17:V$187,'[1]Pricing Calculator'!$AG$17:$AG$187))</f>
        <v>0</v>
      </c>
      <c r="Q24" s="585" cm="1">
        <f t="array" ref="Q24">IF($C24="",0,SUMPRODUCT(--('[1]Pricing Calculator'!$C$17:$C$187=$C24),'[1]Pricing Calculator'!$I$17:$I$187,'[1]Pricing Calculator'!W$17:W$187,'[1]Pricing Calculator'!$AG$17:$AG$187))</f>
        <v>0</v>
      </c>
      <c r="R24" s="585" cm="1">
        <f t="array" ref="R24">IF($C24="",0,SUMPRODUCT(--('[1]Pricing Calculator'!$C$17:$C$187=$C24),'[1]Pricing Calculator'!$I$17:$I$187,'[1]Pricing Calculator'!X$17:X$187,'[1]Pricing Calculator'!$AG$17:$AG$187))</f>
        <v>0</v>
      </c>
      <c r="S24" s="585" cm="1">
        <f t="array" ref="S24">IF($C24="",0,SUMPRODUCT(--('[1]Pricing Calculator'!$C$17:$C$187=$C24),'[1]Pricing Calculator'!$I$17:$I$187,'[1]Pricing Calculator'!Y$17:Y$187,'[1]Pricing Calculator'!$AG$17:$AG$187))</f>
        <v>0</v>
      </c>
      <c r="T24" s="585" cm="1">
        <f t="array" ref="T24">IF($C24="",0,SUMPRODUCT(--('[1]Pricing Calculator'!$C$17:$C$187=$C24),'[1]Pricing Calculator'!$I$17:$I$187,'[1]Pricing Calculator'!Z$17:Z$187,'[1]Pricing Calculator'!$AG$17:$AG$187))</f>
        <v>0</v>
      </c>
      <c r="U24" s="586" cm="1">
        <f t="array" ref="U24">IF($C24="",0,SUMPRODUCT(--('[1]Pricing Calculator'!$C$17:$C$187=$C24),'[1]Pricing Calculator'!$I$17:$I$187,'[1]Pricing Calculator'!AA$17:AA$187,'[1]Pricing Calculator'!$AG$17:$AG$187))</f>
        <v>0</v>
      </c>
      <c r="V24" s="584" cm="1">
        <f t="array" ref="V24">IF($C24="",0,SUMPRODUCT(--('[1]Pricing Calculator'!$C$17:$C$187=$C24),'[1]Pricing Calculator'!$I$17:$I$187,'[1]Pricing Calculator'!AB$17:AB$187,'[1]Pricing Calculator'!$AG$17:$AG$187))</f>
        <v>0</v>
      </c>
      <c r="W24" s="585" cm="1">
        <f t="array" ref="W24">IF($C24="",0,SUMPRODUCT(--('[1]Pricing Calculator'!$C$17:$C$187=$C24),'[1]Pricing Calculator'!$I$17:$I$187,'[1]Pricing Calculator'!AC$17:AC$187,'[1]Pricing Calculator'!$AG$17:$AG$187))</f>
        <v>0</v>
      </c>
      <c r="X24" s="585" cm="1">
        <f t="array" ref="X24">IF($C24="",0,SUMPRODUCT(--('[1]Pricing Calculator'!$C$17:$C$187=$C24),'[1]Pricing Calculator'!$I$17:$I$187,'[1]Pricing Calculator'!AD$17:AD$187,'[1]Pricing Calculator'!$AG$17:$AG$187))</f>
        <v>0</v>
      </c>
      <c r="Y24" s="586" cm="1">
        <f t="array" ref="Y24">IF($C24="",0,SUMPRODUCT(--('[1]Pricing Calculator'!$C$17:$C$187=$C24),'[1]Pricing Calculator'!$I$17:$I$187,'[1]Pricing Calculator'!AE$17:AE$187,'[1]Pricing Calculator'!$AG$17:$AG$187))</f>
        <v>0</v>
      </c>
      <c r="Z24" s="586">
        <f t="shared" si="0"/>
        <v>0</v>
      </c>
      <c r="AB24" s="587" cm="1">
        <f t="array" ref="AB24">IF($C24="",0,SUMPRODUCT(--('[1]Pricing Calculator'!$C$17:$C$187=$C24),'[1]Pricing Calculator'!$I$17:$I$187,'[1]Pricing Calculator'!AM$17:AM$187,'[1]Pricing Calculator'!$AG$17:$AG$187))*IF('[1]Pricing Summary'!$B$4="Yes",1+'[1]Core Assumptions'!$D$26,1)</f>
        <v>0</v>
      </c>
      <c r="AC24" s="587" cm="1">
        <f t="array" ref="AC24">IF($C24="",0,SUMPRODUCT(--('[1]Pricing Calculator'!$C$17:$C$187=$C24),'[1]Pricing Calculator'!$I$17:$I$187,'[1]Pricing Calculator'!AO$17:AO$187,'[1]Pricing Calculator'!$AG$17:$AG$187))*IF('[1]Pricing Summary'!$B$4="Yes",1+'[1]Core Assumptions'!$D$26,1)</f>
        <v>0</v>
      </c>
    </row>
    <row r="25" spans="1:29" ht="15.75" hidden="1" customHeight="1" outlineLevel="1" x14ac:dyDescent="0.2">
      <c r="A25" s="242">
        <v>7</v>
      </c>
      <c r="B25" s="582" t="str">
        <f>IF('[1]Core Assumptions'!B38="","",CONCATENATE("Entity - ",'[1]Core Assumptions'!B38))</f>
        <v/>
      </c>
      <c r="C25" s="583" t="str">
        <f>IF('[1]Core Assumptions'!B38="","",'[1]Core Assumptions'!B38)</f>
        <v/>
      </c>
      <c r="D25" s="245" t="s">
        <v>11</v>
      </c>
      <c r="E25" s="584" cm="1">
        <f t="array" ref="E25">IF($C25="",0,SUMPRODUCT(--('[1]Pricing Calculator'!$C$17:$C$187=$C25),'[1]Pricing Calculator'!$I$17:$I$187,'[1]Pricing Calculator'!K$17:K$187,'[1]Pricing Calculator'!$AG$17:$AG$187))</f>
        <v>0</v>
      </c>
      <c r="F25" s="585" cm="1">
        <f t="array" ref="F25">IF($C25="",0,SUMPRODUCT(--('[1]Pricing Calculator'!$C$17:$C$187=$C25),'[1]Pricing Calculator'!$I$17:$I$187,'[1]Pricing Calculator'!L$17:L$187,'[1]Pricing Calculator'!$AG$17:$AG$187))</f>
        <v>0</v>
      </c>
      <c r="G25" s="585" cm="1">
        <f t="array" ref="G25">IF($C25="",0,SUMPRODUCT(--('[1]Pricing Calculator'!$C$17:$C$187=$C25),'[1]Pricing Calculator'!$I$17:$I$187,'[1]Pricing Calculator'!M$17:M$187,'[1]Pricing Calculator'!$AG$17:$AG$187))</f>
        <v>0</v>
      </c>
      <c r="H25" s="585" cm="1">
        <f t="array" ref="H25">IF($C25="",0,SUMPRODUCT(--('[1]Pricing Calculator'!$C$17:$C$187=$C25),'[1]Pricing Calculator'!$I$17:$I$187,'[1]Pricing Calculator'!N$17:N$187,'[1]Pricing Calculator'!$AG$17:$AG$187))</f>
        <v>0</v>
      </c>
      <c r="I25" s="585" cm="1">
        <f t="array" ref="I25">IF($C25="",0,SUMPRODUCT(--('[1]Pricing Calculator'!$C$17:$C$187=$C25),'[1]Pricing Calculator'!$I$17:$I$187,'[1]Pricing Calculator'!O$17:O$187,'[1]Pricing Calculator'!$AG$17:$AG$187))</f>
        <v>0</v>
      </c>
      <c r="J25" s="585" cm="1">
        <f t="array" ref="J25">IF($C25="",0,SUMPRODUCT(--('[1]Pricing Calculator'!$C$17:$C$187=$C25),'[1]Pricing Calculator'!$I$17:$I$187,'[1]Pricing Calculator'!P$17:P$187,'[1]Pricing Calculator'!$AG$17:$AG$187))</f>
        <v>0</v>
      </c>
      <c r="K25" s="585" cm="1">
        <f t="array" ref="K25">IF($C25="",0,SUMPRODUCT(--('[1]Pricing Calculator'!$C$17:$C$187=$C25),'[1]Pricing Calculator'!$I$17:$I$187,'[1]Pricing Calculator'!Q$17:Q$187,'[1]Pricing Calculator'!$AG$17:$AG$187))</f>
        <v>0</v>
      </c>
      <c r="L25" s="585" cm="1">
        <f t="array" ref="L25">IF($C25="",0,SUMPRODUCT(--('[1]Pricing Calculator'!$C$17:$C$187=$C25),'[1]Pricing Calculator'!$I$17:$I$187,'[1]Pricing Calculator'!R$17:R$187,'[1]Pricing Calculator'!$AG$17:$AG$187))</f>
        <v>0</v>
      </c>
      <c r="M25" s="585" cm="1">
        <f t="array" ref="M25">IF($C25="",0,SUMPRODUCT(--('[1]Pricing Calculator'!$C$17:$C$187=$C25),'[1]Pricing Calculator'!$I$17:$I$187,'[1]Pricing Calculator'!S$17:S$187,'[1]Pricing Calculator'!$AG$17:$AG$187))</f>
        <v>0</v>
      </c>
      <c r="N25" s="585" cm="1">
        <f t="array" ref="N25">IF($C25="",0,SUMPRODUCT(--('[1]Pricing Calculator'!$C$17:$C$187=$C25),'[1]Pricing Calculator'!$I$17:$I$187,'[1]Pricing Calculator'!T$17:T$187,'[1]Pricing Calculator'!$AG$17:$AG$187))</f>
        <v>0</v>
      </c>
      <c r="O25" s="584" cm="1">
        <f t="array" ref="O25">IF($C25="",0,SUMPRODUCT(--('[1]Pricing Calculator'!$C$17:$C$187=$C25),'[1]Pricing Calculator'!$I$17:$I$187,'[1]Pricing Calculator'!U$17:U$187,'[1]Pricing Calculator'!$AG$17:$AG$187))</f>
        <v>0</v>
      </c>
      <c r="P25" s="585" cm="1">
        <f t="array" ref="P25">IF($C25="",0,SUMPRODUCT(--('[1]Pricing Calculator'!$C$17:$C$187=$C25),'[1]Pricing Calculator'!$I$17:$I$187,'[1]Pricing Calculator'!V$17:V$187,'[1]Pricing Calculator'!$AG$17:$AG$187))</f>
        <v>0</v>
      </c>
      <c r="Q25" s="585" cm="1">
        <f t="array" ref="Q25">IF($C25="",0,SUMPRODUCT(--('[1]Pricing Calculator'!$C$17:$C$187=$C25),'[1]Pricing Calculator'!$I$17:$I$187,'[1]Pricing Calculator'!W$17:W$187,'[1]Pricing Calculator'!$AG$17:$AG$187))</f>
        <v>0</v>
      </c>
      <c r="R25" s="585" cm="1">
        <f t="array" ref="R25">IF($C25="",0,SUMPRODUCT(--('[1]Pricing Calculator'!$C$17:$C$187=$C25),'[1]Pricing Calculator'!$I$17:$I$187,'[1]Pricing Calculator'!X$17:X$187,'[1]Pricing Calculator'!$AG$17:$AG$187))</f>
        <v>0</v>
      </c>
      <c r="S25" s="585" cm="1">
        <f t="array" ref="S25">IF($C25="",0,SUMPRODUCT(--('[1]Pricing Calculator'!$C$17:$C$187=$C25),'[1]Pricing Calculator'!$I$17:$I$187,'[1]Pricing Calculator'!Y$17:Y$187,'[1]Pricing Calculator'!$AG$17:$AG$187))</f>
        <v>0</v>
      </c>
      <c r="T25" s="585" cm="1">
        <f t="array" ref="T25">IF($C25="",0,SUMPRODUCT(--('[1]Pricing Calculator'!$C$17:$C$187=$C25),'[1]Pricing Calculator'!$I$17:$I$187,'[1]Pricing Calculator'!Z$17:Z$187,'[1]Pricing Calculator'!$AG$17:$AG$187))</f>
        <v>0</v>
      </c>
      <c r="U25" s="586" cm="1">
        <f t="array" ref="U25">IF($C25="",0,SUMPRODUCT(--('[1]Pricing Calculator'!$C$17:$C$187=$C25),'[1]Pricing Calculator'!$I$17:$I$187,'[1]Pricing Calculator'!AA$17:AA$187,'[1]Pricing Calculator'!$AG$17:$AG$187))</f>
        <v>0</v>
      </c>
      <c r="V25" s="584" cm="1">
        <f t="array" ref="V25">IF($C25="",0,SUMPRODUCT(--('[1]Pricing Calculator'!$C$17:$C$187=$C25),'[1]Pricing Calculator'!$I$17:$I$187,'[1]Pricing Calculator'!AB$17:AB$187,'[1]Pricing Calculator'!$AG$17:$AG$187))</f>
        <v>0</v>
      </c>
      <c r="W25" s="585" cm="1">
        <f t="array" ref="W25">IF($C25="",0,SUMPRODUCT(--('[1]Pricing Calculator'!$C$17:$C$187=$C25),'[1]Pricing Calculator'!$I$17:$I$187,'[1]Pricing Calculator'!AC$17:AC$187,'[1]Pricing Calculator'!$AG$17:$AG$187))</f>
        <v>0</v>
      </c>
      <c r="X25" s="585" cm="1">
        <f t="array" ref="X25">IF($C25="",0,SUMPRODUCT(--('[1]Pricing Calculator'!$C$17:$C$187=$C25),'[1]Pricing Calculator'!$I$17:$I$187,'[1]Pricing Calculator'!AD$17:AD$187,'[1]Pricing Calculator'!$AG$17:$AG$187))</f>
        <v>0</v>
      </c>
      <c r="Y25" s="586" cm="1">
        <f t="array" ref="Y25">IF($C25="",0,SUMPRODUCT(--('[1]Pricing Calculator'!$C$17:$C$187=$C25),'[1]Pricing Calculator'!$I$17:$I$187,'[1]Pricing Calculator'!AE$17:AE$187,'[1]Pricing Calculator'!$AG$17:$AG$187))</f>
        <v>0</v>
      </c>
      <c r="Z25" s="586">
        <f t="shared" si="0"/>
        <v>0</v>
      </c>
      <c r="AB25" s="587" cm="1">
        <f t="array" ref="AB25">IF($C25="",0,SUMPRODUCT(--('[1]Pricing Calculator'!$C$17:$C$187=$C25),'[1]Pricing Calculator'!$I$17:$I$187,'[1]Pricing Calculator'!AM$17:AM$187,'[1]Pricing Calculator'!$AG$17:$AG$187))*IF('[1]Pricing Summary'!$B$4="Yes",1+'[1]Core Assumptions'!$D$26,1)</f>
        <v>0</v>
      </c>
      <c r="AC25" s="587" cm="1">
        <f t="array" ref="AC25">IF($C25="",0,SUMPRODUCT(--('[1]Pricing Calculator'!$C$17:$C$187=$C25),'[1]Pricing Calculator'!$I$17:$I$187,'[1]Pricing Calculator'!AO$17:AO$187,'[1]Pricing Calculator'!$AG$17:$AG$187))*IF('[1]Pricing Summary'!$B$4="Yes",1+'[1]Core Assumptions'!$D$26,1)</f>
        <v>0</v>
      </c>
    </row>
    <row r="26" spans="1:29" ht="15.75" hidden="1" customHeight="1" outlineLevel="1" x14ac:dyDescent="0.2">
      <c r="A26" s="242">
        <v>8</v>
      </c>
      <c r="B26" s="582" t="str">
        <f>IF('[1]Core Assumptions'!B39="","",CONCATENATE("Entity - ",'[1]Core Assumptions'!B39))</f>
        <v/>
      </c>
      <c r="C26" s="583" t="str">
        <f>IF('[1]Core Assumptions'!B39="","",'[1]Core Assumptions'!B39)</f>
        <v/>
      </c>
      <c r="D26" s="245" t="s">
        <v>11</v>
      </c>
      <c r="E26" s="584" cm="1">
        <f t="array" ref="E26">IF($C26="",0,SUMPRODUCT(--('[1]Pricing Calculator'!$C$17:$C$187=$C26),'[1]Pricing Calculator'!$I$17:$I$187,'[1]Pricing Calculator'!K$17:K$187,'[1]Pricing Calculator'!$AG$17:$AG$187))</f>
        <v>0</v>
      </c>
      <c r="F26" s="585" cm="1">
        <f t="array" ref="F26">IF($C26="",0,SUMPRODUCT(--('[1]Pricing Calculator'!$C$17:$C$187=$C26),'[1]Pricing Calculator'!$I$17:$I$187,'[1]Pricing Calculator'!L$17:L$187,'[1]Pricing Calculator'!$AG$17:$AG$187))</f>
        <v>0</v>
      </c>
      <c r="G26" s="585" cm="1">
        <f t="array" ref="G26">IF($C26="",0,SUMPRODUCT(--('[1]Pricing Calculator'!$C$17:$C$187=$C26),'[1]Pricing Calculator'!$I$17:$I$187,'[1]Pricing Calculator'!M$17:M$187,'[1]Pricing Calculator'!$AG$17:$AG$187))</f>
        <v>0</v>
      </c>
      <c r="H26" s="585" cm="1">
        <f t="array" ref="H26">IF($C26="",0,SUMPRODUCT(--('[1]Pricing Calculator'!$C$17:$C$187=$C26),'[1]Pricing Calculator'!$I$17:$I$187,'[1]Pricing Calculator'!N$17:N$187,'[1]Pricing Calculator'!$AG$17:$AG$187))</f>
        <v>0</v>
      </c>
      <c r="I26" s="585" cm="1">
        <f t="array" ref="I26">IF($C26="",0,SUMPRODUCT(--('[1]Pricing Calculator'!$C$17:$C$187=$C26),'[1]Pricing Calculator'!$I$17:$I$187,'[1]Pricing Calculator'!O$17:O$187,'[1]Pricing Calculator'!$AG$17:$AG$187))</f>
        <v>0</v>
      </c>
      <c r="J26" s="585" cm="1">
        <f t="array" ref="J26">IF($C26="",0,SUMPRODUCT(--('[1]Pricing Calculator'!$C$17:$C$187=$C26),'[1]Pricing Calculator'!$I$17:$I$187,'[1]Pricing Calculator'!P$17:P$187,'[1]Pricing Calculator'!$AG$17:$AG$187))</f>
        <v>0</v>
      </c>
      <c r="K26" s="585" cm="1">
        <f t="array" ref="K26">IF($C26="",0,SUMPRODUCT(--('[1]Pricing Calculator'!$C$17:$C$187=$C26),'[1]Pricing Calculator'!$I$17:$I$187,'[1]Pricing Calculator'!Q$17:Q$187,'[1]Pricing Calculator'!$AG$17:$AG$187))</f>
        <v>0</v>
      </c>
      <c r="L26" s="585" cm="1">
        <f t="array" ref="L26">IF($C26="",0,SUMPRODUCT(--('[1]Pricing Calculator'!$C$17:$C$187=$C26),'[1]Pricing Calculator'!$I$17:$I$187,'[1]Pricing Calculator'!R$17:R$187,'[1]Pricing Calculator'!$AG$17:$AG$187))</f>
        <v>0</v>
      </c>
      <c r="M26" s="585" cm="1">
        <f t="array" ref="M26">IF($C26="",0,SUMPRODUCT(--('[1]Pricing Calculator'!$C$17:$C$187=$C26),'[1]Pricing Calculator'!$I$17:$I$187,'[1]Pricing Calculator'!S$17:S$187,'[1]Pricing Calculator'!$AG$17:$AG$187))</f>
        <v>0</v>
      </c>
      <c r="N26" s="585" cm="1">
        <f t="array" ref="N26">IF($C26="",0,SUMPRODUCT(--('[1]Pricing Calculator'!$C$17:$C$187=$C26),'[1]Pricing Calculator'!$I$17:$I$187,'[1]Pricing Calculator'!T$17:T$187,'[1]Pricing Calculator'!$AG$17:$AG$187))</f>
        <v>0</v>
      </c>
      <c r="O26" s="584" cm="1">
        <f t="array" ref="O26">IF($C26="",0,SUMPRODUCT(--('[1]Pricing Calculator'!$C$17:$C$187=$C26),'[1]Pricing Calculator'!$I$17:$I$187,'[1]Pricing Calculator'!U$17:U$187,'[1]Pricing Calculator'!$AG$17:$AG$187))</f>
        <v>0</v>
      </c>
      <c r="P26" s="585" cm="1">
        <f t="array" ref="P26">IF($C26="",0,SUMPRODUCT(--('[1]Pricing Calculator'!$C$17:$C$187=$C26),'[1]Pricing Calculator'!$I$17:$I$187,'[1]Pricing Calculator'!V$17:V$187,'[1]Pricing Calculator'!$AG$17:$AG$187))</f>
        <v>0</v>
      </c>
      <c r="Q26" s="585" cm="1">
        <f t="array" ref="Q26">IF($C26="",0,SUMPRODUCT(--('[1]Pricing Calculator'!$C$17:$C$187=$C26),'[1]Pricing Calculator'!$I$17:$I$187,'[1]Pricing Calculator'!W$17:W$187,'[1]Pricing Calculator'!$AG$17:$AG$187))</f>
        <v>0</v>
      </c>
      <c r="R26" s="585" cm="1">
        <f t="array" ref="R26">IF($C26="",0,SUMPRODUCT(--('[1]Pricing Calculator'!$C$17:$C$187=$C26),'[1]Pricing Calculator'!$I$17:$I$187,'[1]Pricing Calculator'!X$17:X$187,'[1]Pricing Calculator'!$AG$17:$AG$187))</f>
        <v>0</v>
      </c>
      <c r="S26" s="585" cm="1">
        <f t="array" ref="S26">IF($C26="",0,SUMPRODUCT(--('[1]Pricing Calculator'!$C$17:$C$187=$C26),'[1]Pricing Calculator'!$I$17:$I$187,'[1]Pricing Calculator'!Y$17:Y$187,'[1]Pricing Calculator'!$AG$17:$AG$187))</f>
        <v>0</v>
      </c>
      <c r="T26" s="585" cm="1">
        <f t="array" ref="T26">IF($C26="",0,SUMPRODUCT(--('[1]Pricing Calculator'!$C$17:$C$187=$C26),'[1]Pricing Calculator'!$I$17:$I$187,'[1]Pricing Calculator'!Z$17:Z$187,'[1]Pricing Calculator'!$AG$17:$AG$187))</f>
        <v>0</v>
      </c>
      <c r="U26" s="586" cm="1">
        <f t="array" ref="U26">IF($C26="",0,SUMPRODUCT(--('[1]Pricing Calculator'!$C$17:$C$187=$C26),'[1]Pricing Calculator'!$I$17:$I$187,'[1]Pricing Calculator'!AA$17:AA$187,'[1]Pricing Calculator'!$AG$17:$AG$187))</f>
        <v>0</v>
      </c>
      <c r="V26" s="584" cm="1">
        <f t="array" ref="V26">IF($C26="",0,SUMPRODUCT(--('[1]Pricing Calculator'!$C$17:$C$187=$C26),'[1]Pricing Calculator'!$I$17:$I$187,'[1]Pricing Calculator'!AB$17:AB$187,'[1]Pricing Calculator'!$AG$17:$AG$187))</f>
        <v>0</v>
      </c>
      <c r="W26" s="585" cm="1">
        <f t="array" ref="W26">IF($C26="",0,SUMPRODUCT(--('[1]Pricing Calculator'!$C$17:$C$187=$C26),'[1]Pricing Calculator'!$I$17:$I$187,'[1]Pricing Calculator'!AC$17:AC$187,'[1]Pricing Calculator'!$AG$17:$AG$187))</f>
        <v>0</v>
      </c>
      <c r="X26" s="585" cm="1">
        <f t="array" ref="X26">IF($C26="",0,SUMPRODUCT(--('[1]Pricing Calculator'!$C$17:$C$187=$C26),'[1]Pricing Calculator'!$I$17:$I$187,'[1]Pricing Calculator'!AD$17:AD$187,'[1]Pricing Calculator'!$AG$17:$AG$187))</f>
        <v>0</v>
      </c>
      <c r="Y26" s="586" cm="1">
        <f t="array" ref="Y26">IF($C26="",0,SUMPRODUCT(--('[1]Pricing Calculator'!$C$17:$C$187=$C26),'[1]Pricing Calculator'!$I$17:$I$187,'[1]Pricing Calculator'!AE$17:AE$187,'[1]Pricing Calculator'!$AG$17:$AG$187))</f>
        <v>0</v>
      </c>
      <c r="Z26" s="586">
        <f t="shared" si="0"/>
        <v>0</v>
      </c>
      <c r="AB26" s="587" cm="1">
        <f t="array" ref="AB26">IF($C26="",0,SUMPRODUCT(--('[1]Pricing Calculator'!$C$17:$C$187=$C26),'[1]Pricing Calculator'!$I$17:$I$187,'[1]Pricing Calculator'!AM$17:AM$187,'[1]Pricing Calculator'!$AG$17:$AG$187))*IF('[1]Pricing Summary'!$B$4="Yes",1+'[1]Core Assumptions'!$D$26,1)</f>
        <v>0</v>
      </c>
      <c r="AC26" s="587" cm="1">
        <f t="array" ref="AC26">IF($C26="",0,SUMPRODUCT(--('[1]Pricing Calculator'!$C$17:$C$187=$C26),'[1]Pricing Calculator'!$I$17:$I$187,'[1]Pricing Calculator'!AO$17:AO$187,'[1]Pricing Calculator'!$AG$17:$AG$187))*IF('[1]Pricing Summary'!$B$4="Yes",1+'[1]Core Assumptions'!$D$26,1)</f>
        <v>0</v>
      </c>
    </row>
    <row r="27" spans="1:29" ht="15.75" hidden="1" customHeight="1" outlineLevel="1" x14ac:dyDescent="0.2">
      <c r="A27" s="242">
        <v>9</v>
      </c>
      <c r="B27" s="582" t="str">
        <f>IF('[1]Core Assumptions'!B40="","",CONCATENATE("Entity - ",'[1]Core Assumptions'!B40))</f>
        <v/>
      </c>
      <c r="C27" s="583" t="str">
        <f>IF('[1]Core Assumptions'!B40="","",'[1]Core Assumptions'!B40)</f>
        <v/>
      </c>
      <c r="D27" s="245" t="s">
        <v>11</v>
      </c>
      <c r="E27" s="584" cm="1">
        <f t="array" ref="E27">IF($C27="",0,SUMPRODUCT(--('[1]Pricing Calculator'!$C$17:$C$187=$C27),'[1]Pricing Calculator'!$I$17:$I$187,'[1]Pricing Calculator'!K$17:K$187,'[1]Pricing Calculator'!$AG$17:$AG$187))</f>
        <v>0</v>
      </c>
      <c r="F27" s="585" cm="1">
        <f t="array" ref="F27">IF($C27="",0,SUMPRODUCT(--('[1]Pricing Calculator'!$C$17:$C$187=$C27),'[1]Pricing Calculator'!$I$17:$I$187,'[1]Pricing Calculator'!L$17:L$187,'[1]Pricing Calculator'!$AG$17:$AG$187))</f>
        <v>0</v>
      </c>
      <c r="G27" s="585" cm="1">
        <f t="array" ref="G27">IF($C27="",0,SUMPRODUCT(--('[1]Pricing Calculator'!$C$17:$C$187=$C27),'[1]Pricing Calculator'!$I$17:$I$187,'[1]Pricing Calculator'!M$17:M$187,'[1]Pricing Calculator'!$AG$17:$AG$187))</f>
        <v>0</v>
      </c>
      <c r="H27" s="585" cm="1">
        <f t="array" ref="H27">IF($C27="",0,SUMPRODUCT(--('[1]Pricing Calculator'!$C$17:$C$187=$C27),'[1]Pricing Calculator'!$I$17:$I$187,'[1]Pricing Calculator'!N$17:N$187,'[1]Pricing Calculator'!$AG$17:$AG$187))</f>
        <v>0</v>
      </c>
      <c r="I27" s="585" cm="1">
        <f t="array" ref="I27">IF($C27="",0,SUMPRODUCT(--('[1]Pricing Calculator'!$C$17:$C$187=$C27),'[1]Pricing Calculator'!$I$17:$I$187,'[1]Pricing Calculator'!O$17:O$187,'[1]Pricing Calculator'!$AG$17:$AG$187))</f>
        <v>0</v>
      </c>
      <c r="J27" s="585" cm="1">
        <f t="array" ref="J27">IF($C27="",0,SUMPRODUCT(--('[1]Pricing Calculator'!$C$17:$C$187=$C27),'[1]Pricing Calculator'!$I$17:$I$187,'[1]Pricing Calculator'!P$17:P$187,'[1]Pricing Calculator'!$AG$17:$AG$187))</f>
        <v>0</v>
      </c>
      <c r="K27" s="585" cm="1">
        <f t="array" ref="K27">IF($C27="",0,SUMPRODUCT(--('[1]Pricing Calculator'!$C$17:$C$187=$C27),'[1]Pricing Calculator'!$I$17:$I$187,'[1]Pricing Calculator'!Q$17:Q$187,'[1]Pricing Calculator'!$AG$17:$AG$187))</f>
        <v>0</v>
      </c>
      <c r="L27" s="585" cm="1">
        <f t="array" ref="L27">IF($C27="",0,SUMPRODUCT(--('[1]Pricing Calculator'!$C$17:$C$187=$C27),'[1]Pricing Calculator'!$I$17:$I$187,'[1]Pricing Calculator'!R$17:R$187,'[1]Pricing Calculator'!$AG$17:$AG$187))</f>
        <v>0</v>
      </c>
      <c r="M27" s="585" cm="1">
        <f t="array" ref="M27">IF($C27="",0,SUMPRODUCT(--('[1]Pricing Calculator'!$C$17:$C$187=$C27),'[1]Pricing Calculator'!$I$17:$I$187,'[1]Pricing Calculator'!S$17:S$187,'[1]Pricing Calculator'!$AG$17:$AG$187))</f>
        <v>0</v>
      </c>
      <c r="N27" s="585" cm="1">
        <f t="array" ref="N27">IF($C27="",0,SUMPRODUCT(--('[1]Pricing Calculator'!$C$17:$C$187=$C27),'[1]Pricing Calculator'!$I$17:$I$187,'[1]Pricing Calculator'!T$17:T$187,'[1]Pricing Calculator'!$AG$17:$AG$187))</f>
        <v>0</v>
      </c>
      <c r="O27" s="584" cm="1">
        <f t="array" ref="O27">IF($C27="",0,SUMPRODUCT(--('[1]Pricing Calculator'!$C$17:$C$187=$C27),'[1]Pricing Calculator'!$I$17:$I$187,'[1]Pricing Calculator'!U$17:U$187,'[1]Pricing Calculator'!$AG$17:$AG$187))</f>
        <v>0</v>
      </c>
      <c r="P27" s="585" cm="1">
        <f t="array" ref="P27">IF($C27="",0,SUMPRODUCT(--('[1]Pricing Calculator'!$C$17:$C$187=$C27),'[1]Pricing Calculator'!$I$17:$I$187,'[1]Pricing Calculator'!V$17:V$187,'[1]Pricing Calculator'!$AG$17:$AG$187))</f>
        <v>0</v>
      </c>
      <c r="Q27" s="585" cm="1">
        <f t="array" ref="Q27">IF($C27="",0,SUMPRODUCT(--('[1]Pricing Calculator'!$C$17:$C$187=$C27),'[1]Pricing Calculator'!$I$17:$I$187,'[1]Pricing Calculator'!W$17:W$187,'[1]Pricing Calculator'!$AG$17:$AG$187))</f>
        <v>0</v>
      </c>
      <c r="R27" s="585" cm="1">
        <f t="array" ref="R27">IF($C27="",0,SUMPRODUCT(--('[1]Pricing Calculator'!$C$17:$C$187=$C27),'[1]Pricing Calculator'!$I$17:$I$187,'[1]Pricing Calculator'!X$17:X$187,'[1]Pricing Calculator'!$AG$17:$AG$187))</f>
        <v>0</v>
      </c>
      <c r="S27" s="585" cm="1">
        <f t="array" ref="S27">IF($C27="",0,SUMPRODUCT(--('[1]Pricing Calculator'!$C$17:$C$187=$C27),'[1]Pricing Calculator'!$I$17:$I$187,'[1]Pricing Calculator'!Y$17:Y$187,'[1]Pricing Calculator'!$AG$17:$AG$187))</f>
        <v>0</v>
      </c>
      <c r="T27" s="585" cm="1">
        <f t="array" ref="T27">IF($C27="",0,SUMPRODUCT(--('[1]Pricing Calculator'!$C$17:$C$187=$C27),'[1]Pricing Calculator'!$I$17:$I$187,'[1]Pricing Calculator'!Z$17:Z$187,'[1]Pricing Calculator'!$AG$17:$AG$187))</f>
        <v>0</v>
      </c>
      <c r="U27" s="586" cm="1">
        <f t="array" ref="U27">IF($C27="",0,SUMPRODUCT(--('[1]Pricing Calculator'!$C$17:$C$187=$C27),'[1]Pricing Calculator'!$I$17:$I$187,'[1]Pricing Calculator'!AA$17:AA$187,'[1]Pricing Calculator'!$AG$17:$AG$187))</f>
        <v>0</v>
      </c>
      <c r="V27" s="584" cm="1">
        <f t="array" ref="V27">IF($C27="",0,SUMPRODUCT(--('[1]Pricing Calculator'!$C$17:$C$187=$C27),'[1]Pricing Calculator'!$I$17:$I$187,'[1]Pricing Calculator'!AB$17:AB$187,'[1]Pricing Calculator'!$AG$17:$AG$187))</f>
        <v>0</v>
      </c>
      <c r="W27" s="585" cm="1">
        <f t="array" ref="W27">IF($C27="",0,SUMPRODUCT(--('[1]Pricing Calculator'!$C$17:$C$187=$C27),'[1]Pricing Calculator'!$I$17:$I$187,'[1]Pricing Calculator'!AC$17:AC$187,'[1]Pricing Calculator'!$AG$17:$AG$187))</f>
        <v>0</v>
      </c>
      <c r="X27" s="585" cm="1">
        <f t="array" ref="X27">IF($C27="",0,SUMPRODUCT(--('[1]Pricing Calculator'!$C$17:$C$187=$C27),'[1]Pricing Calculator'!$I$17:$I$187,'[1]Pricing Calculator'!AD$17:AD$187,'[1]Pricing Calculator'!$AG$17:$AG$187))</f>
        <v>0</v>
      </c>
      <c r="Y27" s="586" cm="1">
        <f t="array" ref="Y27">IF($C27="",0,SUMPRODUCT(--('[1]Pricing Calculator'!$C$17:$C$187=$C27),'[1]Pricing Calculator'!$I$17:$I$187,'[1]Pricing Calculator'!AE$17:AE$187,'[1]Pricing Calculator'!$AG$17:$AG$187))</f>
        <v>0</v>
      </c>
      <c r="Z27" s="586">
        <f t="shared" si="0"/>
        <v>0</v>
      </c>
      <c r="AB27" s="587" cm="1">
        <f t="array" ref="AB27">IF($C27="",0,SUMPRODUCT(--('[1]Pricing Calculator'!$C$17:$C$187=$C27),'[1]Pricing Calculator'!$I$17:$I$187,'[1]Pricing Calculator'!AM$17:AM$187,'[1]Pricing Calculator'!$AG$17:$AG$187))*IF('[1]Pricing Summary'!$B$4="Yes",1+'[1]Core Assumptions'!$D$26,1)</f>
        <v>0</v>
      </c>
      <c r="AC27" s="587" cm="1">
        <f t="array" ref="AC27">IF($C27="",0,SUMPRODUCT(--('[1]Pricing Calculator'!$C$17:$C$187=$C27),'[1]Pricing Calculator'!$I$17:$I$187,'[1]Pricing Calculator'!AO$17:AO$187,'[1]Pricing Calculator'!$AG$17:$AG$187))*IF('[1]Pricing Summary'!$B$4="Yes",1+'[1]Core Assumptions'!$D$26,1)</f>
        <v>0</v>
      </c>
    </row>
    <row r="28" spans="1:29" ht="15.75" hidden="1" customHeight="1" outlineLevel="1" x14ac:dyDescent="0.2">
      <c r="A28" s="242">
        <v>10</v>
      </c>
      <c r="B28" s="582" t="str">
        <f>IF('[1]Core Assumptions'!B41="","",CONCATENATE("Entity - ",'[1]Core Assumptions'!B41))</f>
        <v/>
      </c>
      <c r="C28" s="583" t="str">
        <f>IF('[1]Core Assumptions'!B41="","",'[1]Core Assumptions'!B41)</f>
        <v/>
      </c>
      <c r="D28" s="245" t="s">
        <v>11</v>
      </c>
      <c r="E28" s="584" cm="1">
        <f t="array" ref="E28">IF($C28="",0,SUMPRODUCT(--('[1]Pricing Calculator'!$C$17:$C$187=$C28),'[1]Pricing Calculator'!$I$17:$I$187,'[1]Pricing Calculator'!K$17:K$187,'[1]Pricing Calculator'!$AG$17:$AG$187))</f>
        <v>0</v>
      </c>
      <c r="F28" s="585" cm="1">
        <f t="array" ref="F28">IF($C28="",0,SUMPRODUCT(--('[1]Pricing Calculator'!$C$17:$C$187=$C28),'[1]Pricing Calculator'!$I$17:$I$187,'[1]Pricing Calculator'!L$17:L$187,'[1]Pricing Calculator'!$AG$17:$AG$187))</f>
        <v>0</v>
      </c>
      <c r="G28" s="585" cm="1">
        <f t="array" ref="G28">IF($C28="",0,SUMPRODUCT(--('[1]Pricing Calculator'!$C$17:$C$187=$C28),'[1]Pricing Calculator'!$I$17:$I$187,'[1]Pricing Calculator'!M$17:M$187,'[1]Pricing Calculator'!$AG$17:$AG$187))</f>
        <v>0</v>
      </c>
      <c r="H28" s="585" cm="1">
        <f t="array" ref="H28">IF($C28="",0,SUMPRODUCT(--('[1]Pricing Calculator'!$C$17:$C$187=$C28),'[1]Pricing Calculator'!$I$17:$I$187,'[1]Pricing Calculator'!N$17:N$187,'[1]Pricing Calculator'!$AG$17:$AG$187))</f>
        <v>0</v>
      </c>
      <c r="I28" s="585" cm="1">
        <f t="array" ref="I28">IF($C28="",0,SUMPRODUCT(--('[1]Pricing Calculator'!$C$17:$C$187=$C28),'[1]Pricing Calculator'!$I$17:$I$187,'[1]Pricing Calculator'!O$17:O$187,'[1]Pricing Calculator'!$AG$17:$AG$187))</f>
        <v>0</v>
      </c>
      <c r="J28" s="585" cm="1">
        <f t="array" ref="J28">IF($C28="",0,SUMPRODUCT(--('[1]Pricing Calculator'!$C$17:$C$187=$C28),'[1]Pricing Calculator'!$I$17:$I$187,'[1]Pricing Calculator'!P$17:P$187,'[1]Pricing Calculator'!$AG$17:$AG$187))</f>
        <v>0</v>
      </c>
      <c r="K28" s="585" cm="1">
        <f t="array" ref="K28">IF($C28="",0,SUMPRODUCT(--('[1]Pricing Calculator'!$C$17:$C$187=$C28),'[1]Pricing Calculator'!$I$17:$I$187,'[1]Pricing Calculator'!Q$17:Q$187,'[1]Pricing Calculator'!$AG$17:$AG$187))</f>
        <v>0</v>
      </c>
      <c r="L28" s="585" cm="1">
        <f t="array" ref="L28">IF($C28="",0,SUMPRODUCT(--('[1]Pricing Calculator'!$C$17:$C$187=$C28),'[1]Pricing Calculator'!$I$17:$I$187,'[1]Pricing Calculator'!R$17:R$187,'[1]Pricing Calculator'!$AG$17:$AG$187))</f>
        <v>0</v>
      </c>
      <c r="M28" s="585" cm="1">
        <f t="array" ref="M28">IF($C28="",0,SUMPRODUCT(--('[1]Pricing Calculator'!$C$17:$C$187=$C28),'[1]Pricing Calculator'!$I$17:$I$187,'[1]Pricing Calculator'!S$17:S$187,'[1]Pricing Calculator'!$AG$17:$AG$187))</f>
        <v>0</v>
      </c>
      <c r="N28" s="585" cm="1">
        <f t="array" ref="N28">IF($C28="",0,SUMPRODUCT(--('[1]Pricing Calculator'!$C$17:$C$187=$C28),'[1]Pricing Calculator'!$I$17:$I$187,'[1]Pricing Calculator'!T$17:T$187,'[1]Pricing Calculator'!$AG$17:$AG$187))</f>
        <v>0</v>
      </c>
      <c r="O28" s="584" cm="1">
        <f t="array" ref="O28">IF($C28="",0,SUMPRODUCT(--('[1]Pricing Calculator'!$C$17:$C$187=$C28),'[1]Pricing Calculator'!$I$17:$I$187,'[1]Pricing Calculator'!U$17:U$187,'[1]Pricing Calculator'!$AG$17:$AG$187))</f>
        <v>0</v>
      </c>
      <c r="P28" s="585" cm="1">
        <f t="array" ref="P28">IF($C28="",0,SUMPRODUCT(--('[1]Pricing Calculator'!$C$17:$C$187=$C28),'[1]Pricing Calculator'!$I$17:$I$187,'[1]Pricing Calculator'!V$17:V$187,'[1]Pricing Calculator'!$AG$17:$AG$187))</f>
        <v>0</v>
      </c>
      <c r="Q28" s="585" cm="1">
        <f t="array" ref="Q28">IF($C28="",0,SUMPRODUCT(--('[1]Pricing Calculator'!$C$17:$C$187=$C28),'[1]Pricing Calculator'!$I$17:$I$187,'[1]Pricing Calculator'!W$17:W$187,'[1]Pricing Calculator'!$AG$17:$AG$187))</f>
        <v>0</v>
      </c>
      <c r="R28" s="585" cm="1">
        <f t="array" ref="R28">IF($C28="",0,SUMPRODUCT(--('[1]Pricing Calculator'!$C$17:$C$187=$C28),'[1]Pricing Calculator'!$I$17:$I$187,'[1]Pricing Calculator'!X$17:X$187,'[1]Pricing Calculator'!$AG$17:$AG$187))</f>
        <v>0</v>
      </c>
      <c r="S28" s="585" cm="1">
        <f t="array" ref="S28">IF($C28="",0,SUMPRODUCT(--('[1]Pricing Calculator'!$C$17:$C$187=$C28),'[1]Pricing Calculator'!$I$17:$I$187,'[1]Pricing Calculator'!Y$17:Y$187,'[1]Pricing Calculator'!$AG$17:$AG$187))</f>
        <v>0</v>
      </c>
      <c r="T28" s="585" cm="1">
        <f t="array" ref="T28">IF($C28="",0,SUMPRODUCT(--('[1]Pricing Calculator'!$C$17:$C$187=$C28),'[1]Pricing Calculator'!$I$17:$I$187,'[1]Pricing Calculator'!Z$17:Z$187,'[1]Pricing Calculator'!$AG$17:$AG$187))</f>
        <v>0</v>
      </c>
      <c r="U28" s="586" cm="1">
        <f t="array" ref="U28">IF($C28="",0,SUMPRODUCT(--('[1]Pricing Calculator'!$C$17:$C$187=$C28),'[1]Pricing Calculator'!$I$17:$I$187,'[1]Pricing Calculator'!AA$17:AA$187,'[1]Pricing Calculator'!$AG$17:$AG$187))</f>
        <v>0</v>
      </c>
      <c r="V28" s="584" cm="1">
        <f t="array" ref="V28">IF($C28="",0,SUMPRODUCT(--('[1]Pricing Calculator'!$C$17:$C$187=$C28),'[1]Pricing Calculator'!$I$17:$I$187,'[1]Pricing Calculator'!AB$17:AB$187,'[1]Pricing Calculator'!$AG$17:$AG$187))</f>
        <v>0</v>
      </c>
      <c r="W28" s="585" cm="1">
        <f t="array" ref="W28">IF($C28="",0,SUMPRODUCT(--('[1]Pricing Calculator'!$C$17:$C$187=$C28),'[1]Pricing Calculator'!$I$17:$I$187,'[1]Pricing Calculator'!AC$17:AC$187,'[1]Pricing Calculator'!$AG$17:$AG$187))</f>
        <v>0</v>
      </c>
      <c r="X28" s="585" cm="1">
        <f t="array" ref="X28">IF($C28="",0,SUMPRODUCT(--('[1]Pricing Calculator'!$C$17:$C$187=$C28),'[1]Pricing Calculator'!$I$17:$I$187,'[1]Pricing Calculator'!AD$17:AD$187,'[1]Pricing Calculator'!$AG$17:$AG$187))</f>
        <v>0</v>
      </c>
      <c r="Y28" s="586" cm="1">
        <f t="array" ref="Y28">IF($C28="",0,SUMPRODUCT(--('[1]Pricing Calculator'!$C$17:$C$187=$C28),'[1]Pricing Calculator'!$I$17:$I$187,'[1]Pricing Calculator'!AE$17:AE$187,'[1]Pricing Calculator'!$AG$17:$AG$187))</f>
        <v>0</v>
      </c>
      <c r="Z28" s="586">
        <f t="shared" si="0"/>
        <v>0</v>
      </c>
      <c r="AB28" s="587" cm="1">
        <f t="array" ref="AB28">IF($C28="",0,SUMPRODUCT(--('[1]Pricing Calculator'!$C$17:$C$187=$C28),'[1]Pricing Calculator'!$I$17:$I$187,'[1]Pricing Calculator'!AM$17:AM$187,'[1]Pricing Calculator'!$AG$17:$AG$187))*IF('[1]Pricing Summary'!$B$4="Yes",1+'[1]Core Assumptions'!$D$26,1)</f>
        <v>0</v>
      </c>
      <c r="AC28" s="587" cm="1">
        <f t="array" ref="AC28">IF($C28="",0,SUMPRODUCT(--('[1]Pricing Calculator'!$C$17:$C$187=$C28),'[1]Pricing Calculator'!$I$17:$I$187,'[1]Pricing Calculator'!AO$17:AO$187,'[1]Pricing Calculator'!$AG$17:$AG$187))*IF('[1]Pricing Summary'!$B$4="Yes",1+'[1]Core Assumptions'!$D$26,1)</f>
        <v>0</v>
      </c>
    </row>
    <row r="29" spans="1:29" ht="15.75" hidden="1" customHeight="1" outlineLevel="1" x14ac:dyDescent="0.2">
      <c r="A29" s="242">
        <v>11</v>
      </c>
      <c r="B29" s="582" t="str">
        <f>IF('[1]Core Assumptions'!B42="","",CONCATENATE("Entity - ",'[1]Core Assumptions'!B42))</f>
        <v/>
      </c>
      <c r="C29" s="583" t="str">
        <f>IF('[1]Core Assumptions'!B42="","",'[1]Core Assumptions'!B42)</f>
        <v/>
      </c>
      <c r="D29" s="245" t="s">
        <v>11</v>
      </c>
      <c r="E29" s="584" cm="1">
        <f t="array" ref="E29">IF($C29="",0,SUMPRODUCT(--('[1]Pricing Calculator'!$C$17:$C$187=$C29),'[1]Pricing Calculator'!$I$17:$I$187,'[1]Pricing Calculator'!K$17:K$187,'[1]Pricing Calculator'!$AG$17:$AG$187))</f>
        <v>0</v>
      </c>
      <c r="F29" s="585" cm="1">
        <f t="array" ref="F29">IF($C29="",0,SUMPRODUCT(--('[1]Pricing Calculator'!$C$17:$C$187=$C29),'[1]Pricing Calculator'!$I$17:$I$187,'[1]Pricing Calculator'!L$17:L$187,'[1]Pricing Calculator'!$AG$17:$AG$187))</f>
        <v>0</v>
      </c>
      <c r="G29" s="585" cm="1">
        <f t="array" ref="G29">IF($C29="",0,SUMPRODUCT(--('[1]Pricing Calculator'!$C$17:$C$187=$C29),'[1]Pricing Calculator'!$I$17:$I$187,'[1]Pricing Calculator'!M$17:M$187,'[1]Pricing Calculator'!$AG$17:$AG$187))</f>
        <v>0</v>
      </c>
      <c r="H29" s="585" cm="1">
        <f t="array" ref="H29">IF($C29="",0,SUMPRODUCT(--('[1]Pricing Calculator'!$C$17:$C$187=$C29),'[1]Pricing Calculator'!$I$17:$I$187,'[1]Pricing Calculator'!N$17:N$187,'[1]Pricing Calculator'!$AG$17:$AG$187))</f>
        <v>0</v>
      </c>
      <c r="I29" s="585" cm="1">
        <f t="array" ref="I29">IF($C29="",0,SUMPRODUCT(--('[1]Pricing Calculator'!$C$17:$C$187=$C29),'[1]Pricing Calculator'!$I$17:$I$187,'[1]Pricing Calculator'!O$17:O$187,'[1]Pricing Calculator'!$AG$17:$AG$187))</f>
        <v>0</v>
      </c>
      <c r="J29" s="585" cm="1">
        <f t="array" ref="J29">IF($C29="",0,SUMPRODUCT(--('[1]Pricing Calculator'!$C$17:$C$187=$C29),'[1]Pricing Calculator'!$I$17:$I$187,'[1]Pricing Calculator'!P$17:P$187,'[1]Pricing Calculator'!$AG$17:$AG$187))</f>
        <v>0</v>
      </c>
      <c r="K29" s="585" cm="1">
        <f t="array" ref="K29">IF($C29="",0,SUMPRODUCT(--('[1]Pricing Calculator'!$C$17:$C$187=$C29),'[1]Pricing Calculator'!$I$17:$I$187,'[1]Pricing Calculator'!Q$17:Q$187,'[1]Pricing Calculator'!$AG$17:$AG$187))</f>
        <v>0</v>
      </c>
      <c r="L29" s="585" cm="1">
        <f t="array" ref="L29">IF($C29="",0,SUMPRODUCT(--('[1]Pricing Calculator'!$C$17:$C$187=$C29),'[1]Pricing Calculator'!$I$17:$I$187,'[1]Pricing Calculator'!R$17:R$187,'[1]Pricing Calculator'!$AG$17:$AG$187))</f>
        <v>0</v>
      </c>
      <c r="M29" s="585" cm="1">
        <f t="array" ref="M29">IF($C29="",0,SUMPRODUCT(--('[1]Pricing Calculator'!$C$17:$C$187=$C29),'[1]Pricing Calculator'!$I$17:$I$187,'[1]Pricing Calculator'!S$17:S$187,'[1]Pricing Calculator'!$AG$17:$AG$187))</f>
        <v>0</v>
      </c>
      <c r="N29" s="585" cm="1">
        <f t="array" ref="N29">IF($C29="",0,SUMPRODUCT(--('[1]Pricing Calculator'!$C$17:$C$187=$C29),'[1]Pricing Calculator'!$I$17:$I$187,'[1]Pricing Calculator'!T$17:T$187,'[1]Pricing Calculator'!$AG$17:$AG$187))</f>
        <v>0</v>
      </c>
      <c r="O29" s="584" cm="1">
        <f t="array" ref="O29">IF($C29="",0,SUMPRODUCT(--('[1]Pricing Calculator'!$C$17:$C$187=$C29),'[1]Pricing Calculator'!$I$17:$I$187,'[1]Pricing Calculator'!U$17:U$187,'[1]Pricing Calculator'!$AG$17:$AG$187))</f>
        <v>0</v>
      </c>
      <c r="P29" s="585" cm="1">
        <f t="array" ref="P29">IF($C29="",0,SUMPRODUCT(--('[1]Pricing Calculator'!$C$17:$C$187=$C29),'[1]Pricing Calculator'!$I$17:$I$187,'[1]Pricing Calculator'!V$17:V$187,'[1]Pricing Calculator'!$AG$17:$AG$187))</f>
        <v>0</v>
      </c>
      <c r="Q29" s="585" cm="1">
        <f t="array" ref="Q29">IF($C29="",0,SUMPRODUCT(--('[1]Pricing Calculator'!$C$17:$C$187=$C29),'[1]Pricing Calculator'!$I$17:$I$187,'[1]Pricing Calculator'!W$17:W$187,'[1]Pricing Calculator'!$AG$17:$AG$187))</f>
        <v>0</v>
      </c>
      <c r="R29" s="585" cm="1">
        <f t="array" ref="R29">IF($C29="",0,SUMPRODUCT(--('[1]Pricing Calculator'!$C$17:$C$187=$C29),'[1]Pricing Calculator'!$I$17:$I$187,'[1]Pricing Calculator'!X$17:X$187,'[1]Pricing Calculator'!$AG$17:$AG$187))</f>
        <v>0</v>
      </c>
      <c r="S29" s="585" cm="1">
        <f t="array" ref="S29">IF($C29="",0,SUMPRODUCT(--('[1]Pricing Calculator'!$C$17:$C$187=$C29),'[1]Pricing Calculator'!$I$17:$I$187,'[1]Pricing Calculator'!Y$17:Y$187,'[1]Pricing Calculator'!$AG$17:$AG$187))</f>
        <v>0</v>
      </c>
      <c r="T29" s="585" cm="1">
        <f t="array" ref="T29">IF($C29="",0,SUMPRODUCT(--('[1]Pricing Calculator'!$C$17:$C$187=$C29),'[1]Pricing Calculator'!$I$17:$I$187,'[1]Pricing Calculator'!Z$17:Z$187,'[1]Pricing Calculator'!$AG$17:$AG$187))</f>
        <v>0</v>
      </c>
      <c r="U29" s="586" cm="1">
        <f t="array" ref="U29">IF($C29="",0,SUMPRODUCT(--('[1]Pricing Calculator'!$C$17:$C$187=$C29),'[1]Pricing Calculator'!$I$17:$I$187,'[1]Pricing Calculator'!AA$17:AA$187,'[1]Pricing Calculator'!$AG$17:$AG$187))</f>
        <v>0</v>
      </c>
      <c r="V29" s="584" cm="1">
        <f t="array" ref="V29">IF($C29="",0,SUMPRODUCT(--('[1]Pricing Calculator'!$C$17:$C$187=$C29),'[1]Pricing Calculator'!$I$17:$I$187,'[1]Pricing Calculator'!AB$17:AB$187,'[1]Pricing Calculator'!$AG$17:$AG$187))</f>
        <v>0</v>
      </c>
      <c r="W29" s="585" cm="1">
        <f t="array" ref="W29">IF($C29="",0,SUMPRODUCT(--('[1]Pricing Calculator'!$C$17:$C$187=$C29),'[1]Pricing Calculator'!$I$17:$I$187,'[1]Pricing Calculator'!AC$17:AC$187,'[1]Pricing Calculator'!$AG$17:$AG$187))</f>
        <v>0</v>
      </c>
      <c r="X29" s="585" cm="1">
        <f t="array" ref="X29">IF($C29="",0,SUMPRODUCT(--('[1]Pricing Calculator'!$C$17:$C$187=$C29),'[1]Pricing Calculator'!$I$17:$I$187,'[1]Pricing Calculator'!AD$17:AD$187,'[1]Pricing Calculator'!$AG$17:$AG$187))</f>
        <v>0</v>
      </c>
      <c r="Y29" s="586" cm="1">
        <f t="array" ref="Y29">IF($C29="",0,SUMPRODUCT(--('[1]Pricing Calculator'!$C$17:$C$187=$C29),'[1]Pricing Calculator'!$I$17:$I$187,'[1]Pricing Calculator'!AE$17:AE$187,'[1]Pricing Calculator'!$AG$17:$AG$187))</f>
        <v>0</v>
      </c>
      <c r="Z29" s="586">
        <f t="shared" si="0"/>
        <v>0</v>
      </c>
      <c r="AB29" s="587" cm="1">
        <f t="array" ref="AB29">IF($C29="",0,SUMPRODUCT(--('[1]Pricing Calculator'!$C$17:$C$187=$C29),'[1]Pricing Calculator'!$I$17:$I$187,'[1]Pricing Calculator'!AM$17:AM$187,'[1]Pricing Calculator'!$AG$17:$AG$187))*IF('[1]Pricing Summary'!$B$4="Yes",1+'[1]Core Assumptions'!$D$26,1)</f>
        <v>0</v>
      </c>
      <c r="AC29" s="587" cm="1">
        <f t="array" ref="AC29">IF($C29="",0,SUMPRODUCT(--('[1]Pricing Calculator'!$C$17:$C$187=$C29),'[1]Pricing Calculator'!$I$17:$I$187,'[1]Pricing Calculator'!AO$17:AO$187,'[1]Pricing Calculator'!$AG$17:$AG$187))*IF('[1]Pricing Summary'!$B$4="Yes",1+'[1]Core Assumptions'!$D$26,1)</f>
        <v>0</v>
      </c>
    </row>
    <row r="30" spans="1:29" ht="15.75" hidden="1" customHeight="1" outlineLevel="1" x14ac:dyDescent="0.2">
      <c r="A30" s="242">
        <v>12</v>
      </c>
      <c r="B30" s="582" t="str">
        <f>IF('[1]Core Assumptions'!B43="","",CONCATENATE("Entity - ",'[1]Core Assumptions'!B43))</f>
        <v/>
      </c>
      <c r="C30" s="583" t="str">
        <f>IF('[1]Core Assumptions'!B43="","",'[1]Core Assumptions'!B43)</f>
        <v/>
      </c>
      <c r="D30" s="245" t="s">
        <v>11</v>
      </c>
      <c r="E30" s="584" cm="1">
        <f t="array" ref="E30">IF($C30="",0,SUMPRODUCT(--('[1]Pricing Calculator'!$C$17:$C$187=$C30),'[1]Pricing Calculator'!$I$17:$I$187,'[1]Pricing Calculator'!K$17:K$187,'[1]Pricing Calculator'!$AG$17:$AG$187))</f>
        <v>0</v>
      </c>
      <c r="F30" s="585" cm="1">
        <f t="array" ref="F30">IF($C30="",0,SUMPRODUCT(--('[1]Pricing Calculator'!$C$17:$C$187=$C30),'[1]Pricing Calculator'!$I$17:$I$187,'[1]Pricing Calculator'!L$17:L$187,'[1]Pricing Calculator'!$AG$17:$AG$187))</f>
        <v>0</v>
      </c>
      <c r="G30" s="585" cm="1">
        <f t="array" ref="G30">IF($C30="",0,SUMPRODUCT(--('[1]Pricing Calculator'!$C$17:$C$187=$C30),'[1]Pricing Calculator'!$I$17:$I$187,'[1]Pricing Calculator'!M$17:M$187,'[1]Pricing Calculator'!$AG$17:$AG$187))</f>
        <v>0</v>
      </c>
      <c r="H30" s="585" cm="1">
        <f t="array" ref="H30">IF($C30="",0,SUMPRODUCT(--('[1]Pricing Calculator'!$C$17:$C$187=$C30),'[1]Pricing Calculator'!$I$17:$I$187,'[1]Pricing Calculator'!N$17:N$187,'[1]Pricing Calculator'!$AG$17:$AG$187))</f>
        <v>0</v>
      </c>
      <c r="I30" s="585" cm="1">
        <f t="array" ref="I30">IF($C30="",0,SUMPRODUCT(--('[1]Pricing Calculator'!$C$17:$C$187=$C30),'[1]Pricing Calculator'!$I$17:$I$187,'[1]Pricing Calculator'!O$17:O$187,'[1]Pricing Calculator'!$AG$17:$AG$187))</f>
        <v>0</v>
      </c>
      <c r="J30" s="585" cm="1">
        <f t="array" ref="J30">IF($C30="",0,SUMPRODUCT(--('[1]Pricing Calculator'!$C$17:$C$187=$C30),'[1]Pricing Calculator'!$I$17:$I$187,'[1]Pricing Calculator'!P$17:P$187,'[1]Pricing Calculator'!$AG$17:$AG$187))</f>
        <v>0</v>
      </c>
      <c r="K30" s="585" cm="1">
        <f t="array" ref="K30">IF($C30="",0,SUMPRODUCT(--('[1]Pricing Calculator'!$C$17:$C$187=$C30),'[1]Pricing Calculator'!$I$17:$I$187,'[1]Pricing Calculator'!Q$17:Q$187,'[1]Pricing Calculator'!$AG$17:$AG$187))</f>
        <v>0</v>
      </c>
      <c r="L30" s="585" cm="1">
        <f t="array" ref="L30">IF($C30="",0,SUMPRODUCT(--('[1]Pricing Calculator'!$C$17:$C$187=$C30),'[1]Pricing Calculator'!$I$17:$I$187,'[1]Pricing Calculator'!R$17:R$187,'[1]Pricing Calculator'!$AG$17:$AG$187))</f>
        <v>0</v>
      </c>
      <c r="M30" s="585" cm="1">
        <f t="array" ref="M30">IF($C30="",0,SUMPRODUCT(--('[1]Pricing Calculator'!$C$17:$C$187=$C30),'[1]Pricing Calculator'!$I$17:$I$187,'[1]Pricing Calculator'!S$17:S$187,'[1]Pricing Calculator'!$AG$17:$AG$187))</f>
        <v>0</v>
      </c>
      <c r="N30" s="585" cm="1">
        <f t="array" ref="N30">IF($C30="",0,SUMPRODUCT(--('[1]Pricing Calculator'!$C$17:$C$187=$C30),'[1]Pricing Calculator'!$I$17:$I$187,'[1]Pricing Calculator'!T$17:T$187,'[1]Pricing Calculator'!$AG$17:$AG$187))</f>
        <v>0</v>
      </c>
      <c r="O30" s="584" cm="1">
        <f t="array" ref="O30">IF($C30="",0,SUMPRODUCT(--('[1]Pricing Calculator'!$C$17:$C$187=$C30),'[1]Pricing Calculator'!$I$17:$I$187,'[1]Pricing Calculator'!U$17:U$187,'[1]Pricing Calculator'!$AG$17:$AG$187))</f>
        <v>0</v>
      </c>
      <c r="P30" s="585" cm="1">
        <f t="array" ref="P30">IF($C30="",0,SUMPRODUCT(--('[1]Pricing Calculator'!$C$17:$C$187=$C30),'[1]Pricing Calculator'!$I$17:$I$187,'[1]Pricing Calculator'!V$17:V$187,'[1]Pricing Calculator'!$AG$17:$AG$187))</f>
        <v>0</v>
      </c>
      <c r="Q30" s="585" cm="1">
        <f t="array" ref="Q30">IF($C30="",0,SUMPRODUCT(--('[1]Pricing Calculator'!$C$17:$C$187=$C30),'[1]Pricing Calculator'!$I$17:$I$187,'[1]Pricing Calculator'!W$17:W$187,'[1]Pricing Calculator'!$AG$17:$AG$187))</f>
        <v>0</v>
      </c>
      <c r="R30" s="585" cm="1">
        <f t="array" ref="R30">IF($C30="",0,SUMPRODUCT(--('[1]Pricing Calculator'!$C$17:$C$187=$C30),'[1]Pricing Calculator'!$I$17:$I$187,'[1]Pricing Calculator'!X$17:X$187,'[1]Pricing Calculator'!$AG$17:$AG$187))</f>
        <v>0</v>
      </c>
      <c r="S30" s="585" cm="1">
        <f t="array" ref="S30">IF($C30="",0,SUMPRODUCT(--('[1]Pricing Calculator'!$C$17:$C$187=$C30),'[1]Pricing Calculator'!$I$17:$I$187,'[1]Pricing Calculator'!Y$17:Y$187,'[1]Pricing Calculator'!$AG$17:$AG$187))</f>
        <v>0</v>
      </c>
      <c r="T30" s="585" cm="1">
        <f t="array" ref="T30">IF($C30="",0,SUMPRODUCT(--('[1]Pricing Calculator'!$C$17:$C$187=$C30),'[1]Pricing Calculator'!$I$17:$I$187,'[1]Pricing Calculator'!Z$17:Z$187,'[1]Pricing Calculator'!$AG$17:$AG$187))</f>
        <v>0</v>
      </c>
      <c r="U30" s="586" cm="1">
        <f t="array" ref="U30">IF($C30="",0,SUMPRODUCT(--('[1]Pricing Calculator'!$C$17:$C$187=$C30),'[1]Pricing Calculator'!$I$17:$I$187,'[1]Pricing Calculator'!AA$17:AA$187,'[1]Pricing Calculator'!$AG$17:$AG$187))</f>
        <v>0</v>
      </c>
      <c r="V30" s="584" cm="1">
        <f t="array" ref="V30">IF($C30="",0,SUMPRODUCT(--('[1]Pricing Calculator'!$C$17:$C$187=$C30),'[1]Pricing Calculator'!$I$17:$I$187,'[1]Pricing Calculator'!AB$17:AB$187,'[1]Pricing Calculator'!$AG$17:$AG$187))</f>
        <v>0</v>
      </c>
      <c r="W30" s="585" cm="1">
        <f t="array" ref="W30">IF($C30="",0,SUMPRODUCT(--('[1]Pricing Calculator'!$C$17:$C$187=$C30),'[1]Pricing Calculator'!$I$17:$I$187,'[1]Pricing Calculator'!AC$17:AC$187,'[1]Pricing Calculator'!$AG$17:$AG$187))</f>
        <v>0</v>
      </c>
      <c r="X30" s="585" cm="1">
        <f t="array" ref="X30">IF($C30="",0,SUMPRODUCT(--('[1]Pricing Calculator'!$C$17:$C$187=$C30),'[1]Pricing Calculator'!$I$17:$I$187,'[1]Pricing Calculator'!AD$17:AD$187,'[1]Pricing Calculator'!$AG$17:$AG$187))</f>
        <v>0</v>
      </c>
      <c r="Y30" s="586" cm="1">
        <f t="array" ref="Y30">IF($C30="",0,SUMPRODUCT(--('[1]Pricing Calculator'!$C$17:$C$187=$C30),'[1]Pricing Calculator'!$I$17:$I$187,'[1]Pricing Calculator'!AE$17:AE$187,'[1]Pricing Calculator'!$AG$17:$AG$187))</f>
        <v>0</v>
      </c>
      <c r="Z30" s="586">
        <f t="shared" si="0"/>
        <v>0</v>
      </c>
      <c r="AB30" s="587" cm="1">
        <f t="array" ref="AB30">IF($C30="",0,SUMPRODUCT(--('[1]Pricing Calculator'!$C$17:$C$187=$C30),'[1]Pricing Calculator'!$I$17:$I$187,'[1]Pricing Calculator'!AM$17:AM$187,'[1]Pricing Calculator'!$AG$17:$AG$187))*IF('[1]Pricing Summary'!$B$4="Yes",1+'[1]Core Assumptions'!$D$26,1)</f>
        <v>0</v>
      </c>
      <c r="AC30" s="587" cm="1">
        <f t="array" ref="AC30">IF($C30="",0,SUMPRODUCT(--('[1]Pricing Calculator'!$C$17:$C$187=$C30),'[1]Pricing Calculator'!$I$17:$I$187,'[1]Pricing Calculator'!AO$17:AO$187,'[1]Pricing Calculator'!$AG$17:$AG$187))*IF('[1]Pricing Summary'!$B$4="Yes",1+'[1]Core Assumptions'!$D$26,1)</f>
        <v>0</v>
      </c>
    </row>
    <row r="31" spans="1:29" ht="15.75" hidden="1" customHeight="1" outlineLevel="1" x14ac:dyDescent="0.2">
      <c r="A31" s="242">
        <v>13</v>
      </c>
      <c r="B31" s="582" t="str">
        <f>IF('[1]Core Assumptions'!B44="","",CONCATENATE("Entity - ",'[1]Core Assumptions'!B44))</f>
        <v/>
      </c>
      <c r="C31" s="583" t="str">
        <f>IF('[1]Core Assumptions'!B44="","",'[1]Core Assumptions'!B44)</f>
        <v/>
      </c>
      <c r="D31" s="245" t="s">
        <v>11</v>
      </c>
      <c r="E31" s="584" cm="1">
        <f t="array" ref="E31">IF($C31="",0,SUMPRODUCT(--('[1]Pricing Calculator'!$C$17:$C$187=$C31),'[1]Pricing Calculator'!$I$17:$I$187,'[1]Pricing Calculator'!K$17:K$187,'[1]Pricing Calculator'!$AG$17:$AG$187))</f>
        <v>0</v>
      </c>
      <c r="F31" s="585" cm="1">
        <f t="array" ref="F31">IF($C31="",0,SUMPRODUCT(--('[1]Pricing Calculator'!$C$17:$C$187=$C31),'[1]Pricing Calculator'!$I$17:$I$187,'[1]Pricing Calculator'!L$17:L$187,'[1]Pricing Calculator'!$AG$17:$AG$187))</f>
        <v>0</v>
      </c>
      <c r="G31" s="585" cm="1">
        <f t="array" ref="G31">IF($C31="",0,SUMPRODUCT(--('[1]Pricing Calculator'!$C$17:$C$187=$C31),'[1]Pricing Calculator'!$I$17:$I$187,'[1]Pricing Calculator'!M$17:M$187,'[1]Pricing Calculator'!$AG$17:$AG$187))</f>
        <v>0</v>
      </c>
      <c r="H31" s="585" cm="1">
        <f t="array" ref="H31">IF($C31="",0,SUMPRODUCT(--('[1]Pricing Calculator'!$C$17:$C$187=$C31),'[1]Pricing Calculator'!$I$17:$I$187,'[1]Pricing Calculator'!N$17:N$187,'[1]Pricing Calculator'!$AG$17:$AG$187))</f>
        <v>0</v>
      </c>
      <c r="I31" s="585" cm="1">
        <f t="array" ref="I31">IF($C31="",0,SUMPRODUCT(--('[1]Pricing Calculator'!$C$17:$C$187=$C31),'[1]Pricing Calculator'!$I$17:$I$187,'[1]Pricing Calculator'!O$17:O$187,'[1]Pricing Calculator'!$AG$17:$AG$187))</f>
        <v>0</v>
      </c>
      <c r="J31" s="585" cm="1">
        <f t="array" ref="J31">IF($C31="",0,SUMPRODUCT(--('[1]Pricing Calculator'!$C$17:$C$187=$C31),'[1]Pricing Calculator'!$I$17:$I$187,'[1]Pricing Calculator'!P$17:P$187,'[1]Pricing Calculator'!$AG$17:$AG$187))</f>
        <v>0</v>
      </c>
      <c r="K31" s="585" cm="1">
        <f t="array" ref="K31">IF($C31="",0,SUMPRODUCT(--('[1]Pricing Calculator'!$C$17:$C$187=$C31),'[1]Pricing Calculator'!$I$17:$I$187,'[1]Pricing Calculator'!Q$17:Q$187,'[1]Pricing Calculator'!$AG$17:$AG$187))</f>
        <v>0</v>
      </c>
      <c r="L31" s="585" cm="1">
        <f t="array" ref="L31">IF($C31="",0,SUMPRODUCT(--('[1]Pricing Calculator'!$C$17:$C$187=$C31),'[1]Pricing Calculator'!$I$17:$I$187,'[1]Pricing Calculator'!R$17:R$187,'[1]Pricing Calculator'!$AG$17:$AG$187))</f>
        <v>0</v>
      </c>
      <c r="M31" s="585" cm="1">
        <f t="array" ref="M31">IF($C31="",0,SUMPRODUCT(--('[1]Pricing Calculator'!$C$17:$C$187=$C31),'[1]Pricing Calculator'!$I$17:$I$187,'[1]Pricing Calculator'!S$17:S$187,'[1]Pricing Calculator'!$AG$17:$AG$187))</f>
        <v>0</v>
      </c>
      <c r="N31" s="585" cm="1">
        <f t="array" ref="N31">IF($C31="",0,SUMPRODUCT(--('[1]Pricing Calculator'!$C$17:$C$187=$C31),'[1]Pricing Calculator'!$I$17:$I$187,'[1]Pricing Calculator'!T$17:T$187,'[1]Pricing Calculator'!$AG$17:$AG$187))</f>
        <v>0</v>
      </c>
      <c r="O31" s="584" cm="1">
        <f t="array" ref="O31">IF($C31="",0,SUMPRODUCT(--('[1]Pricing Calculator'!$C$17:$C$187=$C31),'[1]Pricing Calculator'!$I$17:$I$187,'[1]Pricing Calculator'!U$17:U$187,'[1]Pricing Calculator'!$AG$17:$AG$187))</f>
        <v>0</v>
      </c>
      <c r="P31" s="585" cm="1">
        <f t="array" ref="P31">IF($C31="",0,SUMPRODUCT(--('[1]Pricing Calculator'!$C$17:$C$187=$C31),'[1]Pricing Calculator'!$I$17:$I$187,'[1]Pricing Calculator'!V$17:V$187,'[1]Pricing Calculator'!$AG$17:$AG$187))</f>
        <v>0</v>
      </c>
      <c r="Q31" s="585" cm="1">
        <f t="array" ref="Q31">IF($C31="",0,SUMPRODUCT(--('[1]Pricing Calculator'!$C$17:$C$187=$C31),'[1]Pricing Calculator'!$I$17:$I$187,'[1]Pricing Calculator'!W$17:W$187,'[1]Pricing Calculator'!$AG$17:$AG$187))</f>
        <v>0</v>
      </c>
      <c r="R31" s="585" cm="1">
        <f t="array" ref="R31">IF($C31="",0,SUMPRODUCT(--('[1]Pricing Calculator'!$C$17:$C$187=$C31),'[1]Pricing Calculator'!$I$17:$I$187,'[1]Pricing Calculator'!X$17:X$187,'[1]Pricing Calculator'!$AG$17:$AG$187))</f>
        <v>0</v>
      </c>
      <c r="S31" s="585" cm="1">
        <f t="array" ref="S31">IF($C31="",0,SUMPRODUCT(--('[1]Pricing Calculator'!$C$17:$C$187=$C31),'[1]Pricing Calculator'!$I$17:$I$187,'[1]Pricing Calculator'!Y$17:Y$187,'[1]Pricing Calculator'!$AG$17:$AG$187))</f>
        <v>0</v>
      </c>
      <c r="T31" s="585" cm="1">
        <f t="array" ref="T31">IF($C31="",0,SUMPRODUCT(--('[1]Pricing Calculator'!$C$17:$C$187=$C31),'[1]Pricing Calculator'!$I$17:$I$187,'[1]Pricing Calculator'!Z$17:Z$187,'[1]Pricing Calculator'!$AG$17:$AG$187))</f>
        <v>0</v>
      </c>
      <c r="U31" s="586" cm="1">
        <f t="array" ref="U31">IF($C31="",0,SUMPRODUCT(--('[1]Pricing Calculator'!$C$17:$C$187=$C31),'[1]Pricing Calculator'!$I$17:$I$187,'[1]Pricing Calculator'!AA$17:AA$187,'[1]Pricing Calculator'!$AG$17:$AG$187))</f>
        <v>0</v>
      </c>
      <c r="V31" s="584" cm="1">
        <f t="array" ref="V31">IF($C31="",0,SUMPRODUCT(--('[1]Pricing Calculator'!$C$17:$C$187=$C31),'[1]Pricing Calculator'!$I$17:$I$187,'[1]Pricing Calculator'!AB$17:AB$187,'[1]Pricing Calculator'!$AG$17:$AG$187))</f>
        <v>0</v>
      </c>
      <c r="W31" s="585" cm="1">
        <f t="array" ref="W31">IF($C31="",0,SUMPRODUCT(--('[1]Pricing Calculator'!$C$17:$C$187=$C31),'[1]Pricing Calculator'!$I$17:$I$187,'[1]Pricing Calculator'!AC$17:AC$187,'[1]Pricing Calculator'!$AG$17:$AG$187))</f>
        <v>0</v>
      </c>
      <c r="X31" s="585" cm="1">
        <f t="array" ref="X31">IF($C31="",0,SUMPRODUCT(--('[1]Pricing Calculator'!$C$17:$C$187=$C31),'[1]Pricing Calculator'!$I$17:$I$187,'[1]Pricing Calculator'!AD$17:AD$187,'[1]Pricing Calculator'!$AG$17:$AG$187))</f>
        <v>0</v>
      </c>
      <c r="Y31" s="586" cm="1">
        <f t="array" ref="Y31">IF($C31="",0,SUMPRODUCT(--('[1]Pricing Calculator'!$C$17:$C$187=$C31),'[1]Pricing Calculator'!$I$17:$I$187,'[1]Pricing Calculator'!AE$17:AE$187,'[1]Pricing Calculator'!$AG$17:$AG$187))</f>
        <v>0</v>
      </c>
      <c r="Z31" s="586">
        <f t="shared" si="0"/>
        <v>0</v>
      </c>
      <c r="AB31" s="587" cm="1">
        <f t="array" ref="AB31">IF($C31="",0,SUMPRODUCT(--('[1]Pricing Calculator'!$C$17:$C$187=$C31),'[1]Pricing Calculator'!$I$17:$I$187,'[1]Pricing Calculator'!AM$17:AM$187,'[1]Pricing Calculator'!$AG$17:$AG$187))*IF('[1]Pricing Summary'!$B$4="Yes",1+'[1]Core Assumptions'!$D$26,1)</f>
        <v>0</v>
      </c>
      <c r="AC31" s="587" cm="1">
        <f t="array" ref="AC31">IF($C31="",0,SUMPRODUCT(--('[1]Pricing Calculator'!$C$17:$C$187=$C31),'[1]Pricing Calculator'!$I$17:$I$187,'[1]Pricing Calculator'!AO$17:AO$187,'[1]Pricing Calculator'!$AG$17:$AG$187))*IF('[1]Pricing Summary'!$B$4="Yes",1+'[1]Core Assumptions'!$D$26,1)</f>
        <v>0</v>
      </c>
    </row>
    <row r="32" spans="1:29" ht="15.75" hidden="1" customHeight="1" outlineLevel="1" x14ac:dyDescent="0.2">
      <c r="A32" s="242">
        <v>14</v>
      </c>
      <c r="B32" s="582" t="str">
        <f>IF('[1]Core Assumptions'!B45="","",CONCATENATE("Entity - ",'[1]Core Assumptions'!B45))</f>
        <v/>
      </c>
      <c r="C32" s="583" t="str">
        <f>IF('[1]Core Assumptions'!B45="","",'[1]Core Assumptions'!B45)</f>
        <v/>
      </c>
      <c r="D32" s="245" t="s">
        <v>11</v>
      </c>
      <c r="E32" s="584" cm="1">
        <f t="array" ref="E32">IF($C32="",0,SUMPRODUCT(--('[1]Pricing Calculator'!$C$17:$C$187=$C32),'[1]Pricing Calculator'!$I$17:$I$187,'[1]Pricing Calculator'!K$17:K$187,'[1]Pricing Calculator'!$AG$17:$AG$187))</f>
        <v>0</v>
      </c>
      <c r="F32" s="585" cm="1">
        <f t="array" ref="F32">IF($C32="",0,SUMPRODUCT(--('[1]Pricing Calculator'!$C$17:$C$187=$C32),'[1]Pricing Calculator'!$I$17:$I$187,'[1]Pricing Calculator'!L$17:L$187,'[1]Pricing Calculator'!$AG$17:$AG$187))</f>
        <v>0</v>
      </c>
      <c r="G32" s="585" cm="1">
        <f t="array" ref="G32">IF($C32="",0,SUMPRODUCT(--('[1]Pricing Calculator'!$C$17:$C$187=$C32),'[1]Pricing Calculator'!$I$17:$I$187,'[1]Pricing Calculator'!M$17:M$187,'[1]Pricing Calculator'!$AG$17:$AG$187))</f>
        <v>0</v>
      </c>
      <c r="H32" s="585" cm="1">
        <f t="array" ref="H32">IF($C32="",0,SUMPRODUCT(--('[1]Pricing Calculator'!$C$17:$C$187=$C32),'[1]Pricing Calculator'!$I$17:$I$187,'[1]Pricing Calculator'!N$17:N$187,'[1]Pricing Calculator'!$AG$17:$AG$187))</f>
        <v>0</v>
      </c>
      <c r="I32" s="585" cm="1">
        <f t="array" ref="I32">IF($C32="",0,SUMPRODUCT(--('[1]Pricing Calculator'!$C$17:$C$187=$C32),'[1]Pricing Calculator'!$I$17:$I$187,'[1]Pricing Calculator'!O$17:O$187,'[1]Pricing Calculator'!$AG$17:$AG$187))</f>
        <v>0</v>
      </c>
      <c r="J32" s="585" cm="1">
        <f t="array" ref="J32">IF($C32="",0,SUMPRODUCT(--('[1]Pricing Calculator'!$C$17:$C$187=$C32),'[1]Pricing Calculator'!$I$17:$I$187,'[1]Pricing Calculator'!P$17:P$187,'[1]Pricing Calculator'!$AG$17:$AG$187))</f>
        <v>0</v>
      </c>
      <c r="K32" s="585" cm="1">
        <f t="array" ref="K32">IF($C32="",0,SUMPRODUCT(--('[1]Pricing Calculator'!$C$17:$C$187=$C32),'[1]Pricing Calculator'!$I$17:$I$187,'[1]Pricing Calculator'!Q$17:Q$187,'[1]Pricing Calculator'!$AG$17:$AG$187))</f>
        <v>0</v>
      </c>
      <c r="L32" s="585" cm="1">
        <f t="array" ref="L32">IF($C32="",0,SUMPRODUCT(--('[1]Pricing Calculator'!$C$17:$C$187=$C32),'[1]Pricing Calculator'!$I$17:$I$187,'[1]Pricing Calculator'!R$17:R$187,'[1]Pricing Calculator'!$AG$17:$AG$187))</f>
        <v>0</v>
      </c>
      <c r="M32" s="585" cm="1">
        <f t="array" ref="M32">IF($C32="",0,SUMPRODUCT(--('[1]Pricing Calculator'!$C$17:$C$187=$C32),'[1]Pricing Calculator'!$I$17:$I$187,'[1]Pricing Calculator'!S$17:S$187,'[1]Pricing Calculator'!$AG$17:$AG$187))</f>
        <v>0</v>
      </c>
      <c r="N32" s="585" cm="1">
        <f t="array" ref="N32">IF($C32="",0,SUMPRODUCT(--('[1]Pricing Calculator'!$C$17:$C$187=$C32),'[1]Pricing Calculator'!$I$17:$I$187,'[1]Pricing Calculator'!T$17:T$187,'[1]Pricing Calculator'!$AG$17:$AG$187))</f>
        <v>0</v>
      </c>
      <c r="O32" s="584" cm="1">
        <f t="array" ref="O32">IF($C32="",0,SUMPRODUCT(--('[1]Pricing Calculator'!$C$17:$C$187=$C32),'[1]Pricing Calculator'!$I$17:$I$187,'[1]Pricing Calculator'!U$17:U$187,'[1]Pricing Calculator'!$AG$17:$AG$187))</f>
        <v>0</v>
      </c>
      <c r="P32" s="585" cm="1">
        <f t="array" ref="P32">IF($C32="",0,SUMPRODUCT(--('[1]Pricing Calculator'!$C$17:$C$187=$C32),'[1]Pricing Calculator'!$I$17:$I$187,'[1]Pricing Calculator'!V$17:V$187,'[1]Pricing Calculator'!$AG$17:$AG$187))</f>
        <v>0</v>
      </c>
      <c r="Q32" s="585" cm="1">
        <f t="array" ref="Q32">IF($C32="",0,SUMPRODUCT(--('[1]Pricing Calculator'!$C$17:$C$187=$C32),'[1]Pricing Calculator'!$I$17:$I$187,'[1]Pricing Calculator'!W$17:W$187,'[1]Pricing Calculator'!$AG$17:$AG$187))</f>
        <v>0</v>
      </c>
      <c r="R32" s="585" cm="1">
        <f t="array" ref="R32">IF($C32="",0,SUMPRODUCT(--('[1]Pricing Calculator'!$C$17:$C$187=$C32),'[1]Pricing Calculator'!$I$17:$I$187,'[1]Pricing Calculator'!X$17:X$187,'[1]Pricing Calculator'!$AG$17:$AG$187))</f>
        <v>0</v>
      </c>
      <c r="S32" s="585" cm="1">
        <f t="array" ref="S32">IF($C32="",0,SUMPRODUCT(--('[1]Pricing Calculator'!$C$17:$C$187=$C32),'[1]Pricing Calculator'!$I$17:$I$187,'[1]Pricing Calculator'!Y$17:Y$187,'[1]Pricing Calculator'!$AG$17:$AG$187))</f>
        <v>0</v>
      </c>
      <c r="T32" s="585" cm="1">
        <f t="array" ref="T32">IF($C32="",0,SUMPRODUCT(--('[1]Pricing Calculator'!$C$17:$C$187=$C32),'[1]Pricing Calculator'!$I$17:$I$187,'[1]Pricing Calculator'!Z$17:Z$187,'[1]Pricing Calculator'!$AG$17:$AG$187))</f>
        <v>0</v>
      </c>
      <c r="U32" s="586" cm="1">
        <f t="array" ref="U32">IF($C32="",0,SUMPRODUCT(--('[1]Pricing Calculator'!$C$17:$C$187=$C32),'[1]Pricing Calculator'!$I$17:$I$187,'[1]Pricing Calculator'!AA$17:AA$187,'[1]Pricing Calculator'!$AG$17:$AG$187))</f>
        <v>0</v>
      </c>
      <c r="V32" s="584" cm="1">
        <f t="array" ref="V32">IF($C32="",0,SUMPRODUCT(--('[1]Pricing Calculator'!$C$17:$C$187=$C32),'[1]Pricing Calculator'!$I$17:$I$187,'[1]Pricing Calculator'!AB$17:AB$187,'[1]Pricing Calculator'!$AG$17:$AG$187))</f>
        <v>0</v>
      </c>
      <c r="W32" s="585" cm="1">
        <f t="array" ref="W32">IF($C32="",0,SUMPRODUCT(--('[1]Pricing Calculator'!$C$17:$C$187=$C32),'[1]Pricing Calculator'!$I$17:$I$187,'[1]Pricing Calculator'!AC$17:AC$187,'[1]Pricing Calculator'!$AG$17:$AG$187))</f>
        <v>0</v>
      </c>
      <c r="X32" s="585" cm="1">
        <f t="array" ref="X32">IF($C32="",0,SUMPRODUCT(--('[1]Pricing Calculator'!$C$17:$C$187=$C32),'[1]Pricing Calculator'!$I$17:$I$187,'[1]Pricing Calculator'!AD$17:AD$187,'[1]Pricing Calculator'!$AG$17:$AG$187))</f>
        <v>0</v>
      </c>
      <c r="Y32" s="586" cm="1">
        <f t="array" ref="Y32">IF($C32="",0,SUMPRODUCT(--('[1]Pricing Calculator'!$C$17:$C$187=$C32),'[1]Pricing Calculator'!$I$17:$I$187,'[1]Pricing Calculator'!AE$17:AE$187,'[1]Pricing Calculator'!$AG$17:$AG$187))</f>
        <v>0</v>
      </c>
      <c r="Z32" s="586">
        <f t="shared" si="0"/>
        <v>0</v>
      </c>
      <c r="AB32" s="587" cm="1">
        <f t="array" ref="AB32">IF($C32="",0,SUMPRODUCT(--('[1]Pricing Calculator'!$C$17:$C$187=$C32),'[1]Pricing Calculator'!$I$17:$I$187,'[1]Pricing Calculator'!AM$17:AM$187,'[1]Pricing Calculator'!$AG$17:$AG$187))*IF('[1]Pricing Summary'!$B$4="Yes",1+'[1]Core Assumptions'!$D$26,1)</f>
        <v>0</v>
      </c>
      <c r="AC32" s="587" cm="1">
        <f t="array" ref="AC32">IF($C32="",0,SUMPRODUCT(--('[1]Pricing Calculator'!$C$17:$C$187=$C32),'[1]Pricing Calculator'!$I$17:$I$187,'[1]Pricing Calculator'!AO$17:AO$187,'[1]Pricing Calculator'!$AG$17:$AG$187))*IF('[1]Pricing Summary'!$B$4="Yes",1+'[1]Core Assumptions'!$D$26,1)</f>
        <v>0</v>
      </c>
    </row>
    <row r="33" spans="1:29" ht="15.75" hidden="1" customHeight="1" outlineLevel="1" x14ac:dyDescent="0.2">
      <c r="A33" s="242">
        <v>15</v>
      </c>
      <c r="B33" s="582" t="str">
        <f>IF('[1]Core Assumptions'!B46="","",CONCATENATE("Entity - ",'[1]Core Assumptions'!B46))</f>
        <v/>
      </c>
      <c r="C33" s="583" t="str">
        <f>IF('[1]Core Assumptions'!B46="","",'[1]Core Assumptions'!B46)</f>
        <v/>
      </c>
      <c r="D33" s="245" t="s">
        <v>11</v>
      </c>
      <c r="E33" s="584" cm="1">
        <f t="array" ref="E33">IF($C33="",0,SUMPRODUCT(--('[1]Pricing Calculator'!$C$17:$C$187=$C33),'[1]Pricing Calculator'!$I$17:$I$187,'[1]Pricing Calculator'!K$17:K$187,'[1]Pricing Calculator'!$AG$17:$AG$187))</f>
        <v>0</v>
      </c>
      <c r="F33" s="585" cm="1">
        <f t="array" ref="F33">IF($C33="",0,SUMPRODUCT(--('[1]Pricing Calculator'!$C$17:$C$187=$C33),'[1]Pricing Calculator'!$I$17:$I$187,'[1]Pricing Calculator'!L$17:L$187,'[1]Pricing Calculator'!$AG$17:$AG$187))</f>
        <v>0</v>
      </c>
      <c r="G33" s="585" cm="1">
        <f t="array" ref="G33">IF($C33="",0,SUMPRODUCT(--('[1]Pricing Calculator'!$C$17:$C$187=$C33),'[1]Pricing Calculator'!$I$17:$I$187,'[1]Pricing Calculator'!M$17:M$187,'[1]Pricing Calculator'!$AG$17:$AG$187))</f>
        <v>0</v>
      </c>
      <c r="H33" s="585" cm="1">
        <f t="array" ref="H33">IF($C33="",0,SUMPRODUCT(--('[1]Pricing Calculator'!$C$17:$C$187=$C33),'[1]Pricing Calculator'!$I$17:$I$187,'[1]Pricing Calculator'!N$17:N$187,'[1]Pricing Calculator'!$AG$17:$AG$187))</f>
        <v>0</v>
      </c>
      <c r="I33" s="585" cm="1">
        <f t="array" ref="I33">IF($C33="",0,SUMPRODUCT(--('[1]Pricing Calculator'!$C$17:$C$187=$C33),'[1]Pricing Calculator'!$I$17:$I$187,'[1]Pricing Calculator'!O$17:O$187,'[1]Pricing Calculator'!$AG$17:$AG$187))</f>
        <v>0</v>
      </c>
      <c r="J33" s="585" cm="1">
        <f t="array" ref="J33">IF($C33="",0,SUMPRODUCT(--('[1]Pricing Calculator'!$C$17:$C$187=$C33),'[1]Pricing Calculator'!$I$17:$I$187,'[1]Pricing Calculator'!P$17:P$187,'[1]Pricing Calculator'!$AG$17:$AG$187))</f>
        <v>0</v>
      </c>
      <c r="K33" s="585" cm="1">
        <f t="array" ref="K33">IF($C33="",0,SUMPRODUCT(--('[1]Pricing Calculator'!$C$17:$C$187=$C33),'[1]Pricing Calculator'!$I$17:$I$187,'[1]Pricing Calculator'!Q$17:Q$187,'[1]Pricing Calculator'!$AG$17:$AG$187))</f>
        <v>0</v>
      </c>
      <c r="L33" s="585" cm="1">
        <f t="array" ref="L33">IF($C33="",0,SUMPRODUCT(--('[1]Pricing Calculator'!$C$17:$C$187=$C33),'[1]Pricing Calculator'!$I$17:$I$187,'[1]Pricing Calculator'!R$17:R$187,'[1]Pricing Calculator'!$AG$17:$AG$187))</f>
        <v>0</v>
      </c>
      <c r="M33" s="585" cm="1">
        <f t="array" ref="M33">IF($C33="",0,SUMPRODUCT(--('[1]Pricing Calculator'!$C$17:$C$187=$C33),'[1]Pricing Calculator'!$I$17:$I$187,'[1]Pricing Calculator'!S$17:S$187,'[1]Pricing Calculator'!$AG$17:$AG$187))</f>
        <v>0</v>
      </c>
      <c r="N33" s="585" cm="1">
        <f t="array" ref="N33">IF($C33="",0,SUMPRODUCT(--('[1]Pricing Calculator'!$C$17:$C$187=$C33),'[1]Pricing Calculator'!$I$17:$I$187,'[1]Pricing Calculator'!T$17:T$187,'[1]Pricing Calculator'!$AG$17:$AG$187))</f>
        <v>0</v>
      </c>
      <c r="O33" s="584" cm="1">
        <f t="array" ref="O33">IF($C33="",0,SUMPRODUCT(--('[1]Pricing Calculator'!$C$17:$C$187=$C33),'[1]Pricing Calculator'!$I$17:$I$187,'[1]Pricing Calculator'!U$17:U$187,'[1]Pricing Calculator'!$AG$17:$AG$187))</f>
        <v>0</v>
      </c>
      <c r="P33" s="585" cm="1">
        <f t="array" ref="P33">IF($C33="",0,SUMPRODUCT(--('[1]Pricing Calculator'!$C$17:$C$187=$C33),'[1]Pricing Calculator'!$I$17:$I$187,'[1]Pricing Calculator'!V$17:V$187,'[1]Pricing Calculator'!$AG$17:$AG$187))</f>
        <v>0</v>
      </c>
      <c r="Q33" s="585" cm="1">
        <f t="array" ref="Q33">IF($C33="",0,SUMPRODUCT(--('[1]Pricing Calculator'!$C$17:$C$187=$C33),'[1]Pricing Calculator'!$I$17:$I$187,'[1]Pricing Calculator'!W$17:W$187,'[1]Pricing Calculator'!$AG$17:$AG$187))</f>
        <v>0</v>
      </c>
      <c r="R33" s="585" cm="1">
        <f t="array" ref="R33">IF($C33="",0,SUMPRODUCT(--('[1]Pricing Calculator'!$C$17:$C$187=$C33),'[1]Pricing Calculator'!$I$17:$I$187,'[1]Pricing Calculator'!X$17:X$187,'[1]Pricing Calculator'!$AG$17:$AG$187))</f>
        <v>0</v>
      </c>
      <c r="S33" s="585" cm="1">
        <f t="array" ref="S33">IF($C33="",0,SUMPRODUCT(--('[1]Pricing Calculator'!$C$17:$C$187=$C33),'[1]Pricing Calculator'!$I$17:$I$187,'[1]Pricing Calculator'!Y$17:Y$187,'[1]Pricing Calculator'!$AG$17:$AG$187))</f>
        <v>0</v>
      </c>
      <c r="T33" s="585" cm="1">
        <f t="array" ref="T33">IF($C33="",0,SUMPRODUCT(--('[1]Pricing Calculator'!$C$17:$C$187=$C33),'[1]Pricing Calculator'!$I$17:$I$187,'[1]Pricing Calculator'!Z$17:Z$187,'[1]Pricing Calculator'!$AG$17:$AG$187))</f>
        <v>0</v>
      </c>
      <c r="U33" s="586" cm="1">
        <f t="array" ref="U33">IF($C33="",0,SUMPRODUCT(--('[1]Pricing Calculator'!$C$17:$C$187=$C33),'[1]Pricing Calculator'!$I$17:$I$187,'[1]Pricing Calculator'!AA$17:AA$187,'[1]Pricing Calculator'!$AG$17:$AG$187))</f>
        <v>0</v>
      </c>
      <c r="V33" s="584" cm="1">
        <f t="array" ref="V33">IF($C33="",0,SUMPRODUCT(--('[1]Pricing Calculator'!$C$17:$C$187=$C33),'[1]Pricing Calculator'!$I$17:$I$187,'[1]Pricing Calculator'!AB$17:AB$187,'[1]Pricing Calculator'!$AG$17:$AG$187))</f>
        <v>0</v>
      </c>
      <c r="W33" s="585" cm="1">
        <f t="array" ref="W33">IF($C33="",0,SUMPRODUCT(--('[1]Pricing Calculator'!$C$17:$C$187=$C33),'[1]Pricing Calculator'!$I$17:$I$187,'[1]Pricing Calculator'!AC$17:AC$187,'[1]Pricing Calculator'!$AG$17:$AG$187))</f>
        <v>0</v>
      </c>
      <c r="X33" s="585" cm="1">
        <f t="array" ref="X33">IF($C33="",0,SUMPRODUCT(--('[1]Pricing Calculator'!$C$17:$C$187=$C33),'[1]Pricing Calculator'!$I$17:$I$187,'[1]Pricing Calculator'!AD$17:AD$187,'[1]Pricing Calculator'!$AG$17:$AG$187))</f>
        <v>0</v>
      </c>
      <c r="Y33" s="586" cm="1">
        <f t="array" ref="Y33">IF($C33="",0,SUMPRODUCT(--('[1]Pricing Calculator'!$C$17:$C$187=$C33),'[1]Pricing Calculator'!$I$17:$I$187,'[1]Pricing Calculator'!AE$17:AE$187,'[1]Pricing Calculator'!$AG$17:$AG$187))</f>
        <v>0</v>
      </c>
      <c r="Z33" s="586">
        <f t="shared" si="0"/>
        <v>0</v>
      </c>
      <c r="AB33" s="587" cm="1">
        <f t="array" ref="AB33">IF($C33="",0,SUMPRODUCT(--('[1]Pricing Calculator'!$C$17:$C$187=$C33),'[1]Pricing Calculator'!$I$17:$I$187,'[1]Pricing Calculator'!AM$17:AM$187,'[1]Pricing Calculator'!$AG$17:$AG$187))*IF('[1]Pricing Summary'!$B$4="Yes",1+'[1]Core Assumptions'!$D$26,1)</f>
        <v>0</v>
      </c>
      <c r="AC33" s="587" cm="1">
        <f t="array" ref="AC33">IF($C33="",0,SUMPRODUCT(--('[1]Pricing Calculator'!$C$17:$C$187=$C33),'[1]Pricing Calculator'!$I$17:$I$187,'[1]Pricing Calculator'!AO$17:AO$187,'[1]Pricing Calculator'!$AG$17:$AG$187))*IF('[1]Pricing Summary'!$B$4="Yes",1+'[1]Core Assumptions'!$D$26,1)</f>
        <v>0</v>
      </c>
    </row>
    <row r="34" spans="1:29" ht="15.75" hidden="1" customHeight="1" outlineLevel="1" x14ac:dyDescent="0.2">
      <c r="A34" s="242">
        <v>16</v>
      </c>
      <c r="B34" s="582" t="str">
        <f>IF('[1]Core Assumptions'!B47="","",CONCATENATE("Entity - ",'[1]Core Assumptions'!B47))</f>
        <v/>
      </c>
      <c r="C34" s="583" t="str">
        <f>IF('[1]Core Assumptions'!B47="","",'[1]Core Assumptions'!B47)</f>
        <v/>
      </c>
      <c r="D34" s="245" t="s">
        <v>11</v>
      </c>
      <c r="E34" s="584" cm="1">
        <f t="array" ref="E34">IF($C34="",0,SUMPRODUCT(--('[1]Pricing Calculator'!$C$17:$C$187=$C34),'[1]Pricing Calculator'!$I$17:$I$187,'[1]Pricing Calculator'!K$17:K$187,'[1]Pricing Calculator'!$AG$17:$AG$187))</f>
        <v>0</v>
      </c>
      <c r="F34" s="585" cm="1">
        <f t="array" ref="F34">IF($C34="",0,SUMPRODUCT(--('[1]Pricing Calculator'!$C$17:$C$187=$C34),'[1]Pricing Calculator'!$I$17:$I$187,'[1]Pricing Calculator'!L$17:L$187,'[1]Pricing Calculator'!$AG$17:$AG$187))</f>
        <v>0</v>
      </c>
      <c r="G34" s="585" cm="1">
        <f t="array" ref="G34">IF($C34="",0,SUMPRODUCT(--('[1]Pricing Calculator'!$C$17:$C$187=$C34),'[1]Pricing Calculator'!$I$17:$I$187,'[1]Pricing Calculator'!M$17:M$187,'[1]Pricing Calculator'!$AG$17:$AG$187))</f>
        <v>0</v>
      </c>
      <c r="H34" s="585" cm="1">
        <f t="array" ref="H34">IF($C34="",0,SUMPRODUCT(--('[1]Pricing Calculator'!$C$17:$C$187=$C34),'[1]Pricing Calculator'!$I$17:$I$187,'[1]Pricing Calculator'!N$17:N$187,'[1]Pricing Calculator'!$AG$17:$AG$187))</f>
        <v>0</v>
      </c>
      <c r="I34" s="585" cm="1">
        <f t="array" ref="I34">IF($C34="",0,SUMPRODUCT(--('[1]Pricing Calculator'!$C$17:$C$187=$C34),'[1]Pricing Calculator'!$I$17:$I$187,'[1]Pricing Calculator'!O$17:O$187,'[1]Pricing Calculator'!$AG$17:$AG$187))</f>
        <v>0</v>
      </c>
      <c r="J34" s="585" cm="1">
        <f t="array" ref="J34">IF($C34="",0,SUMPRODUCT(--('[1]Pricing Calculator'!$C$17:$C$187=$C34),'[1]Pricing Calculator'!$I$17:$I$187,'[1]Pricing Calculator'!P$17:P$187,'[1]Pricing Calculator'!$AG$17:$AG$187))</f>
        <v>0</v>
      </c>
      <c r="K34" s="585" cm="1">
        <f t="array" ref="K34">IF($C34="",0,SUMPRODUCT(--('[1]Pricing Calculator'!$C$17:$C$187=$C34),'[1]Pricing Calculator'!$I$17:$I$187,'[1]Pricing Calculator'!Q$17:Q$187,'[1]Pricing Calculator'!$AG$17:$AG$187))</f>
        <v>0</v>
      </c>
      <c r="L34" s="585" cm="1">
        <f t="array" ref="L34">IF($C34="",0,SUMPRODUCT(--('[1]Pricing Calculator'!$C$17:$C$187=$C34),'[1]Pricing Calculator'!$I$17:$I$187,'[1]Pricing Calculator'!R$17:R$187,'[1]Pricing Calculator'!$AG$17:$AG$187))</f>
        <v>0</v>
      </c>
      <c r="M34" s="585" cm="1">
        <f t="array" ref="M34">IF($C34="",0,SUMPRODUCT(--('[1]Pricing Calculator'!$C$17:$C$187=$C34),'[1]Pricing Calculator'!$I$17:$I$187,'[1]Pricing Calculator'!S$17:S$187,'[1]Pricing Calculator'!$AG$17:$AG$187))</f>
        <v>0</v>
      </c>
      <c r="N34" s="585" cm="1">
        <f t="array" ref="N34">IF($C34="",0,SUMPRODUCT(--('[1]Pricing Calculator'!$C$17:$C$187=$C34),'[1]Pricing Calculator'!$I$17:$I$187,'[1]Pricing Calculator'!T$17:T$187,'[1]Pricing Calculator'!$AG$17:$AG$187))</f>
        <v>0</v>
      </c>
      <c r="O34" s="584" cm="1">
        <f t="array" ref="O34">IF($C34="",0,SUMPRODUCT(--('[1]Pricing Calculator'!$C$17:$C$187=$C34),'[1]Pricing Calculator'!$I$17:$I$187,'[1]Pricing Calculator'!U$17:U$187,'[1]Pricing Calculator'!$AG$17:$AG$187))</f>
        <v>0</v>
      </c>
      <c r="P34" s="585" cm="1">
        <f t="array" ref="P34">IF($C34="",0,SUMPRODUCT(--('[1]Pricing Calculator'!$C$17:$C$187=$C34),'[1]Pricing Calculator'!$I$17:$I$187,'[1]Pricing Calculator'!V$17:V$187,'[1]Pricing Calculator'!$AG$17:$AG$187))</f>
        <v>0</v>
      </c>
      <c r="Q34" s="585" cm="1">
        <f t="array" ref="Q34">IF($C34="",0,SUMPRODUCT(--('[1]Pricing Calculator'!$C$17:$C$187=$C34),'[1]Pricing Calculator'!$I$17:$I$187,'[1]Pricing Calculator'!W$17:W$187,'[1]Pricing Calculator'!$AG$17:$AG$187))</f>
        <v>0</v>
      </c>
      <c r="R34" s="585" cm="1">
        <f t="array" ref="R34">IF($C34="",0,SUMPRODUCT(--('[1]Pricing Calculator'!$C$17:$C$187=$C34),'[1]Pricing Calculator'!$I$17:$I$187,'[1]Pricing Calculator'!X$17:X$187,'[1]Pricing Calculator'!$AG$17:$AG$187))</f>
        <v>0</v>
      </c>
      <c r="S34" s="585" cm="1">
        <f t="array" ref="S34">IF($C34="",0,SUMPRODUCT(--('[1]Pricing Calculator'!$C$17:$C$187=$C34),'[1]Pricing Calculator'!$I$17:$I$187,'[1]Pricing Calculator'!Y$17:Y$187,'[1]Pricing Calculator'!$AG$17:$AG$187))</f>
        <v>0</v>
      </c>
      <c r="T34" s="585" cm="1">
        <f t="array" ref="T34">IF($C34="",0,SUMPRODUCT(--('[1]Pricing Calculator'!$C$17:$C$187=$C34),'[1]Pricing Calculator'!$I$17:$I$187,'[1]Pricing Calculator'!Z$17:Z$187,'[1]Pricing Calculator'!$AG$17:$AG$187))</f>
        <v>0</v>
      </c>
      <c r="U34" s="586" cm="1">
        <f t="array" ref="U34">IF($C34="",0,SUMPRODUCT(--('[1]Pricing Calculator'!$C$17:$C$187=$C34),'[1]Pricing Calculator'!$I$17:$I$187,'[1]Pricing Calculator'!AA$17:AA$187,'[1]Pricing Calculator'!$AG$17:$AG$187))</f>
        <v>0</v>
      </c>
      <c r="V34" s="584" cm="1">
        <f t="array" ref="V34">IF($C34="",0,SUMPRODUCT(--('[1]Pricing Calculator'!$C$17:$C$187=$C34),'[1]Pricing Calculator'!$I$17:$I$187,'[1]Pricing Calculator'!AB$17:AB$187,'[1]Pricing Calculator'!$AG$17:$AG$187))</f>
        <v>0</v>
      </c>
      <c r="W34" s="585" cm="1">
        <f t="array" ref="W34">IF($C34="",0,SUMPRODUCT(--('[1]Pricing Calculator'!$C$17:$C$187=$C34),'[1]Pricing Calculator'!$I$17:$I$187,'[1]Pricing Calculator'!AC$17:AC$187,'[1]Pricing Calculator'!$AG$17:$AG$187))</f>
        <v>0</v>
      </c>
      <c r="X34" s="585" cm="1">
        <f t="array" ref="X34">IF($C34="",0,SUMPRODUCT(--('[1]Pricing Calculator'!$C$17:$C$187=$C34),'[1]Pricing Calculator'!$I$17:$I$187,'[1]Pricing Calculator'!AD$17:AD$187,'[1]Pricing Calculator'!$AG$17:$AG$187))</f>
        <v>0</v>
      </c>
      <c r="Y34" s="586" cm="1">
        <f t="array" ref="Y34">IF($C34="",0,SUMPRODUCT(--('[1]Pricing Calculator'!$C$17:$C$187=$C34),'[1]Pricing Calculator'!$I$17:$I$187,'[1]Pricing Calculator'!AE$17:AE$187,'[1]Pricing Calculator'!$AG$17:$AG$187))</f>
        <v>0</v>
      </c>
      <c r="Z34" s="586">
        <f t="shared" si="0"/>
        <v>0</v>
      </c>
      <c r="AB34" s="587" cm="1">
        <f t="array" ref="AB34">IF($C34="",0,SUMPRODUCT(--('[1]Pricing Calculator'!$C$17:$C$187=$C34),'[1]Pricing Calculator'!$I$17:$I$187,'[1]Pricing Calculator'!AM$17:AM$187,'[1]Pricing Calculator'!$AG$17:$AG$187))*IF('[1]Pricing Summary'!$B$4="Yes",1+'[1]Core Assumptions'!$D$26,1)</f>
        <v>0</v>
      </c>
      <c r="AC34" s="587" cm="1">
        <f t="array" ref="AC34">IF($C34="",0,SUMPRODUCT(--('[1]Pricing Calculator'!$C$17:$C$187=$C34),'[1]Pricing Calculator'!$I$17:$I$187,'[1]Pricing Calculator'!AO$17:AO$187,'[1]Pricing Calculator'!$AG$17:$AG$187))*IF('[1]Pricing Summary'!$B$4="Yes",1+'[1]Core Assumptions'!$D$26,1)</f>
        <v>0</v>
      </c>
    </row>
    <row r="35" spans="1:29" ht="15.75" hidden="1" customHeight="1" outlineLevel="1" x14ac:dyDescent="0.2">
      <c r="A35" s="242">
        <v>17</v>
      </c>
      <c r="B35" s="582" t="str">
        <f>IF('[1]Core Assumptions'!B48="","",CONCATENATE("Entity - ",'[1]Core Assumptions'!B48))</f>
        <v/>
      </c>
      <c r="C35" s="583" t="str">
        <f>IF('[1]Core Assumptions'!B48="","",'[1]Core Assumptions'!B48)</f>
        <v/>
      </c>
      <c r="D35" s="245" t="s">
        <v>11</v>
      </c>
      <c r="E35" s="584" cm="1">
        <f t="array" ref="E35">IF($C35="",0,SUMPRODUCT(--('[1]Pricing Calculator'!$C$17:$C$187=$C35),'[1]Pricing Calculator'!$I$17:$I$187,'[1]Pricing Calculator'!K$17:K$187,'[1]Pricing Calculator'!$AG$17:$AG$187))</f>
        <v>0</v>
      </c>
      <c r="F35" s="585" cm="1">
        <f t="array" ref="F35">IF($C35="",0,SUMPRODUCT(--('[1]Pricing Calculator'!$C$17:$C$187=$C35),'[1]Pricing Calculator'!$I$17:$I$187,'[1]Pricing Calculator'!L$17:L$187,'[1]Pricing Calculator'!$AG$17:$AG$187))</f>
        <v>0</v>
      </c>
      <c r="G35" s="585" cm="1">
        <f t="array" ref="G35">IF($C35="",0,SUMPRODUCT(--('[1]Pricing Calculator'!$C$17:$C$187=$C35),'[1]Pricing Calculator'!$I$17:$I$187,'[1]Pricing Calculator'!M$17:M$187,'[1]Pricing Calculator'!$AG$17:$AG$187))</f>
        <v>0</v>
      </c>
      <c r="H35" s="585" cm="1">
        <f t="array" ref="H35">IF($C35="",0,SUMPRODUCT(--('[1]Pricing Calculator'!$C$17:$C$187=$C35),'[1]Pricing Calculator'!$I$17:$I$187,'[1]Pricing Calculator'!N$17:N$187,'[1]Pricing Calculator'!$AG$17:$AG$187))</f>
        <v>0</v>
      </c>
      <c r="I35" s="585" cm="1">
        <f t="array" ref="I35">IF($C35="",0,SUMPRODUCT(--('[1]Pricing Calculator'!$C$17:$C$187=$C35),'[1]Pricing Calculator'!$I$17:$I$187,'[1]Pricing Calculator'!O$17:O$187,'[1]Pricing Calculator'!$AG$17:$AG$187))</f>
        <v>0</v>
      </c>
      <c r="J35" s="585" cm="1">
        <f t="array" ref="J35">IF($C35="",0,SUMPRODUCT(--('[1]Pricing Calculator'!$C$17:$C$187=$C35),'[1]Pricing Calculator'!$I$17:$I$187,'[1]Pricing Calculator'!P$17:P$187,'[1]Pricing Calculator'!$AG$17:$AG$187))</f>
        <v>0</v>
      </c>
      <c r="K35" s="585" cm="1">
        <f t="array" ref="K35">IF($C35="",0,SUMPRODUCT(--('[1]Pricing Calculator'!$C$17:$C$187=$C35),'[1]Pricing Calculator'!$I$17:$I$187,'[1]Pricing Calculator'!Q$17:Q$187,'[1]Pricing Calculator'!$AG$17:$AG$187))</f>
        <v>0</v>
      </c>
      <c r="L35" s="585" cm="1">
        <f t="array" ref="L35">IF($C35="",0,SUMPRODUCT(--('[1]Pricing Calculator'!$C$17:$C$187=$C35),'[1]Pricing Calculator'!$I$17:$I$187,'[1]Pricing Calculator'!R$17:R$187,'[1]Pricing Calculator'!$AG$17:$AG$187))</f>
        <v>0</v>
      </c>
      <c r="M35" s="585" cm="1">
        <f t="array" ref="M35">IF($C35="",0,SUMPRODUCT(--('[1]Pricing Calculator'!$C$17:$C$187=$C35),'[1]Pricing Calculator'!$I$17:$I$187,'[1]Pricing Calculator'!S$17:S$187,'[1]Pricing Calculator'!$AG$17:$AG$187))</f>
        <v>0</v>
      </c>
      <c r="N35" s="585" cm="1">
        <f t="array" ref="N35">IF($C35="",0,SUMPRODUCT(--('[1]Pricing Calculator'!$C$17:$C$187=$C35),'[1]Pricing Calculator'!$I$17:$I$187,'[1]Pricing Calculator'!T$17:T$187,'[1]Pricing Calculator'!$AG$17:$AG$187))</f>
        <v>0</v>
      </c>
      <c r="O35" s="584" cm="1">
        <f t="array" ref="O35">IF($C35="",0,SUMPRODUCT(--('[1]Pricing Calculator'!$C$17:$C$187=$C35),'[1]Pricing Calculator'!$I$17:$I$187,'[1]Pricing Calculator'!U$17:U$187,'[1]Pricing Calculator'!$AG$17:$AG$187))</f>
        <v>0</v>
      </c>
      <c r="P35" s="585" cm="1">
        <f t="array" ref="P35">IF($C35="",0,SUMPRODUCT(--('[1]Pricing Calculator'!$C$17:$C$187=$C35),'[1]Pricing Calculator'!$I$17:$I$187,'[1]Pricing Calculator'!V$17:V$187,'[1]Pricing Calculator'!$AG$17:$AG$187))</f>
        <v>0</v>
      </c>
      <c r="Q35" s="585" cm="1">
        <f t="array" ref="Q35">IF($C35="",0,SUMPRODUCT(--('[1]Pricing Calculator'!$C$17:$C$187=$C35),'[1]Pricing Calculator'!$I$17:$I$187,'[1]Pricing Calculator'!W$17:W$187,'[1]Pricing Calculator'!$AG$17:$AG$187))</f>
        <v>0</v>
      </c>
      <c r="R35" s="585" cm="1">
        <f t="array" ref="R35">IF($C35="",0,SUMPRODUCT(--('[1]Pricing Calculator'!$C$17:$C$187=$C35),'[1]Pricing Calculator'!$I$17:$I$187,'[1]Pricing Calculator'!X$17:X$187,'[1]Pricing Calculator'!$AG$17:$AG$187))</f>
        <v>0</v>
      </c>
      <c r="S35" s="585" cm="1">
        <f t="array" ref="S35">IF($C35="",0,SUMPRODUCT(--('[1]Pricing Calculator'!$C$17:$C$187=$C35),'[1]Pricing Calculator'!$I$17:$I$187,'[1]Pricing Calculator'!Y$17:Y$187,'[1]Pricing Calculator'!$AG$17:$AG$187))</f>
        <v>0</v>
      </c>
      <c r="T35" s="585" cm="1">
        <f t="array" ref="T35">IF($C35="",0,SUMPRODUCT(--('[1]Pricing Calculator'!$C$17:$C$187=$C35),'[1]Pricing Calculator'!$I$17:$I$187,'[1]Pricing Calculator'!Z$17:Z$187,'[1]Pricing Calculator'!$AG$17:$AG$187))</f>
        <v>0</v>
      </c>
      <c r="U35" s="586" cm="1">
        <f t="array" ref="U35">IF($C35="",0,SUMPRODUCT(--('[1]Pricing Calculator'!$C$17:$C$187=$C35),'[1]Pricing Calculator'!$I$17:$I$187,'[1]Pricing Calculator'!AA$17:AA$187,'[1]Pricing Calculator'!$AG$17:$AG$187))</f>
        <v>0</v>
      </c>
      <c r="V35" s="584" cm="1">
        <f t="array" ref="V35">IF($C35="",0,SUMPRODUCT(--('[1]Pricing Calculator'!$C$17:$C$187=$C35),'[1]Pricing Calculator'!$I$17:$I$187,'[1]Pricing Calculator'!AB$17:AB$187,'[1]Pricing Calculator'!$AG$17:$AG$187))</f>
        <v>0</v>
      </c>
      <c r="W35" s="585" cm="1">
        <f t="array" ref="W35">IF($C35="",0,SUMPRODUCT(--('[1]Pricing Calculator'!$C$17:$C$187=$C35),'[1]Pricing Calculator'!$I$17:$I$187,'[1]Pricing Calculator'!AC$17:AC$187,'[1]Pricing Calculator'!$AG$17:$AG$187))</f>
        <v>0</v>
      </c>
      <c r="X35" s="585" cm="1">
        <f t="array" ref="X35">IF($C35="",0,SUMPRODUCT(--('[1]Pricing Calculator'!$C$17:$C$187=$C35),'[1]Pricing Calculator'!$I$17:$I$187,'[1]Pricing Calculator'!AD$17:AD$187,'[1]Pricing Calculator'!$AG$17:$AG$187))</f>
        <v>0</v>
      </c>
      <c r="Y35" s="586" cm="1">
        <f t="array" ref="Y35">IF($C35="",0,SUMPRODUCT(--('[1]Pricing Calculator'!$C$17:$C$187=$C35),'[1]Pricing Calculator'!$I$17:$I$187,'[1]Pricing Calculator'!AE$17:AE$187,'[1]Pricing Calculator'!$AG$17:$AG$187))</f>
        <v>0</v>
      </c>
      <c r="Z35" s="586">
        <f t="shared" si="0"/>
        <v>0</v>
      </c>
      <c r="AB35" s="587" cm="1">
        <f t="array" ref="AB35">IF($C35="",0,SUMPRODUCT(--('[1]Pricing Calculator'!$C$17:$C$187=$C35),'[1]Pricing Calculator'!$I$17:$I$187,'[1]Pricing Calculator'!AM$17:AM$187,'[1]Pricing Calculator'!$AG$17:$AG$187))*IF('[1]Pricing Summary'!$B$4="Yes",1+'[1]Core Assumptions'!$D$26,1)</f>
        <v>0</v>
      </c>
      <c r="AC35" s="587" cm="1">
        <f t="array" ref="AC35">IF($C35="",0,SUMPRODUCT(--('[1]Pricing Calculator'!$C$17:$C$187=$C35),'[1]Pricing Calculator'!$I$17:$I$187,'[1]Pricing Calculator'!AO$17:AO$187,'[1]Pricing Calculator'!$AG$17:$AG$187))*IF('[1]Pricing Summary'!$B$4="Yes",1+'[1]Core Assumptions'!$D$26,1)</f>
        <v>0</v>
      </c>
    </row>
    <row r="36" spans="1:29" ht="15.75" hidden="1" customHeight="1" outlineLevel="1" x14ac:dyDescent="0.2">
      <c r="A36" s="242">
        <v>18</v>
      </c>
      <c r="B36" s="582" t="str">
        <f>IF('[1]Core Assumptions'!B49="","",CONCATENATE("Entity - ",'[1]Core Assumptions'!B49))</f>
        <v/>
      </c>
      <c r="C36" s="583" t="str">
        <f>IF('[1]Core Assumptions'!B49="","",'[1]Core Assumptions'!B49)</f>
        <v/>
      </c>
      <c r="D36" s="245" t="s">
        <v>11</v>
      </c>
      <c r="E36" s="584" cm="1">
        <f t="array" ref="E36">IF($C36="",0,SUMPRODUCT(--('[1]Pricing Calculator'!$C$17:$C$187=$C36),'[1]Pricing Calculator'!$I$17:$I$187,'[1]Pricing Calculator'!K$17:K$187,'[1]Pricing Calculator'!$AG$17:$AG$187))</f>
        <v>0</v>
      </c>
      <c r="F36" s="585" cm="1">
        <f t="array" ref="F36">IF($C36="",0,SUMPRODUCT(--('[1]Pricing Calculator'!$C$17:$C$187=$C36),'[1]Pricing Calculator'!$I$17:$I$187,'[1]Pricing Calculator'!L$17:L$187,'[1]Pricing Calculator'!$AG$17:$AG$187))</f>
        <v>0</v>
      </c>
      <c r="G36" s="585" cm="1">
        <f t="array" ref="G36">IF($C36="",0,SUMPRODUCT(--('[1]Pricing Calculator'!$C$17:$C$187=$C36),'[1]Pricing Calculator'!$I$17:$I$187,'[1]Pricing Calculator'!M$17:M$187,'[1]Pricing Calculator'!$AG$17:$AG$187))</f>
        <v>0</v>
      </c>
      <c r="H36" s="585" cm="1">
        <f t="array" ref="H36">IF($C36="",0,SUMPRODUCT(--('[1]Pricing Calculator'!$C$17:$C$187=$C36),'[1]Pricing Calculator'!$I$17:$I$187,'[1]Pricing Calculator'!N$17:N$187,'[1]Pricing Calculator'!$AG$17:$AG$187))</f>
        <v>0</v>
      </c>
      <c r="I36" s="585" cm="1">
        <f t="array" ref="I36">IF($C36="",0,SUMPRODUCT(--('[1]Pricing Calculator'!$C$17:$C$187=$C36),'[1]Pricing Calculator'!$I$17:$I$187,'[1]Pricing Calculator'!O$17:O$187,'[1]Pricing Calculator'!$AG$17:$AG$187))</f>
        <v>0</v>
      </c>
      <c r="J36" s="585" cm="1">
        <f t="array" ref="J36">IF($C36="",0,SUMPRODUCT(--('[1]Pricing Calculator'!$C$17:$C$187=$C36),'[1]Pricing Calculator'!$I$17:$I$187,'[1]Pricing Calculator'!P$17:P$187,'[1]Pricing Calculator'!$AG$17:$AG$187))</f>
        <v>0</v>
      </c>
      <c r="K36" s="585" cm="1">
        <f t="array" ref="K36">IF($C36="",0,SUMPRODUCT(--('[1]Pricing Calculator'!$C$17:$C$187=$C36),'[1]Pricing Calculator'!$I$17:$I$187,'[1]Pricing Calculator'!Q$17:Q$187,'[1]Pricing Calculator'!$AG$17:$AG$187))</f>
        <v>0</v>
      </c>
      <c r="L36" s="585" cm="1">
        <f t="array" ref="L36">IF($C36="",0,SUMPRODUCT(--('[1]Pricing Calculator'!$C$17:$C$187=$C36),'[1]Pricing Calculator'!$I$17:$I$187,'[1]Pricing Calculator'!R$17:R$187,'[1]Pricing Calculator'!$AG$17:$AG$187))</f>
        <v>0</v>
      </c>
      <c r="M36" s="585" cm="1">
        <f t="array" ref="M36">IF($C36="",0,SUMPRODUCT(--('[1]Pricing Calculator'!$C$17:$C$187=$C36),'[1]Pricing Calculator'!$I$17:$I$187,'[1]Pricing Calculator'!S$17:S$187,'[1]Pricing Calculator'!$AG$17:$AG$187))</f>
        <v>0</v>
      </c>
      <c r="N36" s="585" cm="1">
        <f t="array" ref="N36">IF($C36="",0,SUMPRODUCT(--('[1]Pricing Calculator'!$C$17:$C$187=$C36),'[1]Pricing Calculator'!$I$17:$I$187,'[1]Pricing Calculator'!T$17:T$187,'[1]Pricing Calculator'!$AG$17:$AG$187))</f>
        <v>0</v>
      </c>
      <c r="O36" s="584" cm="1">
        <f t="array" ref="O36">IF($C36="",0,SUMPRODUCT(--('[1]Pricing Calculator'!$C$17:$C$187=$C36),'[1]Pricing Calculator'!$I$17:$I$187,'[1]Pricing Calculator'!U$17:U$187,'[1]Pricing Calculator'!$AG$17:$AG$187))</f>
        <v>0</v>
      </c>
      <c r="P36" s="585" cm="1">
        <f t="array" ref="P36">IF($C36="",0,SUMPRODUCT(--('[1]Pricing Calculator'!$C$17:$C$187=$C36),'[1]Pricing Calculator'!$I$17:$I$187,'[1]Pricing Calculator'!V$17:V$187,'[1]Pricing Calculator'!$AG$17:$AG$187))</f>
        <v>0</v>
      </c>
      <c r="Q36" s="585" cm="1">
        <f t="array" ref="Q36">IF($C36="",0,SUMPRODUCT(--('[1]Pricing Calculator'!$C$17:$C$187=$C36),'[1]Pricing Calculator'!$I$17:$I$187,'[1]Pricing Calculator'!W$17:W$187,'[1]Pricing Calculator'!$AG$17:$AG$187))</f>
        <v>0</v>
      </c>
      <c r="R36" s="585" cm="1">
        <f t="array" ref="R36">IF($C36="",0,SUMPRODUCT(--('[1]Pricing Calculator'!$C$17:$C$187=$C36),'[1]Pricing Calculator'!$I$17:$I$187,'[1]Pricing Calculator'!X$17:X$187,'[1]Pricing Calculator'!$AG$17:$AG$187))</f>
        <v>0</v>
      </c>
      <c r="S36" s="585" cm="1">
        <f t="array" ref="S36">IF($C36="",0,SUMPRODUCT(--('[1]Pricing Calculator'!$C$17:$C$187=$C36),'[1]Pricing Calculator'!$I$17:$I$187,'[1]Pricing Calculator'!Y$17:Y$187,'[1]Pricing Calculator'!$AG$17:$AG$187))</f>
        <v>0</v>
      </c>
      <c r="T36" s="585" cm="1">
        <f t="array" ref="T36">IF($C36="",0,SUMPRODUCT(--('[1]Pricing Calculator'!$C$17:$C$187=$C36),'[1]Pricing Calculator'!$I$17:$I$187,'[1]Pricing Calculator'!Z$17:Z$187,'[1]Pricing Calculator'!$AG$17:$AG$187))</f>
        <v>0</v>
      </c>
      <c r="U36" s="586" cm="1">
        <f t="array" ref="U36">IF($C36="",0,SUMPRODUCT(--('[1]Pricing Calculator'!$C$17:$C$187=$C36),'[1]Pricing Calculator'!$I$17:$I$187,'[1]Pricing Calculator'!AA$17:AA$187,'[1]Pricing Calculator'!$AG$17:$AG$187))</f>
        <v>0</v>
      </c>
      <c r="V36" s="584" cm="1">
        <f t="array" ref="V36">IF($C36="",0,SUMPRODUCT(--('[1]Pricing Calculator'!$C$17:$C$187=$C36),'[1]Pricing Calculator'!$I$17:$I$187,'[1]Pricing Calculator'!AB$17:AB$187,'[1]Pricing Calculator'!$AG$17:$AG$187))</f>
        <v>0</v>
      </c>
      <c r="W36" s="585" cm="1">
        <f t="array" ref="W36">IF($C36="",0,SUMPRODUCT(--('[1]Pricing Calculator'!$C$17:$C$187=$C36),'[1]Pricing Calculator'!$I$17:$I$187,'[1]Pricing Calculator'!AC$17:AC$187,'[1]Pricing Calculator'!$AG$17:$AG$187))</f>
        <v>0</v>
      </c>
      <c r="X36" s="585" cm="1">
        <f t="array" ref="X36">IF($C36="",0,SUMPRODUCT(--('[1]Pricing Calculator'!$C$17:$C$187=$C36),'[1]Pricing Calculator'!$I$17:$I$187,'[1]Pricing Calculator'!AD$17:AD$187,'[1]Pricing Calculator'!$AG$17:$AG$187))</f>
        <v>0</v>
      </c>
      <c r="Y36" s="586" cm="1">
        <f t="array" ref="Y36">IF($C36="",0,SUMPRODUCT(--('[1]Pricing Calculator'!$C$17:$C$187=$C36),'[1]Pricing Calculator'!$I$17:$I$187,'[1]Pricing Calculator'!AE$17:AE$187,'[1]Pricing Calculator'!$AG$17:$AG$187))</f>
        <v>0</v>
      </c>
      <c r="Z36" s="586">
        <f t="shared" si="0"/>
        <v>0</v>
      </c>
      <c r="AB36" s="587" cm="1">
        <f t="array" ref="AB36">IF($C36="",0,SUMPRODUCT(--('[1]Pricing Calculator'!$C$17:$C$187=$C36),'[1]Pricing Calculator'!$I$17:$I$187,'[1]Pricing Calculator'!AM$17:AM$187,'[1]Pricing Calculator'!$AG$17:$AG$187))*IF('[1]Pricing Summary'!$B$4="Yes",1+'[1]Core Assumptions'!$D$26,1)</f>
        <v>0</v>
      </c>
      <c r="AC36" s="587" cm="1">
        <f t="array" ref="AC36">IF($C36="",0,SUMPRODUCT(--('[1]Pricing Calculator'!$C$17:$C$187=$C36),'[1]Pricing Calculator'!$I$17:$I$187,'[1]Pricing Calculator'!AO$17:AO$187,'[1]Pricing Calculator'!$AG$17:$AG$187))*IF('[1]Pricing Summary'!$B$4="Yes",1+'[1]Core Assumptions'!$D$26,1)</f>
        <v>0</v>
      </c>
    </row>
    <row r="37" spans="1:29" ht="15.75" hidden="1" customHeight="1" outlineLevel="1" x14ac:dyDescent="0.2">
      <c r="A37" s="242">
        <v>19</v>
      </c>
      <c r="B37" s="582" t="str">
        <f>IF('[1]Core Assumptions'!B50="","",CONCATENATE("Entity - ",'[1]Core Assumptions'!B50))</f>
        <v/>
      </c>
      <c r="C37" s="583" t="str">
        <f>IF('[1]Core Assumptions'!B50="","",'[1]Core Assumptions'!B50)</f>
        <v/>
      </c>
      <c r="D37" s="245" t="s">
        <v>11</v>
      </c>
      <c r="E37" s="584" cm="1">
        <f t="array" ref="E37">IF($C37="",0,SUMPRODUCT(--('[1]Pricing Calculator'!$C$17:$C$187=$C37),'[1]Pricing Calculator'!$I$17:$I$187,'[1]Pricing Calculator'!K$17:K$187,'[1]Pricing Calculator'!$AG$17:$AG$187))</f>
        <v>0</v>
      </c>
      <c r="F37" s="585" cm="1">
        <f t="array" ref="F37">IF($C37="",0,SUMPRODUCT(--('[1]Pricing Calculator'!$C$17:$C$187=$C37),'[1]Pricing Calculator'!$I$17:$I$187,'[1]Pricing Calculator'!L$17:L$187,'[1]Pricing Calculator'!$AG$17:$AG$187))</f>
        <v>0</v>
      </c>
      <c r="G37" s="585" cm="1">
        <f t="array" ref="G37">IF($C37="",0,SUMPRODUCT(--('[1]Pricing Calculator'!$C$17:$C$187=$C37),'[1]Pricing Calculator'!$I$17:$I$187,'[1]Pricing Calculator'!M$17:M$187,'[1]Pricing Calculator'!$AG$17:$AG$187))</f>
        <v>0</v>
      </c>
      <c r="H37" s="585" cm="1">
        <f t="array" ref="H37">IF($C37="",0,SUMPRODUCT(--('[1]Pricing Calculator'!$C$17:$C$187=$C37),'[1]Pricing Calculator'!$I$17:$I$187,'[1]Pricing Calculator'!N$17:N$187,'[1]Pricing Calculator'!$AG$17:$AG$187))</f>
        <v>0</v>
      </c>
      <c r="I37" s="585" cm="1">
        <f t="array" ref="I37">IF($C37="",0,SUMPRODUCT(--('[1]Pricing Calculator'!$C$17:$C$187=$C37),'[1]Pricing Calculator'!$I$17:$I$187,'[1]Pricing Calculator'!O$17:O$187,'[1]Pricing Calculator'!$AG$17:$AG$187))</f>
        <v>0</v>
      </c>
      <c r="J37" s="585" cm="1">
        <f t="array" ref="J37">IF($C37="",0,SUMPRODUCT(--('[1]Pricing Calculator'!$C$17:$C$187=$C37),'[1]Pricing Calculator'!$I$17:$I$187,'[1]Pricing Calculator'!P$17:P$187,'[1]Pricing Calculator'!$AG$17:$AG$187))</f>
        <v>0</v>
      </c>
      <c r="K37" s="585" cm="1">
        <f t="array" ref="K37">IF($C37="",0,SUMPRODUCT(--('[1]Pricing Calculator'!$C$17:$C$187=$C37),'[1]Pricing Calculator'!$I$17:$I$187,'[1]Pricing Calculator'!Q$17:Q$187,'[1]Pricing Calculator'!$AG$17:$AG$187))</f>
        <v>0</v>
      </c>
      <c r="L37" s="585" cm="1">
        <f t="array" ref="L37">IF($C37="",0,SUMPRODUCT(--('[1]Pricing Calculator'!$C$17:$C$187=$C37),'[1]Pricing Calculator'!$I$17:$I$187,'[1]Pricing Calculator'!R$17:R$187,'[1]Pricing Calculator'!$AG$17:$AG$187))</f>
        <v>0</v>
      </c>
      <c r="M37" s="585" cm="1">
        <f t="array" ref="M37">IF($C37="",0,SUMPRODUCT(--('[1]Pricing Calculator'!$C$17:$C$187=$C37),'[1]Pricing Calculator'!$I$17:$I$187,'[1]Pricing Calculator'!S$17:S$187,'[1]Pricing Calculator'!$AG$17:$AG$187))</f>
        <v>0</v>
      </c>
      <c r="N37" s="585" cm="1">
        <f t="array" ref="N37">IF($C37="",0,SUMPRODUCT(--('[1]Pricing Calculator'!$C$17:$C$187=$C37),'[1]Pricing Calculator'!$I$17:$I$187,'[1]Pricing Calculator'!T$17:T$187,'[1]Pricing Calculator'!$AG$17:$AG$187))</f>
        <v>0</v>
      </c>
      <c r="O37" s="584" cm="1">
        <f t="array" ref="O37">IF($C37="",0,SUMPRODUCT(--('[1]Pricing Calculator'!$C$17:$C$187=$C37),'[1]Pricing Calculator'!$I$17:$I$187,'[1]Pricing Calculator'!U$17:U$187,'[1]Pricing Calculator'!$AG$17:$AG$187))</f>
        <v>0</v>
      </c>
      <c r="P37" s="585" cm="1">
        <f t="array" ref="P37">IF($C37="",0,SUMPRODUCT(--('[1]Pricing Calculator'!$C$17:$C$187=$C37),'[1]Pricing Calculator'!$I$17:$I$187,'[1]Pricing Calculator'!V$17:V$187,'[1]Pricing Calculator'!$AG$17:$AG$187))</f>
        <v>0</v>
      </c>
      <c r="Q37" s="585" cm="1">
        <f t="array" ref="Q37">IF($C37="",0,SUMPRODUCT(--('[1]Pricing Calculator'!$C$17:$C$187=$C37),'[1]Pricing Calculator'!$I$17:$I$187,'[1]Pricing Calculator'!W$17:W$187,'[1]Pricing Calculator'!$AG$17:$AG$187))</f>
        <v>0</v>
      </c>
      <c r="R37" s="585" cm="1">
        <f t="array" ref="R37">IF($C37="",0,SUMPRODUCT(--('[1]Pricing Calculator'!$C$17:$C$187=$C37),'[1]Pricing Calculator'!$I$17:$I$187,'[1]Pricing Calculator'!X$17:X$187,'[1]Pricing Calculator'!$AG$17:$AG$187))</f>
        <v>0</v>
      </c>
      <c r="S37" s="585" cm="1">
        <f t="array" ref="S37">IF($C37="",0,SUMPRODUCT(--('[1]Pricing Calculator'!$C$17:$C$187=$C37),'[1]Pricing Calculator'!$I$17:$I$187,'[1]Pricing Calculator'!Y$17:Y$187,'[1]Pricing Calculator'!$AG$17:$AG$187))</f>
        <v>0</v>
      </c>
      <c r="T37" s="585" cm="1">
        <f t="array" ref="T37">IF($C37="",0,SUMPRODUCT(--('[1]Pricing Calculator'!$C$17:$C$187=$C37),'[1]Pricing Calculator'!$I$17:$I$187,'[1]Pricing Calculator'!Z$17:Z$187,'[1]Pricing Calculator'!$AG$17:$AG$187))</f>
        <v>0</v>
      </c>
      <c r="U37" s="586" cm="1">
        <f t="array" ref="U37">IF($C37="",0,SUMPRODUCT(--('[1]Pricing Calculator'!$C$17:$C$187=$C37),'[1]Pricing Calculator'!$I$17:$I$187,'[1]Pricing Calculator'!AA$17:AA$187,'[1]Pricing Calculator'!$AG$17:$AG$187))</f>
        <v>0</v>
      </c>
      <c r="V37" s="584" cm="1">
        <f t="array" ref="V37">IF($C37="",0,SUMPRODUCT(--('[1]Pricing Calculator'!$C$17:$C$187=$C37),'[1]Pricing Calculator'!$I$17:$I$187,'[1]Pricing Calculator'!AB$17:AB$187,'[1]Pricing Calculator'!$AG$17:$AG$187))</f>
        <v>0</v>
      </c>
      <c r="W37" s="585" cm="1">
        <f t="array" ref="W37">IF($C37="",0,SUMPRODUCT(--('[1]Pricing Calculator'!$C$17:$C$187=$C37),'[1]Pricing Calculator'!$I$17:$I$187,'[1]Pricing Calculator'!AC$17:AC$187,'[1]Pricing Calculator'!$AG$17:$AG$187))</f>
        <v>0</v>
      </c>
      <c r="X37" s="585" cm="1">
        <f t="array" ref="X37">IF($C37="",0,SUMPRODUCT(--('[1]Pricing Calculator'!$C$17:$C$187=$C37),'[1]Pricing Calculator'!$I$17:$I$187,'[1]Pricing Calculator'!AD$17:AD$187,'[1]Pricing Calculator'!$AG$17:$AG$187))</f>
        <v>0</v>
      </c>
      <c r="Y37" s="586" cm="1">
        <f t="array" ref="Y37">IF($C37="",0,SUMPRODUCT(--('[1]Pricing Calculator'!$C$17:$C$187=$C37),'[1]Pricing Calculator'!$I$17:$I$187,'[1]Pricing Calculator'!AE$17:AE$187,'[1]Pricing Calculator'!$AG$17:$AG$187))</f>
        <v>0</v>
      </c>
      <c r="Z37" s="586">
        <f t="shared" si="0"/>
        <v>0</v>
      </c>
      <c r="AB37" s="587" cm="1">
        <f t="array" ref="AB37">IF($C37="",0,SUMPRODUCT(--('[1]Pricing Calculator'!$C$17:$C$187=$C37),'[1]Pricing Calculator'!$I$17:$I$187,'[1]Pricing Calculator'!AM$17:AM$187,'[1]Pricing Calculator'!$AG$17:$AG$187))*IF('[1]Pricing Summary'!$B$4="Yes",1+'[1]Core Assumptions'!$D$26,1)</f>
        <v>0</v>
      </c>
      <c r="AC37" s="587" cm="1">
        <f t="array" ref="AC37">IF($C37="",0,SUMPRODUCT(--('[1]Pricing Calculator'!$C$17:$C$187=$C37),'[1]Pricing Calculator'!$I$17:$I$187,'[1]Pricing Calculator'!AO$17:AO$187,'[1]Pricing Calculator'!$AG$17:$AG$187))*IF('[1]Pricing Summary'!$B$4="Yes",1+'[1]Core Assumptions'!$D$26,1)</f>
        <v>0</v>
      </c>
    </row>
    <row r="38" spans="1:29" ht="15.75" hidden="1" customHeight="1" outlineLevel="1" x14ac:dyDescent="0.2">
      <c r="A38" s="242">
        <v>20</v>
      </c>
      <c r="B38" s="582" t="str">
        <f>IF('[1]Core Assumptions'!B51="","",CONCATENATE("Entity - ",'[1]Core Assumptions'!B51))</f>
        <v/>
      </c>
      <c r="C38" s="583" t="str">
        <f>IF('[1]Core Assumptions'!B51="","",'[1]Core Assumptions'!B51)</f>
        <v/>
      </c>
      <c r="D38" s="245" t="s">
        <v>11</v>
      </c>
      <c r="E38" s="584" cm="1">
        <f t="array" ref="E38">IF($C38="",0,SUMPRODUCT(--('[1]Pricing Calculator'!$C$17:$C$187=$C38),'[1]Pricing Calculator'!$I$17:$I$187,'[1]Pricing Calculator'!K$17:K$187,'[1]Pricing Calculator'!$AG$17:$AG$187))</f>
        <v>0</v>
      </c>
      <c r="F38" s="585" cm="1">
        <f t="array" ref="F38">IF($C38="",0,SUMPRODUCT(--('[1]Pricing Calculator'!$C$17:$C$187=$C38),'[1]Pricing Calculator'!$I$17:$I$187,'[1]Pricing Calculator'!L$17:L$187,'[1]Pricing Calculator'!$AG$17:$AG$187))</f>
        <v>0</v>
      </c>
      <c r="G38" s="585" cm="1">
        <f t="array" ref="G38">IF($C38="",0,SUMPRODUCT(--('[1]Pricing Calculator'!$C$17:$C$187=$C38),'[1]Pricing Calculator'!$I$17:$I$187,'[1]Pricing Calculator'!M$17:M$187,'[1]Pricing Calculator'!$AG$17:$AG$187))</f>
        <v>0</v>
      </c>
      <c r="H38" s="585" cm="1">
        <f t="array" ref="H38">IF($C38="",0,SUMPRODUCT(--('[1]Pricing Calculator'!$C$17:$C$187=$C38),'[1]Pricing Calculator'!$I$17:$I$187,'[1]Pricing Calculator'!N$17:N$187,'[1]Pricing Calculator'!$AG$17:$AG$187))</f>
        <v>0</v>
      </c>
      <c r="I38" s="585" cm="1">
        <f t="array" ref="I38">IF($C38="",0,SUMPRODUCT(--('[1]Pricing Calculator'!$C$17:$C$187=$C38),'[1]Pricing Calculator'!$I$17:$I$187,'[1]Pricing Calculator'!O$17:O$187,'[1]Pricing Calculator'!$AG$17:$AG$187))</f>
        <v>0</v>
      </c>
      <c r="J38" s="585" cm="1">
        <f t="array" ref="J38">IF($C38="",0,SUMPRODUCT(--('[1]Pricing Calculator'!$C$17:$C$187=$C38),'[1]Pricing Calculator'!$I$17:$I$187,'[1]Pricing Calculator'!P$17:P$187,'[1]Pricing Calculator'!$AG$17:$AG$187))</f>
        <v>0</v>
      </c>
      <c r="K38" s="585" cm="1">
        <f t="array" ref="K38">IF($C38="",0,SUMPRODUCT(--('[1]Pricing Calculator'!$C$17:$C$187=$C38),'[1]Pricing Calculator'!$I$17:$I$187,'[1]Pricing Calculator'!Q$17:Q$187,'[1]Pricing Calculator'!$AG$17:$AG$187))</f>
        <v>0</v>
      </c>
      <c r="L38" s="585" cm="1">
        <f t="array" ref="L38">IF($C38="",0,SUMPRODUCT(--('[1]Pricing Calculator'!$C$17:$C$187=$C38),'[1]Pricing Calculator'!$I$17:$I$187,'[1]Pricing Calculator'!R$17:R$187,'[1]Pricing Calculator'!$AG$17:$AG$187))</f>
        <v>0</v>
      </c>
      <c r="M38" s="585" cm="1">
        <f t="array" ref="M38">IF($C38="",0,SUMPRODUCT(--('[1]Pricing Calculator'!$C$17:$C$187=$C38),'[1]Pricing Calculator'!$I$17:$I$187,'[1]Pricing Calculator'!S$17:S$187,'[1]Pricing Calculator'!$AG$17:$AG$187))</f>
        <v>0</v>
      </c>
      <c r="N38" s="585" cm="1">
        <f t="array" ref="N38">IF($C38="",0,SUMPRODUCT(--('[1]Pricing Calculator'!$C$17:$C$187=$C38),'[1]Pricing Calculator'!$I$17:$I$187,'[1]Pricing Calculator'!T$17:T$187,'[1]Pricing Calculator'!$AG$17:$AG$187))</f>
        <v>0</v>
      </c>
      <c r="O38" s="584" cm="1">
        <f t="array" ref="O38">IF($C38="",0,SUMPRODUCT(--('[1]Pricing Calculator'!$C$17:$C$187=$C38),'[1]Pricing Calculator'!$I$17:$I$187,'[1]Pricing Calculator'!U$17:U$187,'[1]Pricing Calculator'!$AG$17:$AG$187))</f>
        <v>0</v>
      </c>
      <c r="P38" s="585" cm="1">
        <f t="array" ref="P38">IF($C38="",0,SUMPRODUCT(--('[1]Pricing Calculator'!$C$17:$C$187=$C38),'[1]Pricing Calculator'!$I$17:$I$187,'[1]Pricing Calculator'!V$17:V$187,'[1]Pricing Calculator'!$AG$17:$AG$187))</f>
        <v>0</v>
      </c>
      <c r="Q38" s="585" cm="1">
        <f t="array" ref="Q38">IF($C38="",0,SUMPRODUCT(--('[1]Pricing Calculator'!$C$17:$C$187=$C38),'[1]Pricing Calculator'!$I$17:$I$187,'[1]Pricing Calculator'!W$17:W$187,'[1]Pricing Calculator'!$AG$17:$AG$187))</f>
        <v>0</v>
      </c>
      <c r="R38" s="585" cm="1">
        <f t="array" ref="R38">IF($C38="",0,SUMPRODUCT(--('[1]Pricing Calculator'!$C$17:$C$187=$C38),'[1]Pricing Calculator'!$I$17:$I$187,'[1]Pricing Calculator'!X$17:X$187,'[1]Pricing Calculator'!$AG$17:$AG$187))</f>
        <v>0</v>
      </c>
      <c r="S38" s="585" cm="1">
        <f t="array" ref="S38">IF($C38="",0,SUMPRODUCT(--('[1]Pricing Calculator'!$C$17:$C$187=$C38),'[1]Pricing Calculator'!$I$17:$I$187,'[1]Pricing Calculator'!Y$17:Y$187,'[1]Pricing Calculator'!$AG$17:$AG$187))</f>
        <v>0</v>
      </c>
      <c r="T38" s="585" cm="1">
        <f t="array" ref="T38">IF($C38="",0,SUMPRODUCT(--('[1]Pricing Calculator'!$C$17:$C$187=$C38),'[1]Pricing Calculator'!$I$17:$I$187,'[1]Pricing Calculator'!Z$17:Z$187,'[1]Pricing Calculator'!$AG$17:$AG$187))</f>
        <v>0</v>
      </c>
      <c r="U38" s="586" cm="1">
        <f t="array" ref="U38">IF($C38="",0,SUMPRODUCT(--('[1]Pricing Calculator'!$C$17:$C$187=$C38),'[1]Pricing Calculator'!$I$17:$I$187,'[1]Pricing Calculator'!AA$17:AA$187,'[1]Pricing Calculator'!$AG$17:$AG$187))</f>
        <v>0</v>
      </c>
      <c r="V38" s="584" cm="1">
        <f t="array" ref="V38">IF($C38="",0,SUMPRODUCT(--('[1]Pricing Calculator'!$C$17:$C$187=$C38),'[1]Pricing Calculator'!$I$17:$I$187,'[1]Pricing Calculator'!AB$17:AB$187,'[1]Pricing Calculator'!$AG$17:$AG$187))</f>
        <v>0</v>
      </c>
      <c r="W38" s="585" cm="1">
        <f t="array" ref="W38">IF($C38="",0,SUMPRODUCT(--('[1]Pricing Calculator'!$C$17:$C$187=$C38),'[1]Pricing Calculator'!$I$17:$I$187,'[1]Pricing Calculator'!AC$17:AC$187,'[1]Pricing Calculator'!$AG$17:$AG$187))</f>
        <v>0</v>
      </c>
      <c r="X38" s="585" cm="1">
        <f t="array" ref="X38">IF($C38="",0,SUMPRODUCT(--('[1]Pricing Calculator'!$C$17:$C$187=$C38),'[1]Pricing Calculator'!$I$17:$I$187,'[1]Pricing Calculator'!AD$17:AD$187,'[1]Pricing Calculator'!$AG$17:$AG$187))</f>
        <v>0</v>
      </c>
      <c r="Y38" s="586" cm="1">
        <f t="array" ref="Y38">IF($C38="",0,SUMPRODUCT(--('[1]Pricing Calculator'!$C$17:$C$187=$C38),'[1]Pricing Calculator'!$I$17:$I$187,'[1]Pricing Calculator'!AE$17:AE$187,'[1]Pricing Calculator'!$AG$17:$AG$187))</f>
        <v>0</v>
      </c>
      <c r="Z38" s="586">
        <f t="shared" si="0"/>
        <v>0</v>
      </c>
      <c r="AB38" s="587" cm="1">
        <f t="array" ref="AB38">IF($C38="",0,SUMPRODUCT(--('[1]Pricing Calculator'!$C$17:$C$187=$C38),'[1]Pricing Calculator'!$I$17:$I$187,'[1]Pricing Calculator'!AM$17:AM$187,'[1]Pricing Calculator'!$AG$17:$AG$187))*IF('[1]Pricing Summary'!$B$4="Yes",1+'[1]Core Assumptions'!$D$26,1)</f>
        <v>0</v>
      </c>
      <c r="AC38" s="587" cm="1">
        <f t="array" ref="AC38">IF($C38="",0,SUMPRODUCT(--('[1]Pricing Calculator'!$C$17:$C$187=$C38),'[1]Pricing Calculator'!$I$17:$I$187,'[1]Pricing Calculator'!AO$17:AO$187,'[1]Pricing Calculator'!$AG$17:$AG$187))*IF('[1]Pricing Summary'!$B$4="Yes",1+'[1]Core Assumptions'!$D$26,1)</f>
        <v>0</v>
      </c>
    </row>
    <row r="39" spans="1:29" ht="15.75" hidden="1" customHeight="1" outlineLevel="1" x14ac:dyDescent="0.2">
      <c r="A39" s="242">
        <v>21</v>
      </c>
      <c r="B39" s="582" t="str">
        <f>IF('[1]Core Assumptions'!B52="","",CONCATENATE("Entity - ",'[1]Core Assumptions'!B52))</f>
        <v/>
      </c>
      <c r="C39" s="583" t="str">
        <f>IF('[1]Core Assumptions'!B52="","",'[1]Core Assumptions'!B52)</f>
        <v/>
      </c>
      <c r="D39" s="245" t="s">
        <v>11</v>
      </c>
      <c r="E39" s="584" cm="1">
        <f t="array" ref="E39">IF($C39="",0,SUMPRODUCT(--('[1]Pricing Calculator'!$C$17:$C$187=$C39),'[1]Pricing Calculator'!$I$17:$I$187,'[1]Pricing Calculator'!K$17:K$187,'[1]Pricing Calculator'!$AG$17:$AG$187))</f>
        <v>0</v>
      </c>
      <c r="F39" s="585" cm="1">
        <f t="array" ref="F39">IF($C39="",0,SUMPRODUCT(--('[1]Pricing Calculator'!$C$17:$C$187=$C39),'[1]Pricing Calculator'!$I$17:$I$187,'[1]Pricing Calculator'!L$17:L$187,'[1]Pricing Calculator'!$AG$17:$AG$187))</f>
        <v>0</v>
      </c>
      <c r="G39" s="585" cm="1">
        <f t="array" ref="G39">IF($C39="",0,SUMPRODUCT(--('[1]Pricing Calculator'!$C$17:$C$187=$C39),'[1]Pricing Calculator'!$I$17:$I$187,'[1]Pricing Calculator'!M$17:M$187,'[1]Pricing Calculator'!$AG$17:$AG$187))</f>
        <v>0</v>
      </c>
      <c r="H39" s="585" cm="1">
        <f t="array" ref="H39">IF($C39="",0,SUMPRODUCT(--('[1]Pricing Calculator'!$C$17:$C$187=$C39),'[1]Pricing Calculator'!$I$17:$I$187,'[1]Pricing Calculator'!N$17:N$187,'[1]Pricing Calculator'!$AG$17:$AG$187))</f>
        <v>0</v>
      </c>
      <c r="I39" s="585" cm="1">
        <f t="array" ref="I39">IF($C39="",0,SUMPRODUCT(--('[1]Pricing Calculator'!$C$17:$C$187=$C39),'[1]Pricing Calculator'!$I$17:$I$187,'[1]Pricing Calculator'!O$17:O$187,'[1]Pricing Calculator'!$AG$17:$AG$187))</f>
        <v>0</v>
      </c>
      <c r="J39" s="585" cm="1">
        <f t="array" ref="J39">IF($C39="",0,SUMPRODUCT(--('[1]Pricing Calculator'!$C$17:$C$187=$C39),'[1]Pricing Calculator'!$I$17:$I$187,'[1]Pricing Calculator'!P$17:P$187,'[1]Pricing Calculator'!$AG$17:$AG$187))</f>
        <v>0</v>
      </c>
      <c r="K39" s="585" cm="1">
        <f t="array" ref="K39">IF($C39="",0,SUMPRODUCT(--('[1]Pricing Calculator'!$C$17:$C$187=$C39),'[1]Pricing Calculator'!$I$17:$I$187,'[1]Pricing Calculator'!Q$17:Q$187,'[1]Pricing Calculator'!$AG$17:$AG$187))</f>
        <v>0</v>
      </c>
      <c r="L39" s="585" cm="1">
        <f t="array" ref="L39">IF($C39="",0,SUMPRODUCT(--('[1]Pricing Calculator'!$C$17:$C$187=$C39),'[1]Pricing Calculator'!$I$17:$I$187,'[1]Pricing Calculator'!R$17:R$187,'[1]Pricing Calculator'!$AG$17:$AG$187))</f>
        <v>0</v>
      </c>
      <c r="M39" s="585" cm="1">
        <f t="array" ref="M39">IF($C39="",0,SUMPRODUCT(--('[1]Pricing Calculator'!$C$17:$C$187=$C39),'[1]Pricing Calculator'!$I$17:$I$187,'[1]Pricing Calculator'!S$17:S$187,'[1]Pricing Calculator'!$AG$17:$AG$187))</f>
        <v>0</v>
      </c>
      <c r="N39" s="585" cm="1">
        <f t="array" ref="N39">IF($C39="",0,SUMPRODUCT(--('[1]Pricing Calculator'!$C$17:$C$187=$C39),'[1]Pricing Calculator'!$I$17:$I$187,'[1]Pricing Calculator'!T$17:T$187,'[1]Pricing Calculator'!$AG$17:$AG$187))</f>
        <v>0</v>
      </c>
      <c r="O39" s="584" cm="1">
        <f t="array" ref="O39">IF($C39="",0,SUMPRODUCT(--('[1]Pricing Calculator'!$C$17:$C$187=$C39),'[1]Pricing Calculator'!$I$17:$I$187,'[1]Pricing Calculator'!U$17:U$187,'[1]Pricing Calculator'!$AG$17:$AG$187))</f>
        <v>0</v>
      </c>
      <c r="P39" s="585" cm="1">
        <f t="array" ref="P39">IF($C39="",0,SUMPRODUCT(--('[1]Pricing Calculator'!$C$17:$C$187=$C39),'[1]Pricing Calculator'!$I$17:$I$187,'[1]Pricing Calculator'!V$17:V$187,'[1]Pricing Calculator'!$AG$17:$AG$187))</f>
        <v>0</v>
      </c>
      <c r="Q39" s="585" cm="1">
        <f t="array" ref="Q39">IF($C39="",0,SUMPRODUCT(--('[1]Pricing Calculator'!$C$17:$C$187=$C39),'[1]Pricing Calculator'!$I$17:$I$187,'[1]Pricing Calculator'!W$17:W$187,'[1]Pricing Calculator'!$AG$17:$AG$187))</f>
        <v>0</v>
      </c>
      <c r="R39" s="585" cm="1">
        <f t="array" ref="R39">IF($C39="",0,SUMPRODUCT(--('[1]Pricing Calculator'!$C$17:$C$187=$C39),'[1]Pricing Calculator'!$I$17:$I$187,'[1]Pricing Calculator'!X$17:X$187,'[1]Pricing Calculator'!$AG$17:$AG$187))</f>
        <v>0</v>
      </c>
      <c r="S39" s="585" cm="1">
        <f t="array" ref="S39">IF($C39="",0,SUMPRODUCT(--('[1]Pricing Calculator'!$C$17:$C$187=$C39),'[1]Pricing Calculator'!$I$17:$I$187,'[1]Pricing Calculator'!Y$17:Y$187,'[1]Pricing Calculator'!$AG$17:$AG$187))</f>
        <v>0</v>
      </c>
      <c r="T39" s="585" cm="1">
        <f t="array" ref="T39">IF($C39="",0,SUMPRODUCT(--('[1]Pricing Calculator'!$C$17:$C$187=$C39),'[1]Pricing Calculator'!$I$17:$I$187,'[1]Pricing Calculator'!Z$17:Z$187,'[1]Pricing Calculator'!$AG$17:$AG$187))</f>
        <v>0</v>
      </c>
      <c r="U39" s="586" cm="1">
        <f t="array" ref="U39">IF($C39="",0,SUMPRODUCT(--('[1]Pricing Calculator'!$C$17:$C$187=$C39),'[1]Pricing Calculator'!$I$17:$I$187,'[1]Pricing Calculator'!AA$17:AA$187,'[1]Pricing Calculator'!$AG$17:$AG$187))</f>
        <v>0</v>
      </c>
      <c r="V39" s="584" cm="1">
        <f t="array" ref="V39">IF($C39="",0,SUMPRODUCT(--('[1]Pricing Calculator'!$C$17:$C$187=$C39),'[1]Pricing Calculator'!$I$17:$I$187,'[1]Pricing Calculator'!AB$17:AB$187,'[1]Pricing Calculator'!$AG$17:$AG$187))</f>
        <v>0</v>
      </c>
      <c r="W39" s="585" cm="1">
        <f t="array" ref="W39">IF($C39="",0,SUMPRODUCT(--('[1]Pricing Calculator'!$C$17:$C$187=$C39),'[1]Pricing Calculator'!$I$17:$I$187,'[1]Pricing Calculator'!AC$17:AC$187,'[1]Pricing Calculator'!$AG$17:$AG$187))</f>
        <v>0</v>
      </c>
      <c r="X39" s="585" cm="1">
        <f t="array" ref="X39">IF($C39="",0,SUMPRODUCT(--('[1]Pricing Calculator'!$C$17:$C$187=$C39),'[1]Pricing Calculator'!$I$17:$I$187,'[1]Pricing Calculator'!AD$17:AD$187,'[1]Pricing Calculator'!$AG$17:$AG$187))</f>
        <v>0</v>
      </c>
      <c r="Y39" s="586" cm="1">
        <f t="array" ref="Y39">IF($C39="",0,SUMPRODUCT(--('[1]Pricing Calculator'!$C$17:$C$187=$C39),'[1]Pricing Calculator'!$I$17:$I$187,'[1]Pricing Calculator'!AE$17:AE$187,'[1]Pricing Calculator'!$AG$17:$AG$187))</f>
        <v>0</v>
      </c>
      <c r="Z39" s="586">
        <f t="shared" si="0"/>
        <v>0</v>
      </c>
      <c r="AB39" s="587" cm="1">
        <f t="array" ref="AB39">IF($C39="",0,SUMPRODUCT(--('[1]Pricing Calculator'!$C$17:$C$187=$C39),'[1]Pricing Calculator'!$I$17:$I$187,'[1]Pricing Calculator'!AM$17:AM$187,'[1]Pricing Calculator'!$AG$17:$AG$187))*IF('[1]Pricing Summary'!$B$4="Yes",1+'[1]Core Assumptions'!$D$26,1)</f>
        <v>0</v>
      </c>
      <c r="AC39" s="587" cm="1">
        <f t="array" ref="AC39">IF($C39="",0,SUMPRODUCT(--('[1]Pricing Calculator'!$C$17:$C$187=$C39),'[1]Pricing Calculator'!$I$17:$I$187,'[1]Pricing Calculator'!AO$17:AO$187,'[1]Pricing Calculator'!$AG$17:$AG$187))*IF('[1]Pricing Summary'!$B$4="Yes",1+'[1]Core Assumptions'!$D$26,1)</f>
        <v>0</v>
      </c>
    </row>
    <row r="40" spans="1:29" ht="15.75" hidden="1" customHeight="1" outlineLevel="1" x14ac:dyDescent="0.2">
      <c r="A40" s="242">
        <v>22</v>
      </c>
      <c r="B40" s="582" t="str">
        <f>IF('[1]Core Assumptions'!B53="","",CONCATENATE("Entity - ",'[1]Core Assumptions'!B53))</f>
        <v/>
      </c>
      <c r="C40" s="583" t="str">
        <f>IF('[1]Core Assumptions'!B53="","",'[1]Core Assumptions'!B53)</f>
        <v/>
      </c>
      <c r="D40" s="245" t="s">
        <v>11</v>
      </c>
      <c r="E40" s="584" cm="1">
        <f t="array" ref="E40">IF($C40="",0,SUMPRODUCT(--('[1]Pricing Calculator'!$C$17:$C$187=$C40),'[1]Pricing Calculator'!$I$17:$I$187,'[1]Pricing Calculator'!K$17:K$187,'[1]Pricing Calculator'!$AG$17:$AG$187))</f>
        <v>0</v>
      </c>
      <c r="F40" s="585" cm="1">
        <f t="array" ref="F40">IF($C40="",0,SUMPRODUCT(--('[1]Pricing Calculator'!$C$17:$C$187=$C40),'[1]Pricing Calculator'!$I$17:$I$187,'[1]Pricing Calculator'!L$17:L$187,'[1]Pricing Calculator'!$AG$17:$AG$187))</f>
        <v>0</v>
      </c>
      <c r="G40" s="585" cm="1">
        <f t="array" ref="G40">IF($C40="",0,SUMPRODUCT(--('[1]Pricing Calculator'!$C$17:$C$187=$C40),'[1]Pricing Calculator'!$I$17:$I$187,'[1]Pricing Calculator'!M$17:M$187,'[1]Pricing Calculator'!$AG$17:$AG$187))</f>
        <v>0</v>
      </c>
      <c r="H40" s="585" cm="1">
        <f t="array" ref="H40">IF($C40="",0,SUMPRODUCT(--('[1]Pricing Calculator'!$C$17:$C$187=$C40),'[1]Pricing Calculator'!$I$17:$I$187,'[1]Pricing Calculator'!N$17:N$187,'[1]Pricing Calculator'!$AG$17:$AG$187))</f>
        <v>0</v>
      </c>
      <c r="I40" s="585" cm="1">
        <f t="array" ref="I40">IF($C40="",0,SUMPRODUCT(--('[1]Pricing Calculator'!$C$17:$C$187=$C40),'[1]Pricing Calculator'!$I$17:$I$187,'[1]Pricing Calculator'!O$17:O$187,'[1]Pricing Calculator'!$AG$17:$AG$187))</f>
        <v>0</v>
      </c>
      <c r="J40" s="585" cm="1">
        <f t="array" ref="J40">IF($C40="",0,SUMPRODUCT(--('[1]Pricing Calculator'!$C$17:$C$187=$C40),'[1]Pricing Calculator'!$I$17:$I$187,'[1]Pricing Calculator'!P$17:P$187,'[1]Pricing Calculator'!$AG$17:$AG$187))</f>
        <v>0</v>
      </c>
      <c r="K40" s="585" cm="1">
        <f t="array" ref="K40">IF($C40="",0,SUMPRODUCT(--('[1]Pricing Calculator'!$C$17:$C$187=$C40),'[1]Pricing Calculator'!$I$17:$I$187,'[1]Pricing Calculator'!Q$17:Q$187,'[1]Pricing Calculator'!$AG$17:$AG$187))</f>
        <v>0</v>
      </c>
      <c r="L40" s="585" cm="1">
        <f t="array" ref="L40">IF($C40="",0,SUMPRODUCT(--('[1]Pricing Calculator'!$C$17:$C$187=$C40),'[1]Pricing Calculator'!$I$17:$I$187,'[1]Pricing Calculator'!R$17:R$187,'[1]Pricing Calculator'!$AG$17:$AG$187))</f>
        <v>0</v>
      </c>
      <c r="M40" s="585" cm="1">
        <f t="array" ref="M40">IF($C40="",0,SUMPRODUCT(--('[1]Pricing Calculator'!$C$17:$C$187=$C40),'[1]Pricing Calculator'!$I$17:$I$187,'[1]Pricing Calculator'!S$17:S$187,'[1]Pricing Calculator'!$AG$17:$AG$187))</f>
        <v>0</v>
      </c>
      <c r="N40" s="585" cm="1">
        <f t="array" ref="N40">IF($C40="",0,SUMPRODUCT(--('[1]Pricing Calculator'!$C$17:$C$187=$C40),'[1]Pricing Calculator'!$I$17:$I$187,'[1]Pricing Calculator'!T$17:T$187,'[1]Pricing Calculator'!$AG$17:$AG$187))</f>
        <v>0</v>
      </c>
      <c r="O40" s="584" cm="1">
        <f t="array" ref="O40">IF($C40="",0,SUMPRODUCT(--('[1]Pricing Calculator'!$C$17:$C$187=$C40),'[1]Pricing Calculator'!$I$17:$I$187,'[1]Pricing Calculator'!U$17:U$187,'[1]Pricing Calculator'!$AG$17:$AG$187))</f>
        <v>0</v>
      </c>
      <c r="P40" s="585" cm="1">
        <f t="array" ref="P40">IF($C40="",0,SUMPRODUCT(--('[1]Pricing Calculator'!$C$17:$C$187=$C40),'[1]Pricing Calculator'!$I$17:$I$187,'[1]Pricing Calculator'!V$17:V$187,'[1]Pricing Calculator'!$AG$17:$AG$187))</f>
        <v>0</v>
      </c>
      <c r="Q40" s="585" cm="1">
        <f t="array" ref="Q40">IF($C40="",0,SUMPRODUCT(--('[1]Pricing Calculator'!$C$17:$C$187=$C40),'[1]Pricing Calculator'!$I$17:$I$187,'[1]Pricing Calculator'!W$17:W$187,'[1]Pricing Calculator'!$AG$17:$AG$187))</f>
        <v>0</v>
      </c>
      <c r="R40" s="585" cm="1">
        <f t="array" ref="R40">IF($C40="",0,SUMPRODUCT(--('[1]Pricing Calculator'!$C$17:$C$187=$C40),'[1]Pricing Calculator'!$I$17:$I$187,'[1]Pricing Calculator'!X$17:X$187,'[1]Pricing Calculator'!$AG$17:$AG$187))</f>
        <v>0</v>
      </c>
      <c r="S40" s="585" cm="1">
        <f t="array" ref="S40">IF($C40="",0,SUMPRODUCT(--('[1]Pricing Calculator'!$C$17:$C$187=$C40),'[1]Pricing Calculator'!$I$17:$I$187,'[1]Pricing Calculator'!Y$17:Y$187,'[1]Pricing Calculator'!$AG$17:$AG$187))</f>
        <v>0</v>
      </c>
      <c r="T40" s="585" cm="1">
        <f t="array" ref="T40">IF($C40="",0,SUMPRODUCT(--('[1]Pricing Calculator'!$C$17:$C$187=$C40),'[1]Pricing Calculator'!$I$17:$I$187,'[1]Pricing Calculator'!Z$17:Z$187,'[1]Pricing Calculator'!$AG$17:$AG$187))</f>
        <v>0</v>
      </c>
      <c r="U40" s="586" cm="1">
        <f t="array" ref="U40">IF($C40="",0,SUMPRODUCT(--('[1]Pricing Calculator'!$C$17:$C$187=$C40),'[1]Pricing Calculator'!$I$17:$I$187,'[1]Pricing Calculator'!AA$17:AA$187,'[1]Pricing Calculator'!$AG$17:$AG$187))</f>
        <v>0</v>
      </c>
      <c r="V40" s="584" cm="1">
        <f t="array" ref="V40">IF($C40="",0,SUMPRODUCT(--('[1]Pricing Calculator'!$C$17:$C$187=$C40),'[1]Pricing Calculator'!$I$17:$I$187,'[1]Pricing Calculator'!AB$17:AB$187,'[1]Pricing Calculator'!$AG$17:$AG$187))</f>
        <v>0</v>
      </c>
      <c r="W40" s="585" cm="1">
        <f t="array" ref="W40">IF($C40="",0,SUMPRODUCT(--('[1]Pricing Calculator'!$C$17:$C$187=$C40),'[1]Pricing Calculator'!$I$17:$I$187,'[1]Pricing Calculator'!AC$17:AC$187,'[1]Pricing Calculator'!$AG$17:$AG$187))</f>
        <v>0</v>
      </c>
      <c r="X40" s="585" cm="1">
        <f t="array" ref="X40">IF($C40="",0,SUMPRODUCT(--('[1]Pricing Calculator'!$C$17:$C$187=$C40),'[1]Pricing Calculator'!$I$17:$I$187,'[1]Pricing Calculator'!AD$17:AD$187,'[1]Pricing Calculator'!$AG$17:$AG$187))</f>
        <v>0</v>
      </c>
      <c r="Y40" s="586" cm="1">
        <f t="array" ref="Y40">IF($C40="",0,SUMPRODUCT(--('[1]Pricing Calculator'!$C$17:$C$187=$C40),'[1]Pricing Calculator'!$I$17:$I$187,'[1]Pricing Calculator'!AE$17:AE$187,'[1]Pricing Calculator'!$AG$17:$AG$187))</f>
        <v>0</v>
      </c>
      <c r="Z40" s="586">
        <f t="shared" si="0"/>
        <v>0</v>
      </c>
      <c r="AB40" s="587" cm="1">
        <f t="array" ref="AB40">IF($C40="",0,SUMPRODUCT(--('[1]Pricing Calculator'!$C$17:$C$187=$C40),'[1]Pricing Calculator'!$I$17:$I$187,'[1]Pricing Calculator'!AM$17:AM$187,'[1]Pricing Calculator'!$AG$17:$AG$187))*IF('[1]Pricing Summary'!$B$4="Yes",1+'[1]Core Assumptions'!$D$26,1)</f>
        <v>0</v>
      </c>
      <c r="AC40" s="587" cm="1">
        <f t="array" ref="AC40">IF($C40="",0,SUMPRODUCT(--('[1]Pricing Calculator'!$C$17:$C$187=$C40),'[1]Pricing Calculator'!$I$17:$I$187,'[1]Pricing Calculator'!AO$17:AO$187,'[1]Pricing Calculator'!$AG$17:$AG$187))*IF('[1]Pricing Summary'!$B$4="Yes",1+'[1]Core Assumptions'!$D$26,1)</f>
        <v>0</v>
      </c>
    </row>
    <row r="41" spans="1:29" ht="15.75" hidden="1" customHeight="1" outlineLevel="1" x14ac:dyDescent="0.2">
      <c r="A41" s="242">
        <v>23</v>
      </c>
      <c r="B41" s="582" t="str">
        <f>IF('[1]Core Assumptions'!B54="","",CONCATENATE("Entity - ",'[1]Core Assumptions'!B54))</f>
        <v/>
      </c>
      <c r="C41" s="583" t="str">
        <f>IF('[1]Core Assumptions'!B54="","",'[1]Core Assumptions'!B54)</f>
        <v/>
      </c>
      <c r="D41" s="245" t="s">
        <v>11</v>
      </c>
      <c r="E41" s="584" cm="1">
        <f t="array" ref="E41">IF($C41="",0,SUMPRODUCT(--('[1]Pricing Calculator'!$C$17:$C$187=$C41),'[1]Pricing Calculator'!$I$17:$I$187,'[1]Pricing Calculator'!K$17:K$187,'[1]Pricing Calculator'!$AG$17:$AG$187))</f>
        <v>0</v>
      </c>
      <c r="F41" s="585" cm="1">
        <f t="array" ref="F41">IF($C41="",0,SUMPRODUCT(--('[1]Pricing Calculator'!$C$17:$C$187=$C41),'[1]Pricing Calculator'!$I$17:$I$187,'[1]Pricing Calculator'!L$17:L$187,'[1]Pricing Calculator'!$AG$17:$AG$187))</f>
        <v>0</v>
      </c>
      <c r="G41" s="585" cm="1">
        <f t="array" ref="G41">IF($C41="",0,SUMPRODUCT(--('[1]Pricing Calculator'!$C$17:$C$187=$C41),'[1]Pricing Calculator'!$I$17:$I$187,'[1]Pricing Calculator'!M$17:M$187,'[1]Pricing Calculator'!$AG$17:$AG$187))</f>
        <v>0</v>
      </c>
      <c r="H41" s="585" cm="1">
        <f t="array" ref="H41">IF($C41="",0,SUMPRODUCT(--('[1]Pricing Calculator'!$C$17:$C$187=$C41),'[1]Pricing Calculator'!$I$17:$I$187,'[1]Pricing Calculator'!N$17:N$187,'[1]Pricing Calculator'!$AG$17:$AG$187))</f>
        <v>0</v>
      </c>
      <c r="I41" s="585" cm="1">
        <f t="array" ref="I41">IF($C41="",0,SUMPRODUCT(--('[1]Pricing Calculator'!$C$17:$C$187=$C41),'[1]Pricing Calculator'!$I$17:$I$187,'[1]Pricing Calculator'!O$17:O$187,'[1]Pricing Calculator'!$AG$17:$AG$187))</f>
        <v>0</v>
      </c>
      <c r="J41" s="585" cm="1">
        <f t="array" ref="J41">IF($C41="",0,SUMPRODUCT(--('[1]Pricing Calculator'!$C$17:$C$187=$C41),'[1]Pricing Calculator'!$I$17:$I$187,'[1]Pricing Calculator'!P$17:P$187,'[1]Pricing Calculator'!$AG$17:$AG$187))</f>
        <v>0</v>
      </c>
      <c r="K41" s="585" cm="1">
        <f t="array" ref="K41">IF($C41="",0,SUMPRODUCT(--('[1]Pricing Calculator'!$C$17:$C$187=$C41),'[1]Pricing Calculator'!$I$17:$I$187,'[1]Pricing Calculator'!Q$17:Q$187,'[1]Pricing Calculator'!$AG$17:$AG$187))</f>
        <v>0</v>
      </c>
      <c r="L41" s="585" cm="1">
        <f t="array" ref="L41">IF($C41="",0,SUMPRODUCT(--('[1]Pricing Calculator'!$C$17:$C$187=$C41),'[1]Pricing Calculator'!$I$17:$I$187,'[1]Pricing Calculator'!R$17:R$187,'[1]Pricing Calculator'!$AG$17:$AG$187))</f>
        <v>0</v>
      </c>
      <c r="M41" s="585" cm="1">
        <f t="array" ref="M41">IF($C41="",0,SUMPRODUCT(--('[1]Pricing Calculator'!$C$17:$C$187=$C41),'[1]Pricing Calculator'!$I$17:$I$187,'[1]Pricing Calculator'!S$17:S$187,'[1]Pricing Calculator'!$AG$17:$AG$187))</f>
        <v>0</v>
      </c>
      <c r="N41" s="585" cm="1">
        <f t="array" ref="N41">IF($C41="",0,SUMPRODUCT(--('[1]Pricing Calculator'!$C$17:$C$187=$C41),'[1]Pricing Calculator'!$I$17:$I$187,'[1]Pricing Calculator'!T$17:T$187,'[1]Pricing Calculator'!$AG$17:$AG$187))</f>
        <v>0</v>
      </c>
      <c r="O41" s="584" cm="1">
        <f t="array" ref="O41">IF($C41="",0,SUMPRODUCT(--('[1]Pricing Calculator'!$C$17:$C$187=$C41),'[1]Pricing Calculator'!$I$17:$I$187,'[1]Pricing Calculator'!U$17:U$187,'[1]Pricing Calculator'!$AG$17:$AG$187))</f>
        <v>0</v>
      </c>
      <c r="P41" s="585" cm="1">
        <f t="array" ref="P41">IF($C41="",0,SUMPRODUCT(--('[1]Pricing Calculator'!$C$17:$C$187=$C41),'[1]Pricing Calculator'!$I$17:$I$187,'[1]Pricing Calculator'!V$17:V$187,'[1]Pricing Calculator'!$AG$17:$AG$187))</f>
        <v>0</v>
      </c>
      <c r="Q41" s="585" cm="1">
        <f t="array" ref="Q41">IF($C41="",0,SUMPRODUCT(--('[1]Pricing Calculator'!$C$17:$C$187=$C41),'[1]Pricing Calculator'!$I$17:$I$187,'[1]Pricing Calculator'!W$17:W$187,'[1]Pricing Calculator'!$AG$17:$AG$187))</f>
        <v>0</v>
      </c>
      <c r="R41" s="585" cm="1">
        <f t="array" ref="R41">IF($C41="",0,SUMPRODUCT(--('[1]Pricing Calculator'!$C$17:$C$187=$C41),'[1]Pricing Calculator'!$I$17:$I$187,'[1]Pricing Calculator'!X$17:X$187,'[1]Pricing Calculator'!$AG$17:$AG$187))</f>
        <v>0</v>
      </c>
      <c r="S41" s="585" cm="1">
        <f t="array" ref="S41">IF($C41="",0,SUMPRODUCT(--('[1]Pricing Calculator'!$C$17:$C$187=$C41),'[1]Pricing Calculator'!$I$17:$I$187,'[1]Pricing Calculator'!Y$17:Y$187,'[1]Pricing Calculator'!$AG$17:$AG$187))</f>
        <v>0</v>
      </c>
      <c r="T41" s="585" cm="1">
        <f t="array" ref="T41">IF($C41="",0,SUMPRODUCT(--('[1]Pricing Calculator'!$C$17:$C$187=$C41),'[1]Pricing Calculator'!$I$17:$I$187,'[1]Pricing Calculator'!Z$17:Z$187,'[1]Pricing Calculator'!$AG$17:$AG$187))</f>
        <v>0</v>
      </c>
      <c r="U41" s="586" cm="1">
        <f t="array" ref="U41">IF($C41="",0,SUMPRODUCT(--('[1]Pricing Calculator'!$C$17:$C$187=$C41),'[1]Pricing Calculator'!$I$17:$I$187,'[1]Pricing Calculator'!AA$17:AA$187,'[1]Pricing Calculator'!$AG$17:$AG$187))</f>
        <v>0</v>
      </c>
      <c r="V41" s="584" cm="1">
        <f t="array" ref="V41">IF($C41="",0,SUMPRODUCT(--('[1]Pricing Calculator'!$C$17:$C$187=$C41),'[1]Pricing Calculator'!$I$17:$I$187,'[1]Pricing Calculator'!AB$17:AB$187,'[1]Pricing Calculator'!$AG$17:$AG$187))</f>
        <v>0</v>
      </c>
      <c r="W41" s="585" cm="1">
        <f t="array" ref="W41">IF($C41="",0,SUMPRODUCT(--('[1]Pricing Calculator'!$C$17:$C$187=$C41),'[1]Pricing Calculator'!$I$17:$I$187,'[1]Pricing Calculator'!AC$17:AC$187,'[1]Pricing Calculator'!$AG$17:$AG$187))</f>
        <v>0</v>
      </c>
      <c r="X41" s="585" cm="1">
        <f t="array" ref="X41">IF($C41="",0,SUMPRODUCT(--('[1]Pricing Calculator'!$C$17:$C$187=$C41),'[1]Pricing Calculator'!$I$17:$I$187,'[1]Pricing Calculator'!AD$17:AD$187,'[1]Pricing Calculator'!$AG$17:$AG$187))</f>
        <v>0</v>
      </c>
      <c r="Y41" s="586" cm="1">
        <f t="array" ref="Y41">IF($C41="",0,SUMPRODUCT(--('[1]Pricing Calculator'!$C$17:$C$187=$C41),'[1]Pricing Calculator'!$I$17:$I$187,'[1]Pricing Calculator'!AE$17:AE$187,'[1]Pricing Calculator'!$AG$17:$AG$187))</f>
        <v>0</v>
      </c>
      <c r="Z41" s="586">
        <f t="shared" si="0"/>
        <v>0</v>
      </c>
      <c r="AB41" s="587" cm="1">
        <f t="array" ref="AB41">IF($C41="",0,SUMPRODUCT(--('[1]Pricing Calculator'!$C$17:$C$187=$C41),'[1]Pricing Calculator'!$I$17:$I$187,'[1]Pricing Calculator'!AM$17:AM$187,'[1]Pricing Calculator'!$AG$17:$AG$187))*IF('[1]Pricing Summary'!$B$4="Yes",1+'[1]Core Assumptions'!$D$26,1)</f>
        <v>0</v>
      </c>
      <c r="AC41" s="587" cm="1">
        <f t="array" ref="AC41">IF($C41="",0,SUMPRODUCT(--('[1]Pricing Calculator'!$C$17:$C$187=$C41),'[1]Pricing Calculator'!$I$17:$I$187,'[1]Pricing Calculator'!AO$17:AO$187,'[1]Pricing Calculator'!$AG$17:$AG$187))*IF('[1]Pricing Summary'!$B$4="Yes",1+'[1]Core Assumptions'!$D$26,1)</f>
        <v>0</v>
      </c>
    </row>
    <row r="42" spans="1:29" ht="15.75" hidden="1" customHeight="1" outlineLevel="1" x14ac:dyDescent="0.2">
      <c r="A42" s="242">
        <v>24</v>
      </c>
      <c r="B42" s="582" t="str">
        <f>IF('[1]Core Assumptions'!B55="","",CONCATENATE("Entity - ",'[1]Core Assumptions'!B55))</f>
        <v/>
      </c>
      <c r="C42" s="583" t="str">
        <f>IF('[1]Core Assumptions'!B55="","",'[1]Core Assumptions'!B55)</f>
        <v/>
      </c>
      <c r="D42" s="245" t="s">
        <v>11</v>
      </c>
      <c r="E42" s="584" cm="1">
        <f t="array" ref="E42">IF($C42="",0,SUMPRODUCT(--('[1]Pricing Calculator'!$C$17:$C$187=$C42),'[1]Pricing Calculator'!$I$17:$I$187,'[1]Pricing Calculator'!K$17:K$187,'[1]Pricing Calculator'!$AG$17:$AG$187))</f>
        <v>0</v>
      </c>
      <c r="F42" s="585" cm="1">
        <f t="array" ref="F42">IF($C42="",0,SUMPRODUCT(--('[1]Pricing Calculator'!$C$17:$C$187=$C42),'[1]Pricing Calculator'!$I$17:$I$187,'[1]Pricing Calculator'!L$17:L$187,'[1]Pricing Calculator'!$AG$17:$AG$187))</f>
        <v>0</v>
      </c>
      <c r="G42" s="585" cm="1">
        <f t="array" ref="G42">IF($C42="",0,SUMPRODUCT(--('[1]Pricing Calculator'!$C$17:$C$187=$C42),'[1]Pricing Calculator'!$I$17:$I$187,'[1]Pricing Calculator'!M$17:M$187,'[1]Pricing Calculator'!$AG$17:$AG$187))</f>
        <v>0</v>
      </c>
      <c r="H42" s="585" cm="1">
        <f t="array" ref="H42">IF($C42="",0,SUMPRODUCT(--('[1]Pricing Calculator'!$C$17:$C$187=$C42),'[1]Pricing Calculator'!$I$17:$I$187,'[1]Pricing Calculator'!N$17:N$187,'[1]Pricing Calculator'!$AG$17:$AG$187))</f>
        <v>0</v>
      </c>
      <c r="I42" s="585" cm="1">
        <f t="array" ref="I42">IF($C42="",0,SUMPRODUCT(--('[1]Pricing Calculator'!$C$17:$C$187=$C42),'[1]Pricing Calculator'!$I$17:$I$187,'[1]Pricing Calculator'!O$17:O$187,'[1]Pricing Calculator'!$AG$17:$AG$187))</f>
        <v>0</v>
      </c>
      <c r="J42" s="585" cm="1">
        <f t="array" ref="J42">IF($C42="",0,SUMPRODUCT(--('[1]Pricing Calculator'!$C$17:$C$187=$C42),'[1]Pricing Calculator'!$I$17:$I$187,'[1]Pricing Calculator'!P$17:P$187,'[1]Pricing Calculator'!$AG$17:$AG$187))</f>
        <v>0</v>
      </c>
      <c r="K42" s="585" cm="1">
        <f t="array" ref="K42">IF($C42="",0,SUMPRODUCT(--('[1]Pricing Calculator'!$C$17:$C$187=$C42),'[1]Pricing Calculator'!$I$17:$I$187,'[1]Pricing Calculator'!Q$17:Q$187,'[1]Pricing Calculator'!$AG$17:$AG$187))</f>
        <v>0</v>
      </c>
      <c r="L42" s="585" cm="1">
        <f t="array" ref="L42">IF($C42="",0,SUMPRODUCT(--('[1]Pricing Calculator'!$C$17:$C$187=$C42),'[1]Pricing Calculator'!$I$17:$I$187,'[1]Pricing Calculator'!R$17:R$187,'[1]Pricing Calculator'!$AG$17:$AG$187))</f>
        <v>0</v>
      </c>
      <c r="M42" s="585" cm="1">
        <f t="array" ref="M42">IF($C42="",0,SUMPRODUCT(--('[1]Pricing Calculator'!$C$17:$C$187=$C42),'[1]Pricing Calculator'!$I$17:$I$187,'[1]Pricing Calculator'!S$17:S$187,'[1]Pricing Calculator'!$AG$17:$AG$187))</f>
        <v>0</v>
      </c>
      <c r="N42" s="585" cm="1">
        <f t="array" ref="N42">IF($C42="",0,SUMPRODUCT(--('[1]Pricing Calculator'!$C$17:$C$187=$C42),'[1]Pricing Calculator'!$I$17:$I$187,'[1]Pricing Calculator'!T$17:T$187,'[1]Pricing Calculator'!$AG$17:$AG$187))</f>
        <v>0</v>
      </c>
      <c r="O42" s="584" cm="1">
        <f t="array" ref="O42">IF($C42="",0,SUMPRODUCT(--('[1]Pricing Calculator'!$C$17:$C$187=$C42),'[1]Pricing Calculator'!$I$17:$I$187,'[1]Pricing Calculator'!U$17:U$187,'[1]Pricing Calculator'!$AG$17:$AG$187))</f>
        <v>0</v>
      </c>
      <c r="P42" s="585" cm="1">
        <f t="array" ref="P42">IF($C42="",0,SUMPRODUCT(--('[1]Pricing Calculator'!$C$17:$C$187=$C42),'[1]Pricing Calculator'!$I$17:$I$187,'[1]Pricing Calculator'!V$17:V$187,'[1]Pricing Calculator'!$AG$17:$AG$187))</f>
        <v>0</v>
      </c>
      <c r="Q42" s="585" cm="1">
        <f t="array" ref="Q42">IF($C42="",0,SUMPRODUCT(--('[1]Pricing Calculator'!$C$17:$C$187=$C42),'[1]Pricing Calculator'!$I$17:$I$187,'[1]Pricing Calculator'!W$17:W$187,'[1]Pricing Calculator'!$AG$17:$AG$187))</f>
        <v>0</v>
      </c>
      <c r="R42" s="585" cm="1">
        <f t="array" ref="R42">IF($C42="",0,SUMPRODUCT(--('[1]Pricing Calculator'!$C$17:$C$187=$C42),'[1]Pricing Calculator'!$I$17:$I$187,'[1]Pricing Calculator'!X$17:X$187,'[1]Pricing Calculator'!$AG$17:$AG$187))</f>
        <v>0</v>
      </c>
      <c r="S42" s="585" cm="1">
        <f t="array" ref="S42">IF($C42="",0,SUMPRODUCT(--('[1]Pricing Calculator'!$C$17:$C$187=$C42),'[1]Pricing Calculator'!$I$17:$I$187,'[1]Pricing Calculator'!Y$17:Y$187,'[1]Pricing Calculator'!$AG$17:$AG$187))</f>
        <v>0</v>
      </c>
      <c r="T42" s="585" cm="1">
        <f t="array" ref="T42">IF($C42="",0,SUMPRODUCT(--('[1]Pricing Calculator'!$C$17:$C$187=$C42),'[1]Pricing Calculator'!$I$17:$I$187,'[1]Pricing Calculator'!Z$17:Z$187,'[1]Pricing Calculator'!$AG$17:$AG$187))</f>
        <v>0</v>
      </c>
      <c r="U42" s="586" cm="1">
        <f t="array" ref="U42">IF($C42="",0,SUMPRODUCT(--('[1]Pricing Calculator'!$C$17:$C$187=$C42),'[1]Pricing Calculator'!$I$17:$I$187,'[1]Pricing Calculator'!AA$17:AA$187,'[1]Pricing Calculator'!$AG$17:$AG$187))</f>
        <v>0</v>
      </c>
      <c r="V42" s="584" cm="1">
        <f t="array" ref="V42">IF($C42="",0,SUMPRODUCT(--('[1]Pricing Calculator'!$C$17:$C$187=$C42),'[1]Pricing Calculator'!$I$17:$I$187,'[1]Pricing Calculator'!AB$17:AB$187,'[1]Pricing Calculator'!$AG$17:$AG$187))</f>
        <v>0</v>
      </c>
      <c r="W42" s="585" cm="1">
        <f t="array" ref="W42">IF($C42="",0,SUMPRODUCT(--('[1]Pricing Calculator'!$C$17:$C$187=$C42),'[1]Pricing Calculator'!$I$17:$I$187,'[1]Pricing Calculator'!AC$17:AC$187,'[1]Pricing Calculator'!$AG$17:$AG$187))</f>
        <v>0</v>
      </c>
      <c r="X42" s="585" cm="1">
        <f t="array" ref="X42">IF($C42="",0,SUMPRODUCT(--('[1]Pricing Calculator'!$C$17:$C$187=$C42),'[1]Pricing Calculator'!$I$17:$I$187,'[1]Pricing Calculator'!AD$17:AD$187,'[1]Pricing Calculator'!$AG$17:$AG$187))</f>
        <v>0</v>
      </c>
      <c r="Y42" s="586" cm="1">
        <f t="array" ref="Y42">IF($C42="",0,SUMPRODUCT(--('[1]Pricing Calculator'!$C$17:$C$187=$C42),'[1]Pricing Calculator'!$I$17:$I$187,'[1]Pricing Calculator'!AE$17:AE$187,'[1]Pricing Calculator'!$AG$17:$AG$187))</f>
        <v>0</v>
      </c>
      <c r="Z42" s="586">
        <f t="shared" si="0"/>
        <v>0</v>
      </c>
      <c r="AB42" s="587" cm="1">
        <f t="array" ref="AB42">IF($C42="",0,SUMPRODUCT(--('[1]Pricing Calculator'!$C$17:$C$187=$C42),'[1]Pricing Calculator'!$I$17:$I$187,'[1]Pricing Calculator'!AM$17:AM$187,'[1]Pricing Calculator'!$AG$17:$AG$187))*IF('[1]Pricing Summary'!$B$4="Yes",1+'[1]Core Assumptions'!$D$26,1)</f>
        <v>0</v>
      </c>
      <c r="AC42" s="587" cm="1">
        <f t="array" ref="AC42">IF($C42="",0,SUMPRODUCT(--('[1]Pricing Calculator'!$C$17:$C$187=$C42),'[1]Pricing Calculator'!$I$17:$I$187,'[1]Pricing Calculator'!AO$17:AO$187,'[1]Pricing Calculator'!$AG$17:$AG$187))*IF('[1]Pricing Summary'!$B$4="Yes",1+'[1]Core Assumptions'!$D$26,1)</f>
        <v>0</v>
      </c>
    </row>
    <row r="43" spans="1:29" ht="15.75" hidden="1" customHeight="1" outlineLevel="1" x14ac:dyDescent="0.2">
      <c r="A43" s="242">
        <v>25</v>
      </c>
      <c r="B43" s="582" t="str">
        <f>IF('[1]Core Assumptions'!B56="","",CONCATENATE("Entity - ",'[1]Core Assumptions'!B56))</f>
        <v/>
      </c>
      <c r="C43" s="583" t="str">
        <f>IF('[1]Core Assumptions'!B56="","",'[1]Core Assumptions'!B56)</f>
        <v/>
      </c>
      <c r="D43" s="245" t="s">
        <v>11</v>
      </c>
      <c r="E43" s="584" cm="1">
        <f t="array" ref="E43">IF($C43="",0,SUMPRODUCT(--('[1]Pricing Calculator'!$C$17:$C$187=$C43),'[1]Pricing Calculator'!$I$17:$I$187,'[1]Pricing Calculator'!K$17:K$187,'[1]Pricing Calculator'!$AG$17:$AG$187))</f>
        <v>0</v>
      </c>
      <c r="F43" s="585" cm="1">
        <f t="array" ref="F43">IF($C43="",0,SUMPRODUCT(--('[1]Pricing Calculator'!$C$17:$C$187=$C43),'[1]Pricing Calculator'!$I$17:$I$187,'[1]Pricing Calculator'!L$17:L$187,'[1]Pricing Calculator'!$AG$17:$AG$187))</f>
        <v>0</v>
      </c>
      <c r="G43" s="585" cm="1">
        <f t="array" ref="G43">IF($C43="",0,SUMPRODUCT(--('[1]Pricing Calculator'!$C$17:$C$187=$C43),'[1]Pricing Calculator'!$I$17:$I$187,'[1]Pricing Calculator'!M$17:M$187,'[1]Pricing Calculator'!$AG$17:$AG$187))</f>
        <v>0</v>
      </c>
      <c r="H43" s="585" cm="1">
        <f t="array" ref="H43">IF($C43="",0,SUMPRODUCT(--('[1]Pricing Calculator'!$C$17:$C$187=$C43),'[1]Pricing Calculator'!$I$17:$I$187,'[1]Pricing Calculator'!N$17:N$187,'[1]Pricing Calculator'!$AG$17:$AG$187))</f>
        <v>0</v>
      </c>
      <c r="I43" s="585" cm="1">
        <f t="array" ref="I43">IF($C43="",0,SUMPRODUCT(--('[1]Pricing Calculator'!$C$17:$C$187=$C43),'[1]Pricing Calculator'!$I$17:$I$187,'[1]Pricing Calculator'!O$17:O$187,'[1]Pricing Calculator'!$AG$17:$AG$187))</f>
        <v>0</v>
      </c>
      <c r="J43" s="585" cm="1">
        <f t="array" ref="J43">IF($C43="",0,SUMPRODUCT(--('[1]Pricing Calculator'!$C$17:$C$187=$C43),'[1]Pricing Calculator'!$I$17:$I$187,'[1]Pricing Calculator'!P$17:P$187,'[1]Pricing Calculator'!$AG$17:$AG$187))</f>
        <v>0</v>
      </c>
      <c r="K43" s="585" cm="1">
        <f t="array" ref="K43">IF($C43="",0,SUMPRODUCT(--('[1]Pricing Calculator'!$C$17:$C$187=$C43),'[1]Pricing Calculator'!$I$17:$I$187,'[1]Pricing Calculator'!Q$17:Q$187,'[1]Pricing Calculator'!$AG$17:$AG$187))</f>
        <v>0</v>
      </c>
      <c r="L43" s="585" cm="1">
        <f t="array" ref="L43">IF($C43="",0,SUMPRODUCT(--('[1]Pricing Calculator'!$C$17:$C$187=$C43),'[1]Pricing Calculator'!$I$17:$I$187,'[1]Pricing Calculator'!R$17:R$187,'[1]Pricing Calculator'!$AG$17:$AG$187))</f>
        <v>0</v>
      </c>
      <c r="M43" s="585" cm="1">
        <f t="array" ref="M43">IF($C43="",0,SUMPRODUCT(--('[1]Pricing Calculator'!$C$17:$C$187=$C43),'[1]Pricing Calculator'!$I$17:$I$187,'[1]Pricing Calculator'!S$17:S$187,'[1]Pricing Calculator'!$AG$17:$AG$187))</f>
        <v>0</v>
      </c>
      <c r="N43" s="585" cm="1">
        <f t="array" ref="N43">IF($C43="",0,SUMPRODUCT(--('[1]Pricing Calculator'!$C$17:$C$187=$C43),'[1]Pricing Calculator'!$I$17:$I$187,'[1]Pricing Calculator'!T$17:T$187,'[1]Pricing Calculator'!$AG$17:$AG$187))</f>
        <v>0</v>
      </c>
      <c r="O43" s="584" cm="1">
        <f t="array" ref="O43">IF($C43="",0,SUMPRODUCT(--('[1]Pricing Calculator'!$C$17:$C$187=$C43),'[1]Pricing Calculator'!$I$17:$I$187,'[1]Pricing Calculator'!U$17:U$187,'[1]Pricing Calculator'!$AG$17:$AG$187))</f>
        <v>0</v>
      </c>
      <c r="P43" s="585" cm="1">
        <f t="array" ref="P43">IF($C43="",0,SUMPRODUCT(--('[1]Pricing Calculator'!$C$17:$C$187=$C43),'[1]Pricing Calculator'!$I$17:$I$187,'[1]Pricing Calculator'!V$17:V$187,'[1]Pricing Calculator'!$AG$17:$AG$187))</f>
        <v>0</v>
      </c>
      <c r="Q43" s="585" cm="1">
        <f t="array" ref="Q43">IF($C43="",0,SUMPRODUCT(--('[1]Pricing Calculator'!$C$17:$C$187=$C43),'[1]Pricing Calculator'!$I$17:$I$187,'[1]Pricing Calculator'!W$17:W$187,'[1]Pricing Calculator'!$AG$17:$AG$187))</f>
        <v>0</v>
      </c>
      <c r="R43" s="585" cm="1">
        <f t="array" ref="R43">IF($C43="",0,SUMPRODUCT(--('[1]Pricing Calculator'!$C$17:$C$187=$C43),'[1]Pricing Calculator'!$I$17:$I$187,'[1]Pricing Calculator'!X$17:X$187,'[1]Pricing Calculator'!$AG$17:$AG$187))</f>
        <v>0</v>
      </c>
      <c r="S43" s="585" cm="1">
        <f t="array" ref="S43">IF($C43="",0,SUMPRODUCT(--('[1]Pricing Calculator'!$C$17:$C$187=$C43),'[1]Pricing Calculator'!$I$17:$I$187,'[1]Pricing Calculator'!Y$17:Y$187,'[1]Pricing Calculator'!$AG$17:$AG$187))</f>
        <v>0</v>
      </c>
      <c r="T43" s="585" cm="1">
        <f t="array" ref="T43">IF($C43="",0,SUMPRODUCT(--('[1]Pricing Calculator'!$C$17:$C$187=$C43),'[1]Pricing Calculator'!$I$17:$I$187,'[1]Pricing Calculator'!Z$17:Z$187,'[1]Pricing Calculator'!$AG$17:$AG$187))</f>
        <v>0</v>
      </c>
      <c r="U43" s="586" cm="1">
        <f t="array" ref="U43">IF($C43="",0,SUMPRODUCT(--('[1]Pricing Calculator'!$C$17:$C$187=$C43),'[1]Pricing Calculator'!$I$17:$I$187,'[1]Pricing Calculator'!AA$17:AA$187,'[1]Pricing Calculator'!$AG$17:$AG$187))</f>
        <v>0</v>
      </c>
      <c r="V43" s="584" cm="1">
        <f t="array" ref="V43">IF($C43="",0,SUMPRODUCT(--('[1]Pricing Calculator'!$C$17:$C$187=$C43),'[1]Pricing Calculator'!$I$17:$I$187,'[1]Pricing Calculator'!AB$17:AB$187,'[1]Pricing Calculator'!$AG$17:$AG$187))</f>
        <v>0</v>
      </c>
      <c r="W43" s="585" cm="1">
        <f t="array" ref="W43">IF($C43="",0,SUMPRODUCT(--('[1]Pricing Calculator'!$C$17:$C$187=$C43),'[1]Pricing Calculator'!$I$17:$I$187,'[1]Pricing Calculator'!AC$17:AC$187,'[1]Pricing Calculator'!$AG$17:$AG$187))</f>
        <v>0</v>
      </c>
      <c r="X43" s="585" cm="1">
        <f t="array" ref="X43">IF($C43="",0,SUMPRODUCT(--('[1]Pricing Calculator'!$C$17:$C$187=$C43),'[1]Pricing Calculator'!$I$17:$I$187,'[1]Pricing Calculator'!AD$17:AD$187,'[1]Pricing Calculator'!$AG$17:$AG$187))</f>
        <v>0</v>
      </c>
      <c r="Y43" s="586" cm="1">
        <f t="array" ref="Y43">IF($C43="",0,SUMPRODUCT(--('[1]Pricing Calculator'!$C$17:$C$187=$C43),'[1]Pricing Calculator'!$I$17:$I$187,'[1]Pricing Calculator'!AE$17:AE$187,'[1]Pricing Calculator'!$AG$17:$AG$187))</f>
        <v>0</v>
      </c>
      <c r="Z43" s="586">
        <f t="shared" si="0"/>
        <v>0</v>
      </c>
      <c r="AB43" s="587" cm="1">
        <f t="array" ref="AB43">IF($C43="",0,SUMPRODUCT(--('[1]Pricing Calculator'!$C$17:$C$187=$C43),'[1]Pricing Calculator'!$I$17:$I$187,'[1]Pricing Calculator'!AM$17:AM$187,'[1]Pricing Calculator'!$AG$17:$AG$187))*IF('[1]Pricing Summary'!$B$4="Yes",1+'[1]Core Assumptions'!$D$26,1)</f>
        <v>0</v>
      </c>
      <c r="AC43" s="587" cm="1">
        <f t="array" ref="AC43">IF($C43="",0,SUMPRODUCT(--('[1]Pricing Calculator'!$C$17:$C$187=$C43),'[1]Pricing Calculator'!$I$17:$I$187,'[1]Pricing Calculator'!AO$17:AO$187,'[1]Pricing Calculator'!$AG$17:$AG$187))*IF('[1]Pricing Summary'!$B$4="Yes",1+'[1]Core Assumptions'!$D$26,1)</f>
        <v>0</v>
      </c>
    </row>
    <row r="44" spans="1:29" ht="15.75" hidden="1" customHeight="1" outlineLevel="1" x14ac:dyDescent="0.2">
      <c r="A44" s="242">
        <v>26</v>
      </c>
      <c r="B44" s="582" t="str">
        <f>IF('[1]Core Assumptions'!B57="","",CONCATENATE("Entity - ",'[1]Core Assumptions'!B57))</f>
        <v/>
      </c>
      <c r="C44" s="583" t="str">
        <f>IF('[1]Core Assumptions'!B57="","",'[1]Core Assumptions'!B57)</f>
        <v/>
      </c>
      <c r="D44" s="245" t="s">
        <v>11</v>
      </c>
      <c r="E44" s="584" cm="1">
        <f t="array" ref="E44">IF($C44="",0,SUMPRODUCT(--('[1]Pricing Calculator'!$C$17:$C$187=$C44),'[1]Pricing Calculator'!$I$17:$I$187,'[1]Pricing Calculator'!K$17:K$187,'[1]Pricing Calculator'!$AG$17:$AG$187))</f>
        <v>0</v>
      </c>
      <c r="F44" s="585" cm="1">
        <f t="array" ref="F44">IF($C44="",0,SUMPRODUCT(--('[1]Pricing Calculator'!$C$17:$C$187=$C44),'[1]Pricing Calculator'!$I$17:$I$187,'[1]Pricing Calculator'!L$17:L$187,'[1]Pricing Calculator'!$AG$17:$AG$187))</f>
        <v>0</v>
      </c>
      <c r="G44" s="585" cm="1">
        <f t="array" ref="G44">IF($C44="",0,SUMPRODUCT(--('[1]Pricing Calculator'!$C$17:$C$187=$C44),'[1]Pricing Calculator'!$I$17:$I$187,'[1]Pricing Calculator'!M$17:M$187,'[1]Pricing Calculator'!$AG$17:$AG$187))</f>
        <v>0</v>
      </c>
      <c r="H44" s="585" cm="1">
        <f t="array" ref="H44">IF($C44="",0,SUMPRODUCT(--('[1]Pricing Calculator'!$C$17:$C$187=$C44),'[1]Pricing Calculator'!$I$17:$I$187,'[1]Pricing Calculator'!N$17:N$187,'[1]Pricing Calculator'!$AG$17:$AG$187))</f>
        <v>0</v>
      </c>
      <c r="I44" s="585" cm="1">
        <f t="array" ref="I44">IF($C44="",0,SUMPRODUCT(--('[1]Pricing Calculator'!$C$17:$C$187=$C44),'[1]Pricing Calculator'!$I$17:$I$187,'[1]Pricing Calculator'!O$17:O$187,'[1]Pricing Calculator'!$AG$17:$AG$187))</f>
        <v>0</v>
      </c>
      <c r="J44" s="585" cm="1">
        <f t="array" ref="J44">IF($C44="",0,SUMPRODUCT(--('[1]Pricing Calculator'!$C$17:$C$187=$C44),'[1]Pricing Calculator'!$I$17:$I$187,'[1]Pricing Calculator'!P$17:P$187,'[1]Pricing Calculator'!$AG$17:$AG$187))</f>
        <v>0</v>
      </c>
      <c r="K44" s="585" cm="1">
        <f t="array" ref="K44">IF($C44="",0,SUMPRODUCT(--('[1]Pricing Calculator'!$C$17:$C$187=$C44),'[1]Pricing Calculator'!$I$17:$I$187,'[1]Pricing Calculator'!Q$17:Q$187,'[1]Pricing Calculator'!$AG$17:$AG$187))</f>
        <v>0</v>
      </c>
      <c r="L44" s="585" cm="1">
        <f t="array" ref="L44">IF($C44="",0,SUMPRODUCT(--('[1]Pricing Calculator'!$C$17:$C$187=$C44),'[1]Pricing Calculator'!$I$17:$I$187,'[1]Pricing Calculator'!R$17:R$187,'[1]Pricing Calculator'!$AG$17:$AG$187))</f>
        <v>0</v>
      </c>
      <c r="M44" s="585" cm="1">
        <f t="array" ref="M44">IF($C44="",0,SUMPRODUCT(--('[1]Pricing Calculator'!$C$17:$C$187=$C44),'[1]Pricing Calculator'!$I$17:$I$187,'[1]Pricing Calculator'!S$17:S$187,'[1]Pricing Calculator'!$AG$17:$AG$187))</f>
        <v>0</v>
      </c>
      <c r="N44" s="585" cm="1">
        <f t="array" ref="N44">IF($C44="",0,SUMPRODUCT(--('[1]Pricing Calculator'!$C$17:$C$187=$C44),'[1]Pricing Calculator'!$I$17:$I$187,'[1]Pricing Calculator'!T$17:T$187,'[1]Pricing Calculator'!$AG$17:$AG$187))</f>
        <v>0</v>
      </c>
      <c r="O44" s="584" cm="1">
        <f t="array" ref="O44">IF($C44="",0,SUMPRODUCT(--('[1]Pricing Calculator'!$C$17:$C$187=$C44),'[1]Pricing Calculator'!$I$17:$I$187,'[1]Pricing Calculator'!U$17:U$187,'[1]Pricing Calculator'!$AG$17:$AG$187))</f>
        <v>0</v>
      </c>
      <c r="P44" s="585" cm="1">
        <f t="array" ref="P44">IF($C44="",0,SUMPRODUCT(--('[1]Pricing Calculator'!$C$17:$C$187=$C44),'[1]Pricing Calculator'!$I$17:$I$187,'[1]Pricing Calculator'!V$17:V$187,'[1]Pricing Calculator'!$AG$17:$AG$187))</f>
        <v>0</v>
      </c>
      <c r="Q44" s="585" cm="1">
        <f t="array" ref="Q44">IF($C44="",0,SUMPRODUCT(--('[1]Pricing Calculator'!$C$17:$C$187=$C44),'[1]Pricing Calculator'!$I$17:$I$187,'[1]Pricing Calculator'!W$17:W$187,'[1]Pricing Calculator'!$AG$17:$AG$187))</f>
        <v>0</v>
      </c>
      <c r="R44" s="585" cm="1">
        <f t="array" ref="R44">IF($C44="",0,SUMPRODUCT(--('[1]Pricing Calculator'!$C$17:$C$187=$C44),'[1]Pricing Calculator'!$I$17:$I$187,'[1]Pricing Calculator'!X$17:X$187,'[1]Pricing Calculator'!$AG$17:$AG$187))</f>
        <v>0</v>
      </c>
      <c r="S44" s="585" cm="1">
        <f t="array" ref="S44">IF($C44="",0,SUMPRODUCT(--('[1]Pricing Calculator'!$C$17:$C$187=$C44),'[1]Pricing Calculator'!$I$17:$I$187,'[1]Pricing Calculator'!Y$17:Y$187,'[1]Pricing Calculator'!$AG$17:$AG$187))</f>
        <v>0</v>
      </c>
      <c r="T44" s="585" cm="1">
        <f t="array" ref="T44">IF($C44="",0,SUMPRODUCT(--('[1]Pricing Calculator'!$C$17:$C$187=$C44),'[1]Pricing Calculator'!$I$17:$I$187,'[1]Pricing Calculator'!Z$17:Z$187,'[1]Pricing Calculator'!$AG$17:$AG$187))</f>
        <v>0</v>
      </c>
      <c r="U44" s="586" cm="1">
        <f t="array" ref="U44">IF($C44="",0,SUMPRODUCT(--('[1]Pricing Calculator'!$C$17:$C$187=$C44),'[1]Pricing Calculator'!$I$17:$I$187,'[1]Pricing Calculator'!AA$17:AA$187,'[1]Pricing Calculator'!$AG$17:$AG$187))</f>
        <v>0</v>
      </c>
      <c r="V44" s="584" cm="1">
        <f t="array" ref="V44">IF($C44="",0,SUMPRODUCT(--('[1]Pricing Calculator'!$C$17:$C$187=$C44),'[1]Pricing Calculator'!$I$17:$I$187,'[1]Pricing Calculator'!AB$17:AB$187,'[1]Pricing Calculator'!$AG$17:$AG$187))</f>
        <v>0</v>
      </c>
      <c r="W44" s="585" cm="1">
        <f t="array" ref="W44">IF($C44="",0,SUMPRODUCT(--('[1]Pricing Calculator'!$C$17:$C$187=$C44),'[1]Pricing Calculator'!$I$17:$I$187,'[1]Pricing Calculator'!AC$17:AC$187,'[1]Pricing Calculator'!$AG$17:$AG$187))</f>
        <v>0</v>
      </c>
      <c r="X44" s="585" cm="1">
        <f t="array" ref="X44">IF($C44="",0,SUMPRODUCT(--('[1]Pricing Calculator'!$C$17:$C$187=$C44),'[1]Pricing Calculator'!$I$17:$I$187,'[1]Pricing Calculator'!AD$17:AD$187,'[1]Pricing Calculator'!$AG$17:$AG$187))</f>
        <v>0</v>
      </c>
      <c r="Y44" s="586" cm="1">
        <f t="array" ref="Y44">IF($C44="",0,SUMPRODUCT(--('[1]Pricing Calculator'!$C$17:$C$187=$C44),'[1]Pricing Calculator'!$I$17:$I$187,'[1]Pricing Calculator'!AE$17:AE$187,'[1]Pricing Calculator'!$AG$17:$AG$187))</f>
        <v>0</v>
      </c>
      <c r="Z44" s="586">
        <f t="shared" si="0"/>
        <v>0</v>
      </c>
      <c r="AB44" s="587" cm="1">
        <f t="array" ref="AB44">IF($C44="",0,SUMPRODUCT(--('[1]Pricing Calculator'!$C$17:$C$187=$C44),'[1]Pricing Calculator'!$I$17:$I$187,'[1]Pricing Calculator'!AM$17:AM$187,'[1]Pricing Calculator'!$AG$17:$AG$187))*IF('[1]Pricing Summary'!$B$4="Yes",1+'[1]Core Assumptions'!$D$26,1)</f>
        <v>0</v>
      </c>
      <c r="AC44" s="587" cm="1">
        <f t="array" ref="AC44">IF($C44="",0,SUMPRODUCT(--('[1]Pricing Calculator'!$C$17:$C$187=$C44),'[1]Pricing Calculator'!$I$17:$I$187,'[1]Pricing Calculator'!AO$17:AO$187,'[1]Pricing Calculator'!$AG$17:$AG$187))*IF('[1]Pricing Summary'!$B$4="Yes",1+'[1]Core Assumptions'!$D$26,1)</f>
        <v>0</v>
      </c>
    </row>
    <row r="45" spans="1:29" ht="15.75" hidden="1" customHeight="1" outlineLevel="1" x14ac:dyDescent="0.2">
      <c r="A45" s="242">
        <v>27</v>
      </c>
      <c r="B45" s="582" t="str">
        <f>IF('[1]Core Assumptions'!B58="","",CONCATENATE("Entity - ",'[1]Core Assumptions'!B58))</f>
        <v/>
      </c>
      <c r="C45" s="583" t="str">
        <f>IF('[1]Core Assumptions'!B58="","",'[1]Core Assumptions'!B58)</f>
        <v/>
      </c>
      <c r="D45" s="245" t="s">
        <v>11</v>
      </c>
      <c r="E45" s="584" cm="1">
        <f t="array" ref="E45">IF($C45="",0,SUMPRODUCT(--('[1]Pricing Calculator'!$C$17:$C$187=$C45),'[1]Pricing Calculator'!$I$17:$I$187,'[1]Pricing Calculator'!K$17:K$187,'[1]Pricing Calculator'!$AG$17:$AG$187))</f>
        <v>0</v>
      </c>
      <c r="F45" s="585" cm="1">
        <f t="array" ref="F45">IF($C45="",0,SUMPRODUCT(--('[1]Pricing Calculator'!$C$17:$C$187=$C45),'[1]Pricing Calculator'!$I$17:$I$187,'[1]Pricing Calculator'!L$17:L$187,'[1]Pricing Calculator'!$AG$17:$AG$187))</f>
        <v>0</v>
      </c>
      <c r="G45" s="585" cm="1">
        <f t="array" ref="G45">IF($C45="",0,SUMPRODUCT(--('[1]Pricing Calculator'!$C$17:$C$187=$C45),'[1]Pricing Calculator'!$I$17:$I$187,'[1]Pricing Calculator'!M$17:M$187,'[1]Pricing Calculator'!$AG$17:$AG$187))</f>
        <v>0</v>
      </c>
      <c r="H45" s="585" cm="1">
        <f t="array" ref="H45">IF($C45="",0,SUMPRODUCT(--('[1]Pricing Calculator'!$C$17:$C$187=$C45),'[1]Pricing Calculator'!$I$17:$I$187,'[1]Pricing Calculator'!N$17:N$187,'[1]Pricing Calculator'!$AG$17:$AG$187))</f>
        <v>0</v>
      </c>
      <c r="I45" s="585" cm="1">
        <f t="array" ref="I45">IF($C45="",0,SUMPRODUCT(--('[1]Pricing Calculator'!$C$17:$C$187=$C45),'[1]Pricing Calculator'!$I$17:$I$187,'[1]Pricing Calculator'!O$17:O$187,'[1]Pricing Calculator'!$AG$17:$AG$187))</f>
        <v>0</v>
      </c>
      <c r="J45" s="585" cm="1">
        <f t="array" ref="J45">IF($C45="",0,SUMPRODUCT(--('[1]Pricing Calculator'!$C$17:$C$187=$C45),'[1]Pricing Calculator'!$I$17:$I$187,'[1]Pricing Calculator'!P$17:P$187,'[1]Pricing Calculator'!$AG$17:$AG$187))</f>
        <v>0</v>
      </c>
      <c r="K45" s="585" cm="1">
        <f t="array" ref="K45">IF($C45="",0,SUMPRODUCT(--('[1]Pricing Calculator'!$C$17:$C$187=$C45),'[1]Pricing Calculator'!$I$17:$I$187,'[1]Pricing Calculator'!Q$17:Q$187,'[1]Pricing Calculator'!$AG$17:$AG$187))</f>
        <v>0</v>
      </c>
      <c r="L45" s="585" cm="1">
        <f t="array" ref="L45">IF($C45="",0,SUMPRODUCT(--('[1]Pricing Calculator'!$C$17:$C$187=$C45),'[1]Pricing Calculator'!$I$17:$I$187,'[1]Pricing Calculator'!R$17:R$187,'[1]Pricing Calculator'!$AG$17:$AG$187))</f>
        <v>0</v>
      </c>
      <c r="M45" s="585" cm="1">
        <f t="array" ref="M45">IF($C45="",0,SUMPRODUCT(--('[1]Pricing Calculator'!$C$17:$C$187=$C45),'[1]Pricing Calculator'!$I$17:$I$187,'[1]Pricing Calculator'!S$17:S$187,'[1]Pricing Calculator'!$AG$17:$AG$187))</f>
        <v>0</v>
      </c>
      <c r="N45" s="585" cm="1">
        <f t="array" ref="N45">IF($C45="",0,SUMPRODUCT(--('[1]Pricing Calculator'!$C$17:$C$187=$C45),'[1]Pricing Calculator'!$I$17:$I$187,'[1]Pricing Calculator'!T$17:T$187,'[1]Pricing Calculator'!$AG$17:$AG$187))</f>
        <v>0</v>
      </c>
      <c r="O45" s="584" cm="1">
        <f t="array" ref="O45">IF($C45="",0,SUMPRODUCT(--('[1]Pricing Calculator'!$C$17:$C$187=$C45),'[1]Pricing Calculator'!$I$17:$I$187,'[1]Pricing Calculator'!U$17:U$187,'[1]Pricing Calculator'!$AG$17:$AG$187))</f>
        <v>0</v>
      </c>
      <c r="P45" s="585" cm="1">
        <f t="array" ref="P45">IF($C45="",0,SUMPRODUCT(--('[1]Pricing Calculator'!$C$17:$C$187=$C45),'[1]Pricing Calculator'!$I$17:$I$187,'[1]Pricing Calculator'!V$17:V$187,'[1]Pricing Calculator'!$AG$17:$AG$187))</f>
        <v>0</v>
      </c>
      <c r="Q45" s="585" cm="1">
        <f t="array" ref="Q45">IF($C45="",0,SUMPRODUCT(--('[1]Pricing Calculator'!$C$17:$C$187=$C45),'[1]Pricing Calculator'!$I$17:$I$187,'[1]Pricing Calculator'!W$17:W$187,'[1]Pricing Calculator'!$AG$17:$AG$187))</f>
        <v>0</v>
      </c>
      <c r="R45" s="585" cm="1">
        <f t="array" ref="R45">IF($C45="",0,SUMPRODUCT(--('[1]Pricing Calculator'!$C$17:$C$187=$C45),'[1]Pricing Calculator'!$I$17:$I$187,'[1]Pricing Calculator'!X$17:X$187,'[1]Pricing Calculator'!$AG$17:$AG$187))</f>
        <v>0</v>
      </c>
      <c r="S45" s="585" cm="1">
        <f t="array" ref="S45">IF($C45="",0,SUMPRODUCT(--('[1]Pricing Calculator'!$C$17:$C$187=$C45),'[1]Pricing Calculator'!$I$17:$I$187,'[1]Pricing Calculator'!Y$17:Y$187,'[1]Pricing Calculator'!$AG$17:$AG$187))</f>
        <v>0</v>
      </c>
      <c r="T45" s="585" cm="1">
        <f t="array" ref="T45">IF($C45="",0,SUMPRODUCT(--('[1]Pricing Calculator'!$C$17:$C$187=$C45),'[1]Pricing Calculator'!$I$17:$I$187,'[1]Pricing Calculator'!Z$17:Z$187,'[1]Pricing Calculator'!$AG$17:$AG$187))</f>
        <v>0</v>
      </c>
      <c r="U45" s="586" cm="1">
        <f t="array" ref="U45">IF($C45="",0,SUMPRODUCT(--('[1]Pricing Calculator'!$C$17:$C$187=$C45),'[1]Pricing Calculator'!$I$17:$I$187,'[1]Pricing Calculator'!AA$17:AA$187,'[1]Pricing Calculator'!$AG$17:$AG$187))</f>
        <v>0</v>
      </c>
      <c r="V45" s="584" cm="1">
        <f t="array" ref="V45">IF($C45="",0,SUMPRODUCT(--('[1]Pricing Calculator'!$C$17:$C$187=$C45),'[1]Pricing Calculator'!$I$17:$I$187,'[1]Pricing Calculator'!AB$17:AB$187,'[1]Pricing Calculator'!$AG$17:$AG$187))</f>
        <v>0</v>
      </c>
      <c r="W45" s="585" cm="1">
        <f t="array" ref="W45">IF($C45="",0,SUMPRODUCT(--('[1]Pricing Calculator'!$C$17:$C$187=$C45),'[1]Pricing Calculator'!$I$17:$I$187,'[1]Pricing Calculator'!AC$17:AC$187,'[1]Pricing Calculator'!$AG$17:$AG$187))</f>
        <v>0</v>
      </c>
      <c r="X45" s="585" cm="1">
        <f t="array" ref="X45">IF($C45="",0,SUMPRODUCT(--('[1]Pricing Calculator'!$C$17:$C$187=$C45),'[1]Pricing Calculator'!$I$17:$I$187,'[1]Pricing Calculator'!AD$17:AD$187,'[1]Pricing Calculator'!$AG$17:$AG$187))</f>
        <v>0</v>
      </c>
      <c r="Y45" s="586" cm="1">
        <f t="array" ref="Y45">IF($C45="",0,SUMPRODUCT(--('[1]Pricing Calculator'!$C$17:$C$187=$C45),'[1]Pricing Calculator'!$I$17:$I$187,'[1]Pricing Calculator'!AE$17:AE$187,'[1]Pricing Calculator'!$AG$17:$AG$187))</f>
        <v>0</v>
      </c>
      <c r="Z45" s="586">
        <f t="shared" si="0"/>
        <v>0</v>
      </c>
      <c r="AB45" s="587" cm="1">
        <f t="array" ref="AB45">IF($C45="",0,SUMPRODUCT(--('[1]Pricing Calculator'!$C$17:$C$187=$C45),'[1]Pricing Calculator'!$I$17:$I$187,'[1]Pricing Calculator'!AM$17:AM$187,'[1]Pricing Calculator'!$AG$17:$AG$187))*IF('[1]Pricing Summary'!$B$4="Yes",1+'[1]Core Assumptions'!$D$26,1)</f>
        <v>0</v>
      </c>
      <c r="AC45" s="587" cm="1">
        <f t="array" ref="AC45">IF($C45="",0,SUMPRODUCT(--('[1]Pricing Calculator'!$C$17:$C$187=$C45),'[1]Pricing Calculator'!$I$17:$I$187,'[1]Pricing Calculator'!AO$17:AO$187,'[1]Pricing Calculator'!$AG$17:$AG$187))*IF('[1]Pricing Summary'!$B$4="Yes",1+'[1]Core Assumptions'!$D$26,1)</f>
        <v>0</v>
      </c>
    </row>
    <row r="46" spans="1:29" ht="15.75" hidden="1" customHeight="1" outlineLevel="1" x14ac:dyDescent="0.2">
      <c r="A46" s="242">
        <v>28</v>
      </c>
      <c r="B46" s="582" t="str">
        <f>IF('[1]Core Assumptions'!B59="","",CONCATENATE("Entity - ",'[1]Core Assumptions'!B59))</f>
        <v/>
      </c>
      <c r="C46" s="583" t="str">
        <f>IF('[1]Core Assumptions'!B59="","",'[1]Core Assumptions'!B59)</f>
        <v/>
      </c>
      <c r="D46" s="245" t="s">
        <v>11</v>
      </c>
      <c r="E46" s="584" cm="1">
        <f t="array" ref="E46">IF($C46="",0,SUMPRODUCT(--('[1]Pricing Calculator'!$C$17:$C$187=$C46),'[1]Pricing Calculator'!$I$17:$I$187,'[1]Pricing Calculator'!K$17:K$187,'[1]Pricing Calculator'!$AG$17:$AG$187))</f>
        <v>0</v>
      </c>
      <c r="F46" s="585" cm="1">
        <f t="array" ref="F46">IF($C46="",0,SUMPRODUCT(--('[1]Pricing Calculator'!$C$17:$C$187=$C46),'[1]Pricing Calculator'!$I$17:$I$187,'[1]Pricing Calculator'!L$17:L$187,'[1]Pricing Calculator'!$AG$17:$AG$187))</f>
        <v>0</v>
      </c>
      <c r="G46" s="585" cm="1">
        <f t="array" ref="G46">IF($C46="",0,SUMPRODUCT(--('[1]Pricing Calculator'!$C$17:$C$187=$C46),'[1]Pricing Calculator'!$I$17:$I$187,'[1]Pricing Calculator'!M$17:M$187,'[1]Pricing Calculator'!$AG$17:$AG$187))</f>
        <v>0</v>
      </c>
      <c r="H46" s="585" cm="1">
        <f t="array" ref="H46">IF($C46="",0,SUMPRODUCT(--('[1]Pricing Calculator'!$C$17:$C$187=$C46),'[1]Pricing Calculator'!$I$17:$I$187,'[1]Pricing Calculator'!N$17:N$187,'[1]Pricing Calculator'!$AG$17:$AG$187))</f>
        <v>0</v>
      </c>
      <c r="I46" s="585" cm="1">
        <f t="array" ref="I46">IF($C46="",0,SUMPRODUCT(--('[1]Pricing Calculator'!$C$17:$C$187=$C46),'[1]Pricing Calculator'!$I$17:$I$187,'[1]Pricing Calculator'!O$17:O$187,'[1]Pricing Calculator'!$AG$17:$AG$187))</f>
        <v>0</v>
      </c>
      <c r="J46" s="585" cm="1">
        <f t="array" ref="J46">IF($C46="",0,SUMPRODUCT(--('[1]Pricing Calculator'!$C$17:$C$187=$C46),'[1]Pricing Calculator'!$I$17:$I$187,'[1]Pricing Calculator'!P$17:P$187,'[1]Pricing Calculator'!$AG$17:$AG$187))</f>
        <v>0</v>
      </c>
      <c r="K46" s="585" cm="1">
        <f t="array" ref="K46">IF($C46="",0,SUMPRODUCT(--('[1]Pricing Calculator'!$C$17:$C$187=$C46),'[1]Pricing Calculator'!$I$17:$I$187,'[1]Pricing Calculator'!Q$17:Q$187,'[1]Pricing Calculator'!$AG$17:$AG$187))</f>
        <v>0</v>
      </c>
      <c r="L46" s="585" cm="1">
        <f t="array" ref="L46">IF($C46="",0,SUMPRODUCT(--('[1]Pricing Calculator'!$C$17:$C$187=$C46),'[1]Pricing Calculator'!$I$17:$I$187,'[1]Pricing Calculator'!R$17:R$187,'[1]Pricing Calculator'!$AG$17:$AG$187))</f>
        <v>0</v>
      </c>
      <c r="M46" s="585" cm="1">
        <f t="array" ref="M46">IF($C46="",0,SUMPRODUCT(--('[1]Pricing Calculator'!$C$17:$C$187=$C46),'[1]Pricing Calculator'!$I$17:$I$187,'[1]Pricing Calculator'!S$17:S$187,'[1]Pricing Calculator'!$AG$17:$AG$187))</f>
        <v>0</v>
      </c>
      <c r="N46" s="585" cm="1">
        <f t="array" ref="N46">IF($C46="",0,SUMPRODUCT(--('[1]Pricing Calculator'!$C$17:$C$187=$C46),'[1]Pricing Calculator'!$I$17:$I$187,'[1]Pricing Calculator'!T$17:T$187,'[1]Pricing Calculator'!$AG$17:$AG$187))</f>
        <v>0</v>
      </c>
      <c r="O46" s="584" cm="1">
        <f t="array" ref="O46">IF($C46="",0,SUMPRODUCT(--('[1]Pricing Calculator'!$C$17:$C$187=$C46),'[1]Pricing Calculator'!$I$17:$I$187,'[1]Pricing Calculator'!U$17:U$187,'[1]Pricing Calculator'!$AG$17:$AG$187))</f>
        <v>0</v>
      </c>
      <c r="P46" s="585" cm="1">
        <f t="array" ref="P46">IF($C46="",0,SUMPRODUCT(--('[1]Pricing Calculator'!$C$17:$C$187=$C46),'[1]Pricing Calculator'!$I$17:$I$187,'[1]Pricing Calculator'!V$17:V$187,'[1]Pricing Calculator'!$AG$17:$AG$187))</f>
        <v>0</v>
      </c>
      <c r="Q46" s="585" cm="1">
        <f t="array" ref="Q46">IF($C46="",0,SUMPRODUCT(--('[1]Pricing Calculator'!$C$17:$C$187=$C46),'[1]Pricing Calculator'!$I$17:$I$187,'[1]Pricing Calculator'!W$17:W$187,'[1]Pricing Calculator'!$AG$17:$AG$187))</f>
        <v>0</v>
      </c>
      <c r="R46" s="585" cm="1">
        <f t="array" ref="R46">IF($C46="",0,SUMPRODUCT(--('[1]Pricing Calculator'!$C$17:$C$187=$C46),'[1]Pricing Calculator'!$I$17:$I$187,'[1]Pricing Calculator'!X$17:X$187,'[1]Pricing Calculator'!$AG$17:$AG$187))</f>
        <v>0</v>
      </c>
      <c r="S46" s="585" cm="1">
        <f t="array" ref="S46">IF($C46="",0,SUMPRODUCT(--('[1]Pricing Calculator'!$C$17:$C$187=$C46),'[1]Pricing Calculator'!$I$17:$I$187,'[1]Pricing Calculator'!Y$17:Y$187,'[1]Pricing Calculator'!$AG$17:$AG$187))</f>
        <v>0</v>
      </c>
      <c r="T46" s="585" cm="1">
        <f t="array" ref="T46">IF($C46="",0,SUMPRODUCT(--('[1]Pricing Calculator'!$C$17:$C$187=$C46),'[1]Pricing Calculator'!$I$17:$I$187,'[1]Pricing Calculator'!Z$17:Z$187,'[1]Pricing Calculator'!$AG$17:$AG$187))</f>
        <v>0</v>
      </c>
      <c r="U46" s="586" cm="1">
        <f t="array" ref="U46">IF($C46="",0,SUMPRODUCT(--('[1]Pricing Calculator'!$C$17:$C$187=$C46),'[1]Pricing Calculator'!$I$17:$I$187,'[1]Pricing Calculator'!AA$17:AA$187,'[1]Pricing Calculator'!$AG$17:$AG$187))</f>
        <v>0</v>
      </c>
      <c r="V46" s="584" cm="1">
        <f t="array" ref="V46">IF($C46="",0,SUMPRODUCT(--('[1]Pricing Calculator'!$C$17:$C$187=$C46),'[1]Pricing Calculator'!$I$17:$I$187,'[1]Pricing Calculator'!AB$17:AB$187,'[1]Pricing Calculator'!$AG$17:$AG$187))</f>
        <v>0</v>
      </c>
      <c r="W46" s="585" cm="1">
        <f t="array" ref="W46">IF($C46="",0,SUMPRODUCT(--('[1]Pricing Calculator'!$C$17:$C$187=$C46),'[1]Pricing Calculator'!$I$17:$I$187,'[1]Pricing Calculator'!AC$17:AC$187,'[1]Pricing Calculator'!$AG$17:$AG$187))</f>
        <v>0</v>
      </c>
      <c r="X46" s="585" cm="1">
        <f t="array" ref="X46">IF($C46="",0,SUMPRODUCT(--('[1]Pricing Calculator'!$C$17:$C$187=$C46),'[1]Pricing Calculator'!$I$17:$I$187,'[1]Pricing Calculator'!AD$17:AD$187,'[1]Pricing Calculator'!$AG$17:$AG$187))</f>
        <v>0</v>
      </c>
      <c r="Y46" s="586" cm="1">
        <f t="array" ref="Y46">IF($C46="",0,SUMPRODUCT(--('[1]Pricing Calculator'!$C$17:$C$187=$C46),'[1]Pricing Calculator'!$I$17:$I$187,'[1]Pricing Calculator'!AE$17:AE$187,'[1]Pricing Calculator'!$AG$17:$AG$187))</f>
        <v>0</v>
      </c>
      <c r="Z46" s="586">
        <f t="shared" si="0"/>
        <v>0</v>
      </c>
      <c r="AB46" s="587" cm="1">
        <f t="array" ref="AB46">IF($C46="",0,SUMPRODUCT(--('[1]Pricing Calculator'!$C$17:$C$187=$C46),'[1]Pricing Calculator'!$I$17:$I$187,'[1]Pricing Calculator'!AM$17:AM$187,'[1]Pricing Calculator'!$AG$17:$AG$187))*IF('[1]Pricing Summary'!$B$4="Yes",1+'[1]Core Assumptions'!$D$26,1)</f>
        <v>0</v>
      </c>
      <c r="AC46" s="587" cm="1">
        <f t="array" ref="AC46">IF($C46="",0,SUMPRODUCT(--('[1]Pricing Calculator'!$C$17:$C$187=$C46),'[1]Pricing Calculator'!$I$17:$I$187,'[1]Pricing Calculator'!AO$17:AO$187,'[1]Pricing Calculator'!$AG$17:$AG$187))*IF('[1]Pricing Summary'!$B$4="Yes",1+'[1]Core Assumptions'!$D$26,1)</f>
        <v>0</v>
      </c>
    </row>
    <row r="47" spans="1:29" ht="15.75" hidden="1" customHeight="1" outlineLevel="1" x14ac:dyDescent="0.2">
      <c r="A47" s="242">
        <v>29</v>
      </c>
      <c r="B47" s="582" t="str">
        <f>IF('[1]Core Assumptions'!B60="","",CONCATENATE("Entity - ",'[1]Core Assumptions'!B60))</f>
        <v/>
      </c>
      <c r="C47" s="583" t="str">
        <f>IF('[1]Core Assumptions'!B60="","",'[1]Core Assumptions'!B60)</f>
        <v/>
      </c>
      <c r="D47" s="245" t="s">
        <v>11</v>
      </c>
      <c r="E47" s="588" cm="1">
        <f t="array" ref="E47">IF($C47="",0,SUMPRODUCT(--('[1]Pricing Calculator'!$C$17:$C$187=$C47),'[1]Pricing Calculator'!$I$17:$I$187,'[1]Pricing Calculator'!K$17:K$187,'[1]Pricing Calculator'!$AG$17:$AG$187))</f>
        <v>0</v>
      </c>
      <c r="F47" s="589" cm="1">
        <f t="array" ref="F47">IF($C47="",0,SUMPRODUCT(--('[1]Pricing Calculator'!$C$17:$C$187=$C47),'[1]Pricing Calculator'!$I$17:$I$187,'[1]Pricing Calculator'!L$17:L$187,'[1]Pricing Calculator'!$AG$17:$AG$187))</f>
        <v>0</v>
      </c>
      <c r="G47" s="589" cm="1">
        <f t="array" ref="G47">IF($C47="",0,SUMPRODUCT(--('[1]Pricing Calculator'!$C$17:$C$187=$C47),'[1]Pricing Calculator'!$I$17:$I$187,'[1]Pricing Calculator'!M$17:M$187,'[1]Pricing Calculator'!$AG$17:$AG$187))</f>
        <v>0</v>
      </c>
      <c r="H47" s="589" cm="1">
        <f t="array" ref="H47">IF($C47="",0,SUMPRODUCT(--('[1]Pricing Calculator'!$C$17:$C$187=$C47),'[1]Pricing Calculator'!$I$17:$I$187,'[1]Pricing Calculator'!N$17:N$187,'[1]Pricing Calculator'!$AG$17:$AG$187))</f>
        <v>0</v>
      </c>
      <c r="I47" s="589" cm="1">
        <f t="array" ref="I47">IF($C47="",0,SUMPRODUCT(--('[1]Pricing Calculator'!$C$17:$C$187=$C47),'[1]Pricing Calculator'!$I$17:$I$187,'[1]Pricing Calculator'!O$17:O$187,'[1]Pricing Calculator'!$AG$17:$AG$187))</f>
        <v>0</v>
      </c>
      <c r="J47" s="589" cm="1">
        <f t="array" ref="J47">IF($C47="",0,SUMPRODUCT(--('[1]Pricing Calculator'!$C$17:$C$187=$C47),'[1]Pricing Calculator'!$I$17:$I$187,'[1]Pricing Calculator'!P$17:P$187,'[1]Pricing Calculator'!$AG$17:$AG$187))</f>
        <v>0</v>
      </c>
      <c r="K47" s="589" cm="1">
        <f t="array" ref="K47">IF($C47="",0,SUMPRODUCT(--('[1]Pricing Calculator'!$C$17:$C$187=$C47),'[1]Pricing Calculator'!$I$17:$I$187,'[1]Pricing Calculator'!Q$17:Q$187,'[1]Pricing Calculator'!$AG$17:$AG$187))</f>
        <v>0</v>
      </c>
      <c r="L47" s="589" cm="1">
        <f t="array" ref="L47">IF($C47="",0,SUMPRODUCT(--('[1]Pricing Calculator'!$C$17:$C$187=$C47),'[1]Pricing Calculator'!$I$17:$I$187,'[1]Pricing Calculator'!R$17:R$187,'[1]Pricing Calculator'!$AG$17:$AG$187))</f>
        <v>0</v>
      </c>
      <c r="M47" s="589" cm="1">
        <f t="array" ref="M47">IF($C47="",0,SUMPRODUCT(--('[1]Pricing Calculator'!$C$17:$C$187=$C47),'[1]Pricing Calculator'!$I$17:$I$187,'[1]Pricing Calculator'!S$17:S$187,'[1]Pricing Calculator'!$AG$17:$AG$187))</f>
        <v>0</v>
      </c>
      <c r="N47" s="589" cm="1">
        <f t="array" ref="N47">IF($C47="",0,SUMPRODUCT(--('[1]Pricing Calculator'!$C$17:$C$187=$C47),'[1]Pricing Calculator'!$I$17:$I$187,'[1]Pricing Calculator'!T$17:T$187,'[1]Pricing Calculator'!$AG$17:$AG$187))</f>
        <v>0</v>
      </c>
      <c r="O47" s="588" cm="1">
        <f t="array" ref="O47">IF($C47="",0,SUMPRODUCT(--('[1]Pricing Calculator'!$C$17:$C$187=$C47),'[1]Pricing Calculator'!$I$17:$I$187,'[1]Pricing Calculator'!U$17:U$187,'[1]Pricing Calculator'!$AG$17:$AG$187))</f>
        <v>0</v>
      </c>
      <c r="P47" s="589" cm="1">
        <f t="array" ref="P47">IF($C47="",0,SUMPRODUCT(--('[1]Pricing Calculator'!$C$17:$C$187=$C47),'[1]Pricing Calculator'!$I$17:$I$187,'[1]Pricing Calculator'!V$17:V$187,'[1]Pricing Calculator'!$AG$17:$AG$187))</f>
        <v>0</v>
      </c>
      <c r="Q47" s="589" cm="1">
        <f t="array" ref="Q47">IF($C47="",0,SUMPRODUCT(--('[1]Pricing Calculator'!$C$17:$C$187=$C47),'[1]Pricing Calculator'!$I$17:$I$187,'[1]Pricing Calculator'!W$17:W$187,'[1]Pricing Calculator'!$AG$17:$AG$187))</f>
        <v>0</v>
      </c>
      <c r="R47" s="589" cm="1">
        <f t="array" ref="R47">IF($C47="",0,SUMPRODUCT(--('[1]Pricing Calculator'!$C$17:$C$187=$C47),'[1]Pricing Calculator'!$I$17:$I$187,'[1]Pricing Calculator'!X$17:X$187,'[1]Pricing Calculator'!$AG$17:$AG$187))</f>
        <v>0</v>
      </c>
      <c r="S47" s="589" cm="1">
        <f t="array" ref="S47">IF($C47="",0,SUMPRODUCT(--('[1]Pricing Calculator'!$C$17:$C$187=$C47),'[1]Pricing Calculator'!$I$17:$I$187,'[1]Pricing Calculator'!Y$17:Y$187,'[1]Pricing Calculator'!$AG$17:$AG$187))</f>
        <v>0</v>
      </c>
      <c r="T47" s="589" cm="1">
        <f t="array" ref="T47">IF($C47="",0,SUMPRODUCT(--('[1]Pricing Calculator'!$C$17:$C$187=$C47),'[1]Pricing Calculator'!$I$17:$I$187,'[1]Pricing Calculator'!Z$17:Z$187,'[1]Pricing Calculator'!$AG$17:$AG$187))</f>
        <v>0</v>
      </c>
      <c r="U47" s="590" cm="1">
        <f t="array" ref="U47">IF($C47="",0,SUMPRODUCT(--('[1]Pricing Calculator'!$C$17:$C$187=$C47),'[1]Pricing Calculator'!$I$17:$I$187,'[1]Pricing Calculator'!AA$17:AA$187,'[1]Pricing Calculator'!$AG$17:$AG$187))</f>
        <v>0</v>
      </c>
      <c r="V47" s="584" cm="1">
        <f t="array" ref="V47">IF($C47="",0,SUMPRODUCT(--('[1]Pricing Calculator'!$C$17:$C$187=$C47),'[1]Pricing Calculator'!$I$17:$I$187,'[1]Pricing Calculator'!AB$17:AB$187,'[1]Pricing Calculator'!$AG$17:$AG$187))</f>
        <v>0</v>
      </c>
      <c r="W47" s="585" cm="1">
        <f t="array" ref="W47">IF($C47="",0,SUMPRODUCT(--('[1]Pricing Calculator'!$C$17:$C$187=$C47),'[1]Pricing Calculator'!$I$17:$I$187,'[1]Pricing Calculator'!AC$17:AC$187,'[1]Pricing Calculator'!$AG$17:$AG$187))</f>
        <v>0</v>
      </c>
      <c r="X47" s="585" cm="1">
        <f t="array" ref="X47">IF($C47="",0,SUMPRODUCT(--('[1]Pricing Calculator'!$C$17:$C$187=$C47),'[1]Pricing Calculator'!$I$17:$I$187,'[1]Pricing Calculator'!AD$17:AD$187,'[1]Pricing Calculator'!$AG$17:$AG$187))</f>
        <v>0</v>
      </c>
      <c r="Y47" s="586" cm="1">
        <f t="array" ref="Y47">IF($C47="",0,SUMPRODUCT(--('[1]Pricing Calculator'!$C$17:$C$187=$C47),'[1]Pricing Calculator'!$I$17:$I$187,'[1]Pricing Calculator'!AE$17:AE$187,'[1]Pricing Calculator'!$AG$17:$AG$187))</f>
        <v>0</v>
      </c>
      <c r="Z47" s="586">
        <f t="shared" si="0"/>
        <v>0</v>
      </c>
      <c r="AB47" s="591" cm="1">
        <f t="array" ref="AB47">IF($C47="",0,SUMPRODUCT(--('[1]Pricing Calculator'!$C$17:$C$187=$C47),'[1]Pricing Calculator'!$I$17:$I$187,'[1]Pricing Calculator'!AM$17:AM$187,'[1]Pricing Calculator'!$AG$17:$AG$187))*IF('[1]Pricing Summary'!$B$4="Yes",1+'[1]Core Assumptions'!$D$26,1)</f>
        <v>0</v>
      </c>
      <c r="AC47" s="591" cm="1">
        <f t="array" ref="AC47">IF($C47="",0,SUMPRODUCT(--('[1]Pricing Calculator'!$C$17:$C$187=$C47),'[1]Pricing Calculator'!$I$17:$I$187,'[1]Pricing Calculator'!AO$17:AO$187,'[1]Pricing Calculator'!$AG$17:$AG$187))*IF('[1]Pricing Summary'!$B$4="Yes",1+'[1]Core Assumptions'!$D$26,1)</f>
        <v>0</v>
      </c>
    </row>
    <row r="48" spans="1:29" ht="15.75" hidden="1" customHeight="1" outlineLevel="1" x14ac:dyDescent="0.2">
      <c r="A48" s="242">
        <v>30</v>
      </c>
      <c r="B48" s="582" t="str">
        <f>IF('[1]Core Assumptions'!B61="","",CONCATENATE("Entity - ",'[1]Core Assumptions'!B61))</f>
        <v/>
      </c>
      <c r="C48" s="583" t="str">
        <f>IF('[1]Core Assumptions'!B61="","",'[1]Core Assumptions'!B61)</f>
        <v/>
      </c>
      <c r="D48" s="245" t="s">
        <v>11</v>
      </c>
      <c r="E48" s="588" cm="1">
        <f t="array" ref="E48">IF($C48="",0,SUMPRODUCT(--('[1]Pricing Calculator'!$C$17:$C$187=$C48),'[1]Pricing Calculator'!$I$17:$I$187,'[1]Pricing Calculator'!K$17:K$187,'[1]Pricing Calculator'!$AG$17:$AG$187))</f>
        <v>0</v>
      </c>
      <c r="F48" s="589" cm="1">
        <f t="array" ref="F48">IF($C48="",0,SUMPRODUCT(--('[1]Pricing Calculator'!$C$17:$C$187=$C48),'[1]Pricing Calculator'!$I$17:$I$187,'[1]Pricing Calculator'!L$17:L$187,'[1]Pricing Calculator'!$AG$17:$AG$187))</f>
        <v>0</v>
      </c>
      <c r="G48" s="589" cm="1">
        <f t="array" ref="G48">IF($C48="",0,SUMPRODUCT(--('[1]Pricing Calculator'!$C$17:$C$187=$C48),'[1]Pricing Calculator'!$I$17:$I$187,'[1]Pricing Calculator'!M$17:M$187,'[1]Pricing Calculator'!$AG$17:$AG$187))</f>
        <v>0</v>
      </c>
      <c r="H48" s="589" cm="1">
        <f t="array" ref="H48">IF($C48="",0,SUMPRODUCT(--('[1]Pricing Calculator'!$C$17:$C$187=$C48),'[1]Pricing Calculator'!$I$17:$I$187,'[1]Pricing Calculator'!N$17:N$187,'[1]Pricing Calculator'!$AG$17:$AG$187))</f>
        <v>0</v>
      </c>
      <c r="I48" s="589" cm="1">
        <f t="array" ref="I48">IF($C48="",0,SUMPRODUCT(--('[1]Pricing Calculator'!$C$17:$C$187=$C48),'[1]Pricing Calculator'!$I$17:$I$187,'[1]Pricing Calculator'!O$17:O$187,'[1]Pricing Calculator'!$AG$17:$AG$187))</f>
        <v>0</v>
      </c>
      <c r="J48" s="589" cm="1">
        <f t="array" ref="J48">IF($C48="",0,SUMPRODUCT(--('[1]Pricing Calculator'!$C$17:$C$187=$C48),'[1]Pricing Calculator'!$I$17:$I$187,'[1]Pricing Calculator'!P$17:P$187,'[1]Pricing Calculator'!$AG$17:$AG$187))</f>
        <v>0</v>
      </c>
      <c r="K48" s="589" cm="1">
        <f t="array" ref="K48">IF($C48="",0,SUMPRODUCT(--('[1]Pricing Calculator'!$C$17:$C$187=$C48),'[1]Pricing Calculator'!$I$17:$I$187,'[1]Pricing Calculator'!Q$17:Q$187,'[1]Pricing Calculator'!$AG$17:$AG$187))</f>
        <v>0</v>
      </c>
      <c r="L48" s="589" cm="1">
        <f t="array" ref="L48">IF($C48="",0,SUMPRODUCT(--('[1]Pricing Calculator'!$C$17:$C$187=$C48),'[1]Pricing Calculator'!$I$17:$I$187,'[1]Pricing Calculator'!R$17:R$187,'[1]Pricing Calculator'!$AG$17:$AG$187))</f>
        <v>0</v>
      </c>
      <c r="M48" s="589" cm="1">
        <f t="array" ref="M48">IF($C48="",0,SUMPRODUCT(--('[1]Pricing Calculator'!$C$17:$C$187=$C48),'[1]Pricing Calculator'!$I$17:$I$187,'[1]Pricing Calculator'!S$17:S$187,'[1]Pricing Calculator'!$AG$17:$AG$187))</f>
        <v>0</v>
      </c>
      <c r="N48" s="589" cm="1">
        <f t="array" ref="N48">IF($C48="",0,SUMPRODUCT(--('[1]Pricing Calculator'!$C$17:$C$187=$C48),'[1]Pricing Calculator'!$I$17:$I$187,'[1]Pricing Calculator'!T$17:T$187,'[1]Pricing Calculator'!$AG$17:$AG$187))</f>
        <v>0</v>
      </c>
      <c r="O48" s="588" cm="1">
        <f t="array" ref="O48">IF($C48="",0,SUMPRODUCT(--('[1]Pricing Calculator'!$C$17:$C$187=$C48),'[1]Pricing Calculator'!$I$17:$I$187,'[1]Pricing Calculator'!U$17:U$187,'[1]Pricing Calculator'!$AG$17:$AG$187))</f>
        <v>0</v>
      </c>
      <c r="P48" s="589" cm="1">
        <f t="array" ref="P48">IF($C48="",0,SUMPRODUCT(--('[1]Pricing Calculator'!$C$17:$C$187=$C48),'[1]Pricing Calculator'!$I$17:$I$187,'[1]Pricing Calculator'!V$17:V$187,'[1]Pricing Calculator'!$AG$17:$AG$187))</f>
        <v>0</v>
      </c>
      <c r="Q48" s="589" cm="1">
        <f t="array" ref="Q48">IF($C48="",0,SUMPRODUCT(--('[1]Pricing Calculator'!$C$17:$C$187=$C48),'[1]Pricing Calculator'!$I$17:$I$187,'[1]Pricing Calculator'!W$17:W$187,'[1]Pricing Calculator'!$AG$17:$AG$187))</f>
        <v>0</v>
      </c>
      <c r="R48" s="589" cm="1">
        <f t="array" ref="R48">IF($C48="",0,SUMPRODUCT(--('[1]Pricing Calculator'!$C$17:$C$187=$C48),'[1]Pricing Calculator'!$I$17:$I$187,'[1]Pricing Calculator'!X$17:X$187,'[1]Pricing Calculator'!$AG$17:$AG$187))</f>
        <v>0</v>
      </c>
      <c r="S48" s="589" cm="1">
        <f t="array" ref="S48">IF($C48="",0,SUMPRODUCT(--('[1]Pricing Calculator'!$C$17:$C$187=$C48),'[1]Pricing Calculator'!$I$17:$I$187,'[1]Pricing Calculator'!Y$17:Y$187,'[1]Pricing Calculator'!$AG$17:$AG$187))</f>
        <v>0</v>
      </c>
      <c r="T48" s="589" cm="1">
        <f t="array" ref="T48">IF($C48="",0,SUMPRODUCT(--('[1]Pricing Calculator'!$C$17:$C$187=$C48),'[1]Pricing Calculator'!$I$17:$I$187,'[1]Pricing Calculator'!Z$17:Z$187,'[1]Pricing Calculator'!$AG$17:$AG$187))</f>
        <v>0</v>
      </c>
      <c r="U48" s="590" cm="1">
        <f t="array" ref="U48">IF($C48="",0,SUMPRODUCT(--('[1]Pricing Calculator'!$C$17:$C$187=$C48),'[1]Pricing Calculator'!$I$17:$I$187,'[1]Pricing Calculator'!AA$17:AA$187,'[1]Pricing Calculator'!$AG$17:$AG$187))</f>
        <v>0</v>
      </c>
      <c r="V48" s="584" cm="1">
        <f t="array" ref="V48">IF($C48="",0,SUMPRODUCT(--('[1]Pricing Calculator'!$C$17:$C$187=$C48),'[1]Pricing Calculator'!$I$17:$I$187,'[1]Pricing Calculator'!AB$17:AB$187,'[1]Pricing Calculator'!$AG$17:$AG$187))</f>
        <v>0</v>
      </c>
      <c r="W48" s="585" cm="1">
        <f t="array" ref="W48">IF($C48="",0,SUMPRODUCT(--('[1]Pricing Calculator'!$C$17:$C$187=$C48),'[1]Pricing Calculator'!$I$17:$I$187,'[1]Pricing Calculator'!AC$17:AC$187,'[1]Pricing Calculator'!$AG$17:$AG$187))</f>
        <v>0</v>
      </c>
      <c r="X48" s="585" cm="1">
        <f t="array" ref="X48">IF($C48="",0,SUMPRODUCT(--('[1]Pricing Calculator'!$C$17:$C$187=$C48),'[1]Pricing Calculator'!$I$17:$I$187,'[1]Pricing Calculator'!AD$17:AD$187,'[1]Pricing Calculator'!$AG$17:$AG$187))</f>
        <v>0</v>
      </c>
      <c r="Y48" s="586" cm="1">
        <f t="array" ref="Y48">IF($C48="",0,SUMPRODUCT(--('[1]Pricing Calculator'!$C$17:$C$187=$C48),'[1]Pricing Calculator'!$I$17:$I$187,'[1]Pricing Calculator'!AE$17:AE$187,'[1]Pricing Calculator'!$AG$17:$AG$187))</f>
        <v>0</v>
      </c>
      <c r="Z48" s="586">
        <f t="shared" si="0"/>
        <v>0</v>
      </c>
      <c r="AB48" s="591" cm="1">
        <f t="array" ref="AB48">IF($C48="",0,SUMPRODUCT(--('[1]Pricing Calculator'!$C$17:$C$187=$C48),'[1]Pricing Calculator'!$I$17:$I$187,'[1]Pricing Calculator'!AM$17:AM$187,'[1]Pricing Calculator'!$AG$17:$AG$187))*IF('[1]Pricing Summary'!$B$4="Yes",1+'[1]Core Assumptions'!$D$26,1)</f>
        <v>0</v>
      </c>
      <c r="AC48" s="591" cm="1">
        <f t="array" ref="AC48">IF($C48="",0,SUMPRODUCT(--('[1]Pricing Calculator'!$C$17:$C$187=$C48),'[1]Pricing Calculator'!$I$17:$I$187,'[1]Pricing Calculator'!AO$17:AO$187,'[1]Pricing Calculator'!$AG$17:$AG$187))*IF('[1]Pricing Summary'!$B$4="Yes",1+'[1]Core Assumptions'!$D$26,1)</f>
        <v>0</v>
      </c>
    </row>
    <row r="49" spans="1:30" ht="15.75" hidden="1" customHeight="1" outlineLevel="1" x14ac:dyDescent="0.2">
      <c r="A49" s="242">
        <v>31</v>
      </c>
      <c r="B49" s="582" t="str">
        <f>IF('[1]Core Assumptions'!B62="","",CONCATENATE("Entity - ",'[1]Core Assumptions'!B62))</f>
        <v/>
      </c>
      <c r="C49" s="583" t="str">
        <f>IF('[1]Core Assumptions'!B62="","",'[1]Core Assumptions'!B62)</f>
        <v/>
      </c>
      <c r="D49" s="245" t="s">
        <v>11</v>
      </c>
      <c r="E49" s="588" cm="1">
        <f t="array" ref="E49">IF($C49="",0,SUMPRODUCT(--('[1]Pricing Calculator'!$C$17:$C$187=$C49),'[1]Pricing Calculator'!$I$17:$I$187,'[1]Pricing Calculator'!K$17:K$187,'[1]Pricing Calculator'!$AG$17:$AG$187))</f>
        <v>0</v>
      </c>
      <c r="F49" s="589" cm="1">
        <f t="array" ref="F49">IF($C49="",0,SUMPRODUCT(--('[1]Pricing Calculator'!$C$17:$C$187=$C49),'[1]Pricing Calculator'!$I$17:$I$187,'[1]Pricing Calculator'!L$17:L$187,'[1]Pricing Calculator'!$AG$17:$AG$187))</f>
        <v>0</v>
      </c>
      <c r="G49" s="589" cm="1">
        <f t="array" ref="G49">IF($C49="",0,SUMPRODUCT(--('[1]Pricing Calculator'!$C$17:$C$187=$C49),'[1]Pricing Calculator'!$I$17:$I$187,'[1]Pricing Calculator'!M$17:M$187,'[1]Pricing Calculator'!$AG$17:$AG$187))</f>
        <v>0</v>
      </c>
      <c r="H49" s="589" cm="1">
        <f t="array" ref="H49">IF($C49="",0,SUMPRODUCT(--('[1]Pricing Calculator'!$C$17:$C$187=$C49),'[1]Pricing Calculator'!$I$17:$I$187,'[1]Pricing Calculator'!N$17:N$187,'[1]Pricing Calculator'!$AG$17:$AG$187))</f>
        <v>0</v>
      </c>
      <c r="I49" s="589" cm="1">
        <f t="array" ref="I49">IF($C49="",0,SUMPRODUCT(--('[1]Pricing Calculator'!$C$17:$C$187=$C49),'[1]Pricing Calculator'!$I$17:$I$187,'[1]Pricing Calculator'!O$17:O$187,'[1]Pricing Calculator'!$AG$17:$AG$187))</f>
        <v>0</v>
      </c>
      <c r="J49" s="589" cm="1">
        <f t="array" ref="J49">IF($C49="",0,SUMPRODUCT(--('[1]Pricing Calculator'!$C$17:$C$187=$C49),'[1]Pricing Calculator'!$I$17:$I$187,'[1]Pricing Calculator'!P$17:P$187,'[1]Pricing Calculator'!$AG$17:$AG$187))</f>
        <v>0</v>
      </c>
      <c r="K49" s="589" cm="1">
        <f t="array" ref="K49">IF($C49="",0,SUMPRODUCT(--('[1]Pricing Calculator'!$C$17:$C$187=$C49),'[1]Pricing Calculator'!$I$17:$I$187,'[1]Pricing Calculator'!Q$17:Q$187,'[1]Pricing Calculator'!$AG$17:$AG$187))</f>
        <v>0</v>
      </c>
      <c r="L49" s="589" cm="1">
        <f t="array" ref="L49">IF($C49="",0,SUMPRODUCT(--('[1]Pricing Calculator'!$C$17:$C$187=$C49),'[1]Pricing Calculator'!$I$17:$I$187,'[1]Pricing Calculator'!R$17:R$187,'[1]Pricing Calculator'!$AG$17:$AG$187))</f>
        <v>0</v>
      </c>
      <c r="M49" s="589" cm="1">
        <f t="array" ref="M49">IF($C49="",0,SUMPRODUCT(--('[1]Pricing Calculator'!$C$17:$C$187=$C49),'[1]Pricing Calculator'!$I$17:$I$187,'[1]Pricing Calculator'!S$17:S$187,'[1]Pricing Calculator'!$AG$17:$AG$187))</f>
        <v>0</v>
      </c>
      <c r="N49" s="589" cm="1">
        <f t="array" ref="N49">IF($C49="",0,SUMPRODUCT(--('[1]Pricing Calculator'!$C$17:$C$187=$C49),'[1]Pricing Calculator'!$I$17:$I$187,'[1]Pricing Calculator'!T$17:T$187,'[1]Pricing Calculator'!$AG$17:$AG$187))</f>
        <v>0</v>
      </c>
      <c r="O49" s="588" cm="1">
        <f t="array" ref="O49">IF($C49="",0,SUMPRODUCT(--('[1]Pricing Calculator'!$C$17:$C$187=$C49),'[1]Pricing Calculator'!$I$17:$I$187,'[1]Pricing Calculator'!U$17:U$187,'[1]Pricing Calculator'!$AG$17:$AG$187))</f>
        <v>0</v>
      </c>
      <c r="P49" s="589" cm="1">
        <f t="array" ref="P49">IF($C49="",0,SUMPRODUCT(--('[1]Pricing Calculator'!$C$17:$C$187=$C49),'[1]Pricing Calculator'!$I$17:$I$187,'[1]Pricing Calculator'!V$17:V$187,'[1]Pricing Calculator'!$AG$17:$AG$187))</f>
        <v>0</v>
      </c>
      <c r="Q49" s="589" cm="1">
        <f t="array" ref="Q49">IF($C49="",0,SUMPRODUCT(--('[1]Pricing Calculator'!$C$17:$C$187=$C49),'[1]Pricing Calculator'!$I$17:$I$187,'[1]Pricing Calculator'!W$17:W$187,'[1]Pricing Calculator'!$AG$17:$AG$187))</f>
        <v>0</v>
      </c>
      <c r="R49" s="589" cm="1">
        <f t="array" ref="R49">IF($C49="",0,SUMPRODUCT(--('[1]Pricing Calculator'!$C$17:$C$187=$C49),'[1]Pricing Calculator'!$I$17:$I$187,'[1]Pricing Calculator'!X$17:X$187,'[1]Pricing Calculator'!$AG$17:$AG$187))</f>
        <v>0</v>
      </c>
      <c r="S49" s="589" cm="1">
        <f t="array" ref="S49">IF($C49="",0,SUMPRODUCT(--('[1]Pricing Calculator'!$C$17:$C$187=$C49),'[1]Pricing Calculator'!$I$17:$I$187,'[1]Pricing Calculator'!Y$17:Y$187,'[1]Pricing Calculator'!$AG$17:$AG$187))</f>
        <v>0</v>
      </c>
      <c r="T49" s="589" cm="1">
        <f t="array" ref="T49">IF($C49="",0,SUMPRODUCT(--('[1]Pricing Calculator'!$C$17:$C$187=$C49),'[1]Pricing Calculator'!$I$17:$I$187,'[1]Pricing Calculator'!Z$17:Z$187,'[1]Pricing Calculator'!$AG$17:$AG$187))</f>
        <v>0</v>
      </c>
      <c r="U49" s="590" cm="1">
        <f t="array" ref="U49">IF($C49="",0,SUMPRODUCT(--('[1]Pricing Calculator'!$C$17:$C$187=$C49),'[1]Pricing Calculator'!$I$17:$I$187,'[1]Pricing Calculator'!AA$17:AA$187,'[1]Pricing Calculator'!$AG$17:$AG$187))</f>
        <v>0</v>
      </c>
      <c r="V49" s="584" cm="1">
        <f t="array" ref="V49">IF($C49="",0,SUMPRODUCT(--('[1]Pricing Calculator'!$C$17:$C$187=$C49),'[1]Pricing Calculator'!$I$17:$I$187,'[1]Pricing Calculator'!AB$17:AB$187,'[1]Pricing Calculator'!$AG$17:$AG$187))</f>
        <v>0</v>
      </c>
      <c r="W49" s="585" cm="1">
        <f t="array" ref="W49">IF($C49="",0,SUMPRODUCT(--('[1]Pricing Calculator'!$C$17:$C$187=$C49),'[1]Pricing Calculator'!$I$17:$I$187,'[1]Pricing Calculator'!AC$17:AC$187,'[1]Pricing Calculator'!$AG$17:$AG$187))</f>
        <v>0</v>
      </c>
      <c r="X49" s="585" cm="1">
        <f t="array" ref="X49">IF($C49="",0,SUMPRODUCT(--('[1]Pricing Calculator'!$C$17:$C$187=$C49),'[1]Pricing Calculator'!$I$17:$I$187,'[1]Pricing Calculator'!AD$17:AD$187,'[1]Pricing Calculator'!$AG$17:$AG$187))</f>
        <v>0</v>
      </c>
      <c r="Y49" s="586" cm="1">
        <f t="array" ref="Y49">IF($C49="",0,SUMPRODUCT(--('[1]Pricing Calculator'!$C$17:$C$187=$C49),'[1]Pricing Calculator'!$I$17:$I$187,'[1]Pricing Calculator'!AE$17:AE$187,'[1]Pricing Calculator'!$AG$17:$AG$187))</f>
        <v>0</v>
      </c>
      <c r="Z49" s="586">
        <f t="shared" si="0"/>
        <v>0</v>
      </c>
      <c r="AB49" s="591" cm="1">
        <f t="array" ref="AB49">IF($C49="",0,SUMPRODUCT(--('[1]Pricing Calculator'!$C$17:$C$187=$C49),'[1]Pricing Calculator'!$I$17:$I$187,'[1]Pricing Calculator'!AM$17:AM$187,'[1]Pricing Calculator'!$AG$17:$AG$187))*IF('[1]Pricing Summary'!$B$4="Yes",1+'[1]Core Assumptions'!$D$26,1)</f>
        <v>0</v>
      </c>
      <c r="AC49" s="591" cm="1">
        <f t="array" ref="AC49">IF($C49="",0,SUMPRODUCT(--('[1]Pricing Calculator'!$C$17:$C$187=$C49),'[1]Pricing Calculator'!$I$17:$I$187,'[1]Pricing Calculator'!AO$17:AO$187,'[1]Pricing Calculator'!$AG$17:$AG$187))*IF('[1]Pricing Summary'!$B$4="Yes",1+'[1]Core Assumptions'!$D$26,1)</f>
        <v>0</v>
      </c>
    </row>
    <row r="50" spans="1:30" ht="15.75" hidden="1" customHeight="1" outlineLevel="1" x14ac:dyDescent="0.2">
      <c r="A50" s="242">
        <v>32</v>
      </c>
      <c r="B50" s="582" t="str">
        <f>IF('[1]Core Assumptions'!B63="","",CONCATENATE("Entity - ",'[1]Core Assumptions'!B63))</f>
        <v/>
      </c>
      <c r="C50" s="583" t="str">
        <f>IF('[1]Core Assumptions'!B63="","",'[1]Core Assumptions'!B63)</f>
        <v/>
      </c>
      <c r="D50" s="245" t="s">
        <v>11</v>
      </c>
      <c r="E50" s="588" cm="1">
        <f t="array" ref="E50">IF($C50="",0,SUMPRODUCT(--('[1]Pricing Calculator'!$C$17:$C$187=$C50),'[1]Pricing Calculator'!$I$17:$I$187,'[1]Pricing Calculator'!K$17:K$187,'[1]Pricing Calculator'!$AG$17:$AG$187))</f>
        <v>0</v>
      </c>
      <c r="F50" s="589" cm="1">
        <f t="array" ref="F50">IF($C50="",0,SUMPRODUCT(--('[1]Pricing Calculator'!$C$17:$C$187=$C50),'[1]Pricing Calculator'!$I$17:$I$187,'[1]Pricing Calculator'!L$17:L$187,'[1]Pricing Calculator'!$AG$17:$AG$187))</f>
        <v>0</v>
      </c>
      <c r="G50" s="589" cm="1">
        <f t="array" ref="G50">IF($C50="",0,SUMPRODUCT(--('[1]Pricing Calculator'!$C$17:$C$187=$C50),'[1]Pricing Calculator'!$I$17:$I$187,'[1]Pricing Calculator'!M$17:M$187,'[1]Pricing Calculator'!$AG$17:$AG$187))</f>
        <v>0</v>
      </c>
      <c r="H50" s="589" cm="1">
        <f t="array" ref="H50">IF($C50="",0,SUMPRODUCT(--('[1]Pricing Calculator'!$C$17:$C$187=$C50),'[1]Pricing Calculator'!$I$17:$I$187,'[1]Pricing Calculator'!N$17:N$187,'[1]Pricing Calculator'!$AG$17:$AG$187))</f>
        <v>0</v>
      </c>
      <c r="I50" s="589" cm="1">
        <f t="array" ref="I50">IF($C50="",0,SUMPRODUCT(--('[1]Pricing Calculator'!$C$17:$C$187=$C50),'[1]Pricing Calculator'!$I$17:$I$187,'[1]Pricing Calculator'!O$17:O$187,'[1]Pricing Calculator'!$AG$17:$AG$187))</f>
        <v>0</v>
      </c>
      <c r="J50" s="589" cm="1">
        <f t="array" ref="J50">IF($C50="",0,SUMPRODUCT(--('[1]Pricing Calculator'!$C$17:$C$187=$C50),'[1]Pricing Calculator'!$I$17:$I$187,'[1]Pricing Calculator'!P$17:P$187,'[1]Pricing Calculator'!$AG$17:$AG$187))</f>
        <v>0</v>
      </c>
      <c r="K50" s="589" cm="1">
        <f t="array" ref="K50">IF($C50="",0,SUMPRODUCT(--('[1]Pricing Calculator'!$C$17:$C$187=$C50),'[1]Pricing Calculator'!$I$17:$I$187,'[1]Pricing Calculator'!Q$17:Q$187,'[1]Pricing Calculator'!$AG$17:$AG$187))</f>
        <v>0</v>
      </c>
      <c r="L50" s="589" cm="1">
        <f t="array" ref="L50">IF($C50="",0,SUMPRODUCT(--('[1]Pricing Calculator'!$C$17:$C$187=$C50),'[1]Pricing Calculator'!$I$17:$I$187,'[1]Pricing Calculator'!R$17:R$187,'[1]Pricing Calculator'!$AG$17:$AG$187))</f>
        <v>0</v>
      </c>
      <c r="M50" s="589" cm="1">
        <f t="array" ref="M50">IF($C50="",0,SUMPRODUCT(--('[1]Pricing Calculator'!$C$17:$C$187=$C50),'[1]Pricing Calculator'!$I$17:$I$187,'[1]Pricing Calculator'!S$17:S$187,'[1]Pricing Calculator'!$AG$17:$AG$187))</f>
        <v>0</v>
      </c>
      <c r="N50" s="589" cm="1">
        <f t="array" ref="N50">IF($C50="",0,SUMPRODUCT(--('[1]Pricing Calculator'!$C$17:$C$187=$C50),'[1]Pricing Calculator'!$I$17:$I$187,'[1]Pricing Calculator'!T$17:T$187,'[1]Pricing Calculator'!$AG$17:$AG$187))</f>
        <v>0</v>
      </c>
      <c r="O50" s="588" cm="1">
        <f t="array" ref="O50">IF($C50="",0,SUMPRODUCT(--('[1]Pricing Calculator'!$C$17:$C$187=$C50),'[1]Pricing Calculator'!$I$17:$I$187,'[1]Pricing Calculator'!U$17:U$187,'[1]Pricing Calculator'!$AG$17:$AG$187))</f>
        <v>0</v>
      </c>
      <c r="P50" s="589" cm="1">
        <f t="array" ref="P50">IF($C50="",0,SUMPRODUCT(--('[1]Pricing Calculator'!$C$17:$C$187=$C50),'[1]Pricing Calculator'!$I$17:$I$187,'[1]Pricing Calculator'!V$17:V$187,'[1]Pricing Calculator'!$AG$17:$AG$187))</f>
        <v>0</v>
      </c>
      <c r="Q50" s="589" cm="1">
        <f t="array" ref="Q50">IF($C50="",0,SUMPRODUCT(--('[1]Pricing Calculator'!$C$17:$C$187=$C50),'[1]Pricing Calculator'!$I$17:$I$187,'[1]Pricing Calculator'!W$17:W$187,'[1]Pricing Calculator'!$AG$17:$AG$187))</f>
        <v>0</v>
      </c>
      <c r="R50" s="589" cm="1">
        <f t="array" ref="R50">IF($C50="",0,SUMPRODUCT(--('[1]Pricing Calculator'!$C$17:$C$187=$C50),'[1]Pricing Calculator'!$I$17:$I$187,'[1]Pricing Calculator'!X$17:X$187,'[1]Pricing Calculator'!$AG$17:$AG$187))</f>
        <v>0</v>
      </c>
      <c r="S50" s="589" cm="1">
        <f t="array" ref="S50">IF($C50="",0,SUMPRODUCT(--('[1]Pricing Calculator'!$C$17:$C$187=$C50),'[1]Pricing Calculator'!$I$17:$I$187,'[1]Pricing Calculator'!Y$17:Y$187,'[1]Pricing Calculator'!$AG$17:$AG$187))</f>
        <v>0</v>
      </c>
      <c r="T50" s="589" cm="1">
        <f t="array" ref="T50">IF($C50="",0,SUMPRODUCT(--('[1]Pricing Calculator'!$C$17:$C$187=$C50),'[1]Pricing Calculator'!$I$17:$I$187,'[1]Pricing Calculator'!Z$17:Z$187,'[1]Pricing Calculator'!$AG$17:$AG$187))</f>
        <v>0</v>
      </c>
      <c r="U50" s="590" cm="1">
        <f t="array" ref="U50">IF($C50="",0,SUMPRODUCT(--('[1]Pricing Calculator'!$C$17:$C$187=$C50),'[1]Pricing Calculator'!$I$17:$I$187,'[1]Pricing Calculator'!AA$17:AA$187,'[1]Pricing Calculator'!$AG$17:$AG$187))</f>
        <v>0</v>
      </c>
      <c r="V50" s="584" cm="1">
        <f t="array" ref="V50">IF($C50="",0,SUMPRODUCT(--('[1]Pricing Calculator'!$C$17:$C$187=$C50),'[1]Pricing Calculator'!$I$17:$I$187,'[1]Pricing Calculator'!AB$17:AB$187,'[1]Pricing Calculator'!$AG$17:$AG$187))</f>
        <v>0</v>
      </c>
      <c r="W50" s="585" cm="1">
        <f t="array" ref="W50">IF($C50="",0,SUMPRODUCT(--('[1]Pricing Calculator'!$C$17:$C$187=$C50),'[1]Pricing Calculator'!$I$17:$I$187,'[1]Pricing Calculator'!AC$17:AC$187,'[1]Pricing Calculator'!$AG$17:$AG$187))</f>
        <v>0</v>
      </c>
      <c r="X50" s="585" cm="1">
        <f t="array" ref="X50">IF($C50="",0,SUMPRODUCT(--('[1]Pricing Calculator'!$C$17:$C$187=$C50),'[1]Pricing Calculator'!$I$17:$I$187,'[1]Pricing Calculator'!AD$17:AD$187,'[1]Pricing Calculator'!$AG$17:$AG$187))</f>
        <v>0</v>
      </c>
      <c r="Y50" s="586" cm="1">
        <f t="array" ref="Y50">IF($C50="",0,SUMPRODUCT(--('[1]Pricing Calculator'!$C$17:$C$187=$C50),'[1]Pricing Calculator'!$I$17:$I$187,'[1]Pricing Calculator'!AE$17:AE$187,'[1]Pricing Calculator'!$AG$17:$AG$187))</f>
        <v>0</v>
      </c>
      <c r="Z50" s="586">
        <f t="shared" si="0"/>
        <v>0</v>
      </c>
      <c r="AB50" s="591" cm="1">
        <f t="array" ref="AB50">IF($C50="",0,SUMPRODUCT(--('[1]Pricing Calculator'!$C$17:$C$187=$C50),'[1]Pricing Calculator'!$I$17:$I$187,'[1]Pricing Calculator'!AM$17:AM$187,'[1]Pricing Calculator'!$AG$17:$AG$187))*IF('[1]Pricing Summary'!$B$4="Yes",1+'[1]Core Assumptions'!$D$26,1)</f>
        <v>0</v>
      </c>
      <c r="AC50" s="591" cm="1">
        <f t="array" ref="AC50">IF($C50="",0,SUMPRODUCT(--('[1]Pricing Calculator'!$C$17:$C$187=$C50),'[1]Pricing Calculator'!$I$17:$I$187,'[1]Pricing Calculator'!AO$17:AO$187,'[1]Pricing Calculator'!$AG$17:$AG$187))*IF('[1]Pricing Summary'!$B$4="Yes",1+'[1]Core Assumptions'!$D$26,1)</f>
        <v>0</v>
      </c>
    </row>
    <row r="51" spans="1:30" ht="15.75" hidden="1" customHeight="1" outlineLevel="1" x14ac:dyDescent="0.2">
      <c r="A51" s="242">
        <v>33</v>
      </c>
      <c r="B51" s="582" t="str">
        <f>IF('[1]Core Assumptions'!B64="","",CONCATENATE("Entity - ",'[1]Core Assumptions'!B64))</f>
        <v/>
      </c>
      <c r="C51" s="583" t="str">
        <f>IF('[1]Core Assumptions'!B64="","",'[1]Core Assumptions'!B64)</f>
        <v/>
      </c>
      <c r="D51" s="245" t="s">
        <v>11</v>
      </c>
      <c r="E51" s="588" cm="1">
        <f t="array" ref="E51">IF($C51="",0,SUMPRODUCT(--('[1]Pricing Calculator'!$C$17:$C$187=$C51),'[1]Pricing Calculator'!$I$17:$I$187,'[1]Pricing Calculator'!K$17:K$187,'[1]Pricing Calculator'!$AG$17:$AG$187))</f>
        <v>0</v>
      </c>
      <c r="F51" s="589" cm="1">
        <f t="array" ref="F51">IF($C51="",0,SUMPRODUCT(--('[1]Pricing Calculator'!$C$17:$C$187=$C51),'[1]Pricing Calculator'!$I$17:$I$187,'[1]Pricing Calculator'!L$17:L$187,'[1]Pricing Calculator'!$AG$17:$AG$187))</f>
        <v>0</v>
      </c>
      <c r="G51" s="589" cm="1">
        <f t="array" ref="G51">IF($C51="",0,SUMPRODUCT(--('[1]Pricing Calculator'!$C$17:$C$187=$C51),'[1]Pricing Calculator'!$I$17:$I$187,'[1]Pricing Calculator'!M$17:M$187,'[1]Pricing Calculator'!$AG$17:$AG$187))</f>
        <v>0</v>
      </c>
      <c r="H51" s="589" cm="1">
        <f t="array" ref="H51">IF($C51="",0,SUMPRODUCT(--('[1]Pricing Calculator'!$C$17:$C$187=$C51),'[1]Pricing Calculator'!$I$17:$I$187,'[1]Pricing Calculator'!N$17:N$187,'[1]Pricing Calculator'!$AG$17:$AG$187))</f>
        <v>0</v>
      </c>
      <c r="I51" s="589" cm="1">
        <f t="array" ref="I51">IF($C51="",0,SUMPRODUCT(--('[1]Pricing Calculator'!$C$17:$C$187=$C51),'[1]Pricing Calculator'!$I$17:$I$187,'[1]Pricing Calculator'!O$17:O$187,'[1]Pricing Calculator'!$AG$17:$AG$187))</f>
        <v>0</v>
      </c>
      <c r="J51" s="589" cm="1">
        <f t="array" ref="J51">IF($C51="",0,SUMPRODUCT(--('[1]Pricing Calculator'!$C$17:$C$187=$C51),'[1]Pricing Calculator'!$I$17:$I$187,'[1]Pricing Calculator'!P$17:P$187,'[1]Pricing Calculator'!$AG$17:$AG$187))</f>
        <v>0</v>
      </c>
      <c r="K51" s="589" cm="1">
        <f t="array" ref="K51">IF($C51="",0,SUMPRODUCT(--('[1]Pricing Calculator'!$C$17:$C$187=$C51),'[1]Pricing Calculator'!$I$17:$I$187,'[1]Pricing Calculator'!Q$17:Q$187,'[1]Pricing Calculator'!$AG$17:$AG$187))</f>
        <v>0</v>
      </c>
      <c r="L51" s="589" cm="1">
        <f t="array" ref="L51">IF($C51="",0,SUMPRODUCT(--('[1]Pricing Calculator'!$C$17:$C$187=$C51),'[1]Pricing Calculator'!$I$17:$I$187,'[1]Pricing Calculator'!R$17:R$187,'[1]Pricing Calculator'!$AG$17:$AG$187))</f>
        <v>0</v>
      </c>
      <c r="M51" s="589" cm="1">
        <f t="array" ref="M51">IF($C51="",0,SUMPRODUCT(--('[1]Pricing Calculator'!$C$17:$C$187=$C51),'[1]Pricing Calculator'!$I$17:$I$187,'[1]Pricing Calculator'!S$17:S$187,'[1]Pricing Calculator'!$AG$17:$AG$187))</f>
        <v>0</v>
      </c>
      <c r="N51" s="589" cm="1">
        <f t="array" ref="N51">IF($C51="",0,SUMPRODUCT(--('[1]Pricing Calculator'!$C$17:$C$187=$C51),'[1]Pricing Calculator'!$I$17:$I$187,'[1]Pricing Calculator'!T$17:T$187,'[1]Pricing Calculator'!$AG$17:$AG$187))</f>
        <v>0</v>
      </c>
      <c r="O51" s="588" cm="1">
        <f t="array" ref="O51">IF($C51="",0,SUMPRODUCT(--('[1]Pricing Calculator'!$C$17:$C$187=$C51),'[1]Pricing Calculator'!$I$17:$I$187,'[1]Pricing Calculator'!U$17:U$187,'[1]Pricing Calculator'!$AG$17:$AG$187))</f>
        <v>0</v>
      </c>
      <c r="P51" s="589" cm="1">
        <f t="array" ref="P51">IF($C51="",0,SUMPRODUCT(--('[1]Pricing Calculator'!$C$17:$C$187=$C51),'[1]Pricing Calculator'!$I$17:$I$187,'[1]Pricing Calculator'!V$17:V$187,'[1]Pricing Calculator'!$AG$17:$AG$187))</f>
        <v>0</v>
      </c>
      <c r="Q51" s="589" cm="1">
        <f t="array" ref="Q51">IF($C51="",0,SUMPRODUCT(--('[1]Pricing Calculator'!$C$17:$C$187=$C51),'[1]Pricing Calculator'!$I$17:$I$187,'[1]Pricing Calculator'!W$17:W$187,'[1]Pricing Calculator'!$AG$17:$AG$187))</f>
        <v>0</v>
      </c>
      <c r="R51" s="589" cm="1">
        <f t="array" ref="R51">IF($C51="",0,SUMPRODUCT(--('[1]Pricing Calculator'!$C$17:$C$187=$C51),'[1]Pricing Calculator'!$I$17:$I$187,'[1]Pricing Calculator'!X$17:X$187,'[1]Pricing Calculator'!$AG$17:$AG$187))</f>
        <v>0</v>
      </c>
      <c r="S51" s="589" cm="1">
        <f t="array" ref="S51">IF($C51="",0,SUMPRODUCT(--('[1]Pricing Calculator'!$C$17:$C$187=$C51),'[1]Pricing Calculator'!$I$17:$I$187,'[1]Pricing Calculator'!Y$17:Y$187,'[1]Pricing Calculator'!$AG$17:$AG$187))</f>
        <v>0</v>
      </c>
      <c r="T51" s="589" cm="1">
        <f t="array" ref="T51">IF($C51="",0,SUMPRODUCT(--('[1]Pricing Calculator'!$C$17:$C$187=$C51),'[1]Pricing Calculator'!$I$17:$I$187,'[1]Pricing Calculator'!Z$17:Z$187,'[1]Pricing Calculator'!$AG$17:$AG$187))</f>
        <v>0</v>
      </c>
      <c r="U51" s="590" cm="1">
        <f t="array" ref="U51">IF($C51="",0,SUMPRODUCT(--('[1]Pricing Calculator'!$C$17:$C$187=$C51),'[1]Pricing Calculator'!$I$17:$I$187,'[1]Pricing Calculator'!AA$17:AA$187,'[1]Pricing Calculator'!$AG$17:$AG$187))</f>
        <v>0</v>
      </c>
      <c r="V51" s="584" cm="1">
        <f t="array" ref="V51">IF($C51="",0,SUMPRODUCT(--('[1]Pricing Calculator'!$C$17:$C$187=$C51),'[1]Pricing Calculator'!$I$17:$I$187,'[1]Pricing Calculator'!AB$17:AB$187,'[1]Pricing Calculator'!$AG$17:$AG$187))</f>
        <v>0</v>
      </c>
      <c r="W51" s="585" cm="1">
        <f t="array" ref="W51">IF($C51="",0,SUMPRODUCT(--('[1]Pricing Calculator'!$C$17:$C$187=$C51),'[1]Pricing Calculator'!$I$17:$I$187,'[1]Pricing Calculator'!AC$17:AC$187,'[1]Pricing Calculator'!$AG$17:$AG$187))</f>
        <v>0</v>
      </c>
      <c r="X51" s="585" cm="1">
        <f t="array" ref="X51">IF($C51="",0,SUMPRODUCT(--('[1]Pricing Calculator'!$C$17:$C$187=$C51),'[1]Pricing Calculator'!$I$17:$I$187,'[1]Pricing Calculator'!AD$17:AD$187,'[1]Pricing Calculator'!$AG$17:$AG$187))</f>
        <v>0</v>
      </c>
      <c r="Y51" s="586" cm="1">
        <f t="array" ref="Y51">IF($C51="",0,SUMPRODUCT(--('[1]Pricing Calculator'!$C$17:$C$187=$C51),'[1]Pricing Calculator'!$I$17:$I$187,'[1]Pricing Calculator'!AE$17:AE$187,'[1]Pricing Calculator'!$AG$17:$AG$187))</f>
        <v>0</v>
      </c>
      <c r="Z51" s="586">
        <f t="shared" si="0"/>
        <v>0</v>
      </c>
      <c r="AB51" s="591" cm="1">
        <f t="array" ref="AB51">IF($C51="",0,SUMPRODUCT(--('[1]Pricing Calculator'!$C$17:$C$187=$C51),'[1]Pricing Calculator'!$I$17:$I$187,'[1]Pricing Calculator'!AM$17:AM$187,'[1]Pricing Calculator'!$AG$17:$AG$187))*IF('[1]Pricing Summary'!$B$4="Yes",1+'[1]Core Assumptions'!$D$26,1)</f>
        <v>0</v>
      </c>
      <c r="AC51" s="591" cm="1">
        <f t="array" ref="AC51">IF($C51="",0,SUMPRODUCT(--('[1]Pricing Calculator'!$C$17:$C$187=$C51),'[1]Pricing Calculator'!$I$17:$I$187,'[1]Pricing Calculator'!AO$17:AO$187,'[1]Pricing Calculator'!$AG$17:$AG$187))*IF('[1]Pricing Summary'!$B$4="Yes",1+'[1]Core Assumptions'!$D$26,1)</f>
        <v>0</v>
      </c>
    </row>
    <row r="52" spans="1:30" ht="15.75" hidden="1" customHeight="1" outlineLevel="1" x14ac:dyDescent="0.2">
      <c r="A52" s="242">
        <v>34</v>
      </c>
      <c r="B52" s="582" t="str">
        <f>IF('[1]Core Assumptions'!B65="","",CONCATENATE("Entity - ",'[1]Core Assumptions'!B65))</f>
        <v/>
      </c>
      <c r="C52" s="583" t="str">
        <f>IF('[1]Core Assumptions'!B65="","",'[1]Core Assumptions'!B65)</f>
        <v/>
      </c>
      <c r="D52" s="245" t="s">
        <v>11</v>
      </c>
      <c r="E52" s="588" cm="1">
        <f t="array" ref="E52">IF($C52="",0,SUMPRODUCT(--('[1]Pricing Calculator'!$C$17:$C$187=$C52),'[1]Pricing Calculator'!$I$17:$I$187,'[1]Pricing Calculator'!K$17:K$187,'[1]Pricing Calculator'!$AG$17:$AG$187))</f>
        <v>0</v>
      </c>
      <c r="F52" s="589" cm="1">
        <f t="array" ref="F52">IF($C52="",0,SUMPRODUCT(--('[1]Pricing Calculator'!$C$17:$C$187=$C52),'[1]Pricing Calculator'!$I$17:$I$187,'[1]Pricing Calculator'!L$17:L$187,'[1]Pricing Calculator'!$AG$17:$AG$187))</f>
        <v>0</v>
      </c>
      <c r="G52" s="589" cm="1">
        <f t="array" ref="G52">IF($C52="",0,SUMPRODUCT(--('[1]Pricing Calculator'!$C$17:$C$187=$C52),'[1]Pricing Calculator'!$I$17:$I$187,'[1]Pricing Calculator'!M$17:M$187,'[1]Pricing Calculator'!$AG$17:$AG$187))</f>
        <v>0</v>
      </c>
      <c r="H52" s="589" cm="1">
        <f t="array" ref="H52">IF($C52="",0,SUMPRODUCT(--('[1]Pricing Calculator'!$C$17:$C$187=$C52),'[1]Pricing Calculator'!$I$17:$I$187,'[1]Pricing Calculator'!N$17:N$187,'[1]Pricing Calculator'!$AG$17:$AG$187))</f>
        <v>0</v>
      </c>
      <c r="I52" s="589" cm="1">
        <f t="array" ref="I52">IF($C52="",0,SUMPRODUCT(--('[1]Pricing Calculator'!$C$17:$C$187=$C52),'[1]Pricing Calculator'!$I$17:$I$187,'[1]Pricing Calculator'!O$17:O$187,'[1]Pricing Calculator'!$AG$17:$AG$187))</f>
        <v>0</v>
      </c>
      <c r="J52" s="589" cm="1">
        <f t="array" ref="J52">IF($C52="",0,SUMPRODUCT(--('[1]Pricing Calculator'!$C$17:$C$187=$C52),'[1]Pricing Calculator'!$I$17:$I$187,'[1]Pricing Calculator'!P$17:P$187,'[1]Pricing Calculator'!$AG$17:$AG$187))</f>
        <v>0</v>
      </c>
      <c r="K52" s="589" cm="1">
        <f t="array" ref="K52">IF($C52="",0,SUMPRODUCT(--('[1]Pricing Calculator'!$C$17:$C$187=$C52),'[1]Pricing Calculator'!$I$17:$I$187,'[1]Pricing Calculator'!Q$17:Q$187,'[1]Pricing Calculator'!$AG$17:$AG$187))</f>
        <v>0</v>
      </c>
      <c r="L52" s="589" cm="1">
        <f t="array" ref="L52">IF($C52="",0,SUMPRODUCT(--('[1]Pricing Calculator'!$C$17:$C$187=$C52),'[1]Pricing Calculator'!$I$17:$I$187,'[1]Pricing Calculator'!R$17:R$187,'[1]Pricing Calculator'!$AG$17:$AG$187))</f>
        <v>0</v>
      </c>
      <c r="M52" s="589" cm="1">
        <f t="array" ref="M52">IF($C52="",0,SUMPRODUCT(--('[1]Pricing Calculator'!$C$17:$C$187=$C52),'[1]Pricing Calculator'!$I$17:$I$187,'[1]Pricing Calculator'!S$17:S$187,'[1]Pricing Calculator'!$AG$17:$AG$187))</f>
        <v>0</v>
      </c>
      <c r="N52" s="589" cm="1">
        <f t="array" ref="N52">IF($C52="",0,SUMPRODUCT(--('[1]Pricing Calculator'!$C$17:$C$187=$C52),'[1]Pricing Calculator'!$I$17:$I$187,'[1]Pricing Calculator'!T$17:T$187,'[1]Pricing Calculator'!$AG$17:$AG$187))</f>
        <v>0</v>
      </c>
      <c r="O52" s="588" cm="1">
        <f t="array" ref="O52">IF($C52="",0,SUMPRODUCT(--('[1]Pricing Calculator'!$C$17:$C$187=$C52),'[1]Pricing Calculator'!$I$17:$I$187,'[1]Pricing Calculator'!U$17:U$187,'[1]Pricing Calculator'!$AG$17:$AG$187))</f>
        <v>0</v>
      </c>
      <c r="P52" s="589" cm="1">
        <f t="array" ref="P52">IF($C52="",0,SUMPRODUCT(--('[1]Pricing Calculator'!$C$17:$C$187=$C52),'[1]Pricing Calculator'!$I$17:$I$187,'[1]Pricing Calculator'!V$17:V$187,'[1]Pricing Calculator'!$AG$17:$AG$187))</f>
        <v>0</v>
      </c>
      <c r="Q52" s="589" cm="1">
        <f t="array" ref="Q52">IF($C52="",0,SUMPRODUCT(--('[1]Pricing Calculator'!$C$17:$C$187=$C52),'[1]Pricing Calculator'!$I$17:$I$187,'[1]Pricing Calculator'!W$17:W$187,'[1]Pricing Calculator'!$AG$17:$AG$187))</f>
        <v>0</v>
      </c>
      <c r="R52" s="589" cm="1">
        <f t="array" ref="R52">IF($C52="",0,SUMPRODUCT(--('[1]Pricing Calculator'!$C$17:$C$187=$C52),'[1]Pricing Calculator'!$I$17:$I$187,'[1]Pricing Calculator'!X$17:X$187,'[1]Pricing Calculator'!$AG$17:$AG$187))</f>
        <v>0</v>
      </c>
      <c r="S52" s="589" cm="1">
        <f t="array" ref="S52">IF($C52="",0,SUMPRODUCT(--('[1]Pricing Calculator'!$C$17:$C$187=$C52),'[1]Pricing Calculator'!$I$17:$I$187,'[1]Pricing Calculator'!Y$17:Y$187,'[1]Pricing Calculator'!$AG$17:$AG$187))</f>
        <v>0</v>
      </c>
      <c r="T52" s="589" cm="1">
        <f t="array" ref="T52">IF($C52="",0,SUMPRODUCT(--('[1]Pricing Calculator'!$C$17:$C$187=$C52),'[1]Pricing Calculator'!$I$17:$I$187,'[1]Pricing Calculator'!Z$17:Z$187,'[1]Pricing Calculator'!$AG$17:$AG$187))</f>
        <v>0</v>
      </c>
      <c r="U52" s="590" cm="1">
        <f t="array" ref="U52">IF($C52="",0,SUMPRODUCT(--('[1]Pricing Calculator'!$C$17:$C$187=$C52),'[1]Pricing Calculator'!$I$17:$I$187,'[1]Pricing Calculator'!AA$17:AA$187,'[1]Pricing Calculator'!$AG$17:$AG$187))</f>
        <v>0</v>
      </c>
      <c r="V52" s="584" cm="1">
        <f t="array" ref="V52">IF($C52="",0,SUMPRODUCT(--('[1]Pricing Calculator'!$C$17:$C$187=$C52),'[1]Pricing Calculator'!$I$17:$I$187,'[1]Pricing Calculator'!AB$17:AB$187,'[1]Pricing Calculator'!$AG$17:$AG$187))</f>
        <v>0</v>
      </c>
      <c r="W52" s="585" cm="1">
        <f t="array" ref="W52">IF($C52="",0,SUMPRODUCT(--('[1]Pricing Calculator'!$C$17:$C$187=$C52),'[1]Pricing Calculator'!$I$17:$I$187,'[1]Pricing Calculator'!AC$17:AC$187,'[1]Pricing Calculator'!$AG$17:$AG$187))</f>
        <v>0</v>
      </c>
      <c r="X52" s="585" cm="1">
        <f t="array" ref="X52">IF($C52="",0,SUMPRODUCT(--('[1]Pricing Calculator'!$C$17:$C$187=$C52),'[1]Pricing Calculator'!$I$17:$I$187,'[1]Pricing Calculator'!AD$17:AD$187,'[1]Pricing Calculator'!$AG$17:$AG$187))</f>
        <v>0</v>
      </c>
      <c r="Y52" s="586" cm="1">
        <f t="array" ref="Y52">IF($C52="",0,SUMPRODUCT(--('[1]Pricing Calculator'!$C$17:$C$187=$C52),'[1]Pricing Calculator'!$I$17:$I$187,'[1]Pricing Calculator'!AE$17:AE$187,'[1]Pricing Calculator'!$AG$17:$AG$187))</f>
        <v>0</v>
      </c>
      <c r="Z52" s="586">
        <f t="shared" si="0"/>
        <v>0</v>
      </c>
      <c r="AB52" s="591" cm="1">
        <f t="array" ref="AB52">IF($C52="",0,SUMPRODUCT(--('[1]Pricing Calculator'!$C$17:$C$187=$C52),'[1]Pricing Calculator'!$I$17:$I$187,'[1]Pricing Calculator'!AM$17:AM$187,'[1]Pricing Calculator'!$AG$17:$AG$187))*IF('[1]Pricing Summary'!$B$4="Yes",1+'[1]Core Assumptions'!$D$26,1)</f>
        <v>0</v>
      </c>
      <c r="AC52" s="591" cm="1">
        <f t="array" ref="AC52">IF($C52="",0,SUMPRODUCT(--('[1]Pricing Calculator'!$C$17:$C$187=$C52),'[1]Pricing Calculator'!$I$17:$I$187,'[1]Pricing Calculator'!AO$17:AO$187,'[1]Pricing Calculator'!$AG$17:$AG$187))*IF('[1]Pricing Summary'!$B$4="Yes",1+'[1]Core Assumptions'!$D$26,1)</f>
        <v>0</v>
      </c>
    </row>
    <row r="53" spans="1:30" ht="15.75" hidden="1" customHeight="1" outlineLevel="1" x14ac:dyDescent="0.2">
      <c r="A53" s="242">
        <v>35</v>
      </c>
      <c r="B53" s="582" t="str">
        <f>IF('[1]Core Assumptions'!B66="","",CONCATENATE("Entity - ",'[1]Core Assumptions'!B66))</f>
        <v/>
      </c>
      <c r="C53" s="583" t="str">
        <f>IF('[1]Core Assumptions'!B66="","",'[1]Core Assumptions'!B66)</f>
        <v/>
      </c>
      <c r="D53" s="245" t="s">
        <v>11</v>
      </c>
      <c r="E53" s="588" cm="1">
        <f t="array" ref="E53">IF($C53="",0,SUMPRODUCT(--('[1]Pricing Calculator'!$C$17:$C$187=$C53),'[1]Pricing Calculator'!$I$17:$I$187,'[1]Pricing Calculator'!K$17:K$187,'[1]Pricing Calculator'!$AG$17:$AG$187))</f>
        <v>0</v>
      </c>
      <c r="F53" s="589" cm="1">
        <f t="array" ref="F53">IF($C53="",0,SUMPRODUCT(--('[1]Pricing Calculator'!$C$17:$C$187=$C53),'[1]Pricing Calculator'!$I$17:$I$187,'[1]Pricing Calculator'!L$17:L$187,'[1]Pricing Calculator'!$AG$17:$AG$187))</f>
        <v>0</v>
      </c>
      <c r="G53" s="589" cm="1">
        <f t="array" ref="G53">IF($C53="",0,SUMPRODUCT(--('[1]Pricing Calculator'!$C$17:$C$187=$C53),'[1]Pricing Calculator'!$I$17:$I$187,'[1]Pricing Calculator'!M$17:M$187,'[1]Pricing Calculator'!$AG$17:$AG$187))</f>
        <v>0</v>
      </c>
      <c r="H53" s="589" cm="1">
        <f t="array" ref="H53">IF($C53="",0,SUMPRODUCT(--('[1]Pricing Calculator'!$C$17:$C$187=$C53),'[1]Pricing Calculator'!$I$17:$I$187,'[1]Pricing Calculator'!N$17:N$187,'[1]Pricing Calculator'!$AG$17:$AG$187))</f>
        <v>0</v>
      </c>
      <c r="I53" s="589" cm="1">
        <f t="array" ref="I53">IF($C53="",0,SUMPRODUCT(--('[1]Pricing Calculator'!$C$17:$C$187=$C53),'[1]Pricing Calculator'!$I$17:$I$187,'[1]Pricing Calculator'!O$17:O$187,'[1]Pricing Calculator'!$AG$17:$AG$187))</f>
        <v>0</v>
      </c>
      <c r="J53" s="589" cm="1">
        <f t="array" ref="J53">IF($C53="",0,SUMPRODUCT(--('[1]Pricing Calculator'!$C$17:$C$187=$C53),'[1]Pricing Calculator'!$I$17:$I$187,'[1]Pricing Calculator'!P$17:P$187,'[1]Pricing Calculator'!$AG$17:$AG$187))</f>
        <v>0</v>
      </c>
      <c r="K53" s="589" cm="1">
        <f t="array" ref="K53">IF($C53="",0,SUMPRODUCT(--('[1]Pricing Calculator'!$C$17:$C$187=$C53),'[1]Pricing Calculator'!$I$17:$I$187,'[1]Pricing Calculator'!Q$17:Q$187,'[1]Pricing Calculator'!$AG$17:$AG$187))</f>
        <v>0</v>
      </c>
      <c r="L53" s="589" cm="1">
        <f t="array" ref="L53">IF($C53="",0,SUMPRODUCT(--('[1]Pricing Calculator'!$C$17:$C$187=$C53),'[1]Pricing Calculator'!$I$17:$I$187,'[1]Pricing Calculator'!R$17:R$187,'[1]Pricing Calculator'!$AG$17:$AG$187))</f>
        <v>0</v>
      </c>
      <c r="M53" s="589" cm="1">
        <f t="array" ref="M53">IF($C53="",0,SUMPRODUCT(--('[1]Pricing Calculator'!$C$17:$C$187=$C53),'[1]Pricing Calculator'!$I$17:$I$187,'[1]Pricing Calculator'!S$17:S$187,'[1]Pricing Calculator'!$AG$17:$AG$187))</f>
        <v>0</v>
      </c>
      <c r="N53" s="589" cm="1">
        <f t="array" ref="N53">IF($C53="",0,SUMPRODUCT(--('[1]Pricing Calculator'!$C$17:$C$187=$C53),'[1]Pricing Calculator'!$I$17:$I$187,'[1]Pricing Calculator'!T$17:T$187,'[1]Pricing Calculator'!$AG$17:$AG$187))</f>
        <v>0</v>
      </c>
      <c r="O53" s="588" cm="1">
        <f t="array" ref="O53">IF($C53="",0,SUMPRODUCT(--('[1]Pricing Calculator'!$C$17:$C$187=$C53),'[1]Pricing Calculator'!$I$17:$I$187,'[1]Pricing Calculator'!U$17:U$187,'[1]Pricing Calculator'!$AG$17:$AG$187))</f>
        <v>0</v>
      </c>
      <c r="P53" s="589" cm="1">
        <f t="array" ref="P53">IF($C53="",0,SUMPRODUCT(--('[1]Pricing Calculator'!$C$17:$C$187=$C53),'[1]Pricing Calculator'!$I$17:$I$187,'[1]Pricing Calculator'!V$17:V$187,'[1]Pricing Calculator'!$AG$17:$AG$187))</f>
        <v>0</v>
      </c>
      <c r="Q53" s="589" cm="1">
        <f t="array" ref="Q53">IF($C53="",0,SUMPRODUCT(--('[1]Pricing Calculator'!$C$17:$C$187=$C53),'[1]Pricing Calculator'!$I$17:$I$187,'[1]Pricing Calculator'!W$17:W$187,'[1]Pricing Calculator'!$AG$17:$AG$187))</f>
        <v>0</v>
      </c>
      <c r="R53" s="589" cm="1">
        <f t="array" ref="R53">IF($C53="",0,SUMPRODUCT(--('[1]Pricing Calculator'!$C$17:$C$187=$C53),'[1]Pricing Calculator'!$I$17:$I$187,'[1]Pricing Calculator'!X$17:X$187,'[1]Pricing Calculator'!$AG$17:$AG$187))</f>
        <v>0</v>
      </c>
      <c r="S53" s="589" cm="1">
        <f t="array" ref="S53">IF($C53="",0,SUMPRODUCT(--('[1]Pricing Calculator'!$C$17:$C$187=$C53),'[1]Pricing Calculator'!$I$17:$I$187,'[1]Pricing Calculator'!Y$17:Y$187,'[1]Pricing Calculator'!$AG$17:$AG$187))</f>
        <v>0</v>
      </c>
      <c r="T53" s="589" cm="1">
        <f t="array" ref="T53">IF($C53="",0,SUMPRODUCT(--('[1]Pricing Calculator'!$C$17:$C$187=$C53),'[1]Pricing Calculator'!$I$17:$I$187,'[1]Pricing Calculator'!Z$17:Z$187,'[1]Pricing Calculator'!$AG$17:$AG$187))</f>
        <v>0</v>
      </c>
      <c r="U53" s="590" cm="1">
        <f t="array" ref="U53">IF($C53="",0,SUMPRODUCT(--('[1]Pricing Calculator'!$C$17:$C$187=$C53),'[1]Pricing Calculator'!$I$17:$I$187,'[1]Pricing Calculator'!AA$17:AA$187,'[1]Pricing Calculator'!$AG$17:$AG$187))</f>
        <v>0</v>
      </c>
      <c r="V53" s="584" cm="1">
        <f t="array" ref="V53">IF($C53="",0,SUMPRODUCT(--('[1]Pricing Calculator'!$C$17:$C$187=$C53),'[1]Pricing Calculator'!$I$17:$I$187,'[1]Pricing Calculator'!AB$17:AB$187,'[1]Pricing Calculator'!$AG$17:$AG$187))</f>
        <v>0</v>
      </c>
      <c r="W53" s="585" cm="1">
        <f t="array" ref="W53">IF($C53="",0,SUMPRODUCT(--('[1]Pricing Calculator'!$C$17:$C$187=$C53),'[1]Pricing Calculator'!$I$17:$I$187,'[1]Pricing Calculator'!AC$17:AC$187,'[1]Pricing Calculator'!$AG$17:$AG$187))</f>
        <v>0</v>
      </c>
      <c r="X53" s="585" cm="1">
        <f t="array" ref="X53">IF($C53="",0,SUMPRODUCT(--('[1]Pricing Calculator'!$C$17:$C$187=$C53),'[1]Pricing Calculator'!$I$17:$I$187,'[1]Pricing Calculator'!AD$17:AD$187,'[1]Pricing Calculator'!$AG$17:$AG$187))</f>
        <v>0</v>
      </c>
      <c r="Y53" s="586" cm="1">
        <f t="array" ref="Y53">IF($C53="",0,SUMPRODUCT(--('[1]Pricing Calculator'!$C$17:$C$187=$C53),'[1]Pricing Calculator'!$I$17:$I$187,'[1]Pricing Calculator'!AE$17:AE$187,'[1]Pricing Calculator'!$AG$17:$AG$187))</f>
        <v>0</v>
      </c>
      <c r="Z53" s="586">
        <f t="shared" si="0"/>
        <v>0</v>
      </c>
      <c r="AB53" s="591" cm="1">
        <f t="array" ref="AB53">IF($C53="",0,SUMPRODUCT(--('[1]Pricing Calculator'!$C$17:$C$187=$C53),'[1]Pricing Calculator'!$I$17:$I$187,'[1]Pricing Calculator'!AM$17:AM$187,'[1]Pricing Calculator'!$AG$17:$AG$187))*IF('[1]Pricing Summary'!$B$4="Yes",1+'[1]Core Assumptions'!$D$26,1)</f>
        <v>0</v>
      </c>
      <c r="AC53" s="591" cm="1">
        <f t="array" ref="AC53">IF($C53="",0,SUMPRODUCT(--('[1]Pricing Calculator'!$C$17:$C$187=$C53),'[1]Pricing Calculator'!$I$17:$I$187,'[1]Pricing Calculator'!AO$17:AO$187,'[1]Pricing Calculator'!$AG$17:$AG$187))*IF('[1]Pricing Summary'!$B$4="Yes",1+'[1]Core Assumptions'!$D$26,1)</f>
        <v>0</v>
      </c>
    </row>
    <row r="54" spans="1:30" ht="15.75" hidden="1" customHeight="1" outlineLevel="1" x14ac:dyDescent="0.2">
      <c r="A54" s="242">
        <v>36</v>
      </c>
      <c r="B54" s="582" t="str">
        <f>IF('[1]Core Assumptions'!B67="","",CONCATENATE("Entity - ",'[1]Core Assumptions'!B67))</f>
        <v/>
      </c>
      <c r="C54" s="583" t="str">
        <f>IF('[1]Core Assumptions'!B67="","",'[1]Core Assumptions'!B67)</f>
        <v/>
      </c>
      <c r="D54" s="245" t="s">
        <v>11</v>
      </c>
      <c r="E54" s="588" cm="1">
        <f t="array" ref="E54">IF($C54="",0,SUMPRODUCT(--('[1]Pricing Calculator'!$C$17:$C$187=$C54),'[1]Pricing Calculator'!$I$17:$I$187,'[1]Pricing Calculator'!K$17:K$187,'[1]Pricing Calculator'!$AG$17:$AG$187))</f>
        <v>0</v>
      </c>
      <c r="F54" s="589" cm="1">
        <f t="array" ref="F54">IF($C54="",0,SUMPRODUCT(--('[1]Pricing Calculator'!$C$17:$C$187=$C54),'[1]Pricing Calculator'!$I$17:$I$187,'[1]Pricing Calculator'!L$17:L$187,'[1]Pricing Calculator'!$AG$17:$AG$187))</f>
        <v>0</v>
      </c>
      <c r="G54" s="589" cm="1">
        <f t="array" ref="G54">IF($C54="",0,SUMPRODUCT(--('[1]Pricing Calculator'!$C$17:$C$187=$C54),'[1]Pricing Calculator'!$I$17:$I$187,'[1]Pricing Calculator'!M$17:M$187,'[1]Pricing Calculator'!$AG$17:$AG$187))</f>
        <v>0</v>
      </c>
      <c r="H54" s="589" cm="1">
        <f t="array" ref="H54">IF($C54="",0,SUMPRODUCT(--('[1]Pricing Calculator'!$C$17:$C$187=$C54),'[1]Pricing Calculator'!$I$17:$I$187,'[1]Pricing Calculator'!N$17:N$187,'[1]Pricing Calculator'!$AG$17:$AG$187))</f>
        <v>0</v>
      </c>
      <c r="I54" s="589" cm="1">
        <f t="array" ref="I54">IF($C54="",0,SUMPRODUCT(--('[1]Pricing Calculator'!$C$17:$C$187=$C54),'[1]Pricing Calculator'!$I$17:$I$187,'[1]Pricing Calculator'!O$17:O$187,'[1]Pricing Calculator'!$AG$17:$AG$187))</f>
        <v>0</v>
      </c>
      <c r="J54" s="589" cm="1">
        <f t="array" ref="J54">IF($C54="",0,SUMPRODUCT(--('[1]Pricing Calculator'!$C$17:$C$187=$C54),'[1]Pricing Calculator'!$I$17:$I$187,'[1]Pricing Calculator'!P$17:P$187,'[1]Pricing Calculator'!$AG$17:$AG$187))</f>
        <v>0</v>
      </c>
      <c r="K54" s="589" cm="1">
        <f t="array" ref="K54">IF($C54="",0,SUMPRODUCT(--('[1]Pricing Calculator'!$C$17:$C$187=$C54),'[1]Pricing Calculator'!$I$17:$I$187,'[1]Pricing Calculator'!Q$17:Q$187,'[1]Pricing Calculator'!$AG$17:$AG$187))</f>
        <v>0</v>
      </c>
      <c r="L54" s="589" cm="1">
        <f t="array" ref="L54">IF($C54="",0,SUMPRODUCT(--('[1]Pricing Calculator'!$C$17:$C$187=$C54),'[1]Pricing Calculator'!$I$17:$I$187,'[1]Pricing Calculator'!R$17:R$187,'[1]Pricing Calculator'!$AG$17:$AG$187))</f>
        <v>0</v>
      </c>
      <c r="M54" s="589" cm="1">
        <f t="array" ref="M54">IF($C54="",0,SUMPRODUCT(--('[1]Pricing Calculator'!$C$17:$C$187=$C54),'[1]Pricing Calculator'!$I$17:$I$187,'[1]Pricing Calculator'!S$17:S$187,'[1]Pricing Calculator'!$AG$17:$AG$187))</f>
        <v>0</v>
      </c>
      <c r="N54" s="589" cm="1">
        <f t="array" ref="N54">IF($C54="",0,SUMPRODUCT(--('[1]Pricing Calculator'!$C$17:$C$187=$C54),'[1]Pricing Calculator'!$I$17:$I$187,'[1]Pricing Calculator'!T$17:T$187,'[1]Pricing Calculator'!$AG$17:$AG$187))</f>
        <v>0</v>
      </c>
      <c r="O54" s="588" cm="1">
        <f t="array" ref="O54">IF($C54="",0,SUMPRODUCT(--('[1]Pricing Calculator'!$C$17:$C$187=$C54),'[1]Pricing Calculator'!$I$17:$I$187,'[1]Pricing Calculator'!U$17:U$187,'[1]Pricing Calculator'!$AG$17:$AG$187))</f>
        <v>0</v>
      </c>
      <c r="P54" s="589" cm="1">
        <f t="array" ref="P54">IF($C54="",0,SUMPRODUCT(--('[1]Pricing Calculator'!$C$17:$C$187=$C54),'[1]Pricing Calculator'!$I$17:$I$187,'[1]Pricing Calculator'!V$17:V$187,'[1]Pricing Calculator'!$AG$17:$AG$187))</f>
        <v>0</v>
      </c>
      <c r="Q54" s="589" cm="1">
        <f t="array" ref="Q54">IF($C54="",0,SUMPRODUCT(--('[1]Pricing Calculator'!$C$17:$C$187=$C54),'[1]Pricing Calculator'!$I$17:$I$187,'[1]Pricing Calculator'!W$17:W$187,'[1]Pricing Calculator'!$AG$17:$AG$187))</f>
        <v>0</v>
      </c>
      <c r="R54" s="589" cm="1">
        <f t="array" ref="R54">IF($C54="",0,SUMPRODUCT(--('[1]Pricing Calculator'!$C$17:$C$187=$C54),'[1]Pricing Calculator'!$I$17:$I$187,'[1]Pricing Calculator'!X$17:X$187,'[1]Pricing Calculator'!$AG$17:$AG$187))</f>
        <v>0</v>
      </c>
      <c r="S54" s="589" cm="1">
        <f t="array" ref="S54">IF($C54="",0,SUMPRODUCT(--('[1]Pricing Calculator'!$C$17:$C$187=$C54),'[1]Pricing Calculator'!$I$17:$I$187,'[1]Pricing Calculator'!Y$17:Y$187,'[1]Pricing Calculator'!$AG$17:$AG$187))</f>
        <v>0</v>
      </c>
      <c r="T54" s="589" cm="1">
        <f t="array" ref="T54">IF($C54="",0,SUMPRODUCT(--('[1]Pricing Calculator'!$C$17:$C$187=$C54),'[1]Pricing Calculator'!$I$17:$I$187,'[1]Pricing Calculator'!Z$17:Z$187,'[1]Pricing Calculator'!$AG$17:$AG$187))</f>
        <v>0</v>
      </c>
      <c r="U54" s="590" cm="1">
        <f t="array" ref="U54">IF($C54="",0,SUMPRODUCT(--('[1]Pricing Calculator'!$C$17:$C$187=$C54),'[1]Pricing Calculator'!$I$17:$I$187,'[1]Pricing Calculator'!AA$17:AA$187,'[1]Pricing Calculator'!$AG$17:$AG$187))</f>
        <v>0</v>
      </c>
      <c r="V54" s="584" cm="1">
        <f t="array" ref="V54">IF($C54="",0,SUMPRODUCT(--('[1]Pricing Calculator'!$C$17:$C$187=$C54),'[1]Pricing Calculator'!$I$17:$I$187,'[1]Pricing Calculator'!AB$17:AB$187,'[1]Pricing Calculator'!$AG$17:$AG$187))</f>
        <v>0</v>
      </c>
      <c r="W54" s="585" cm="1">
        <f t="array" ref="W54">IF($C54="",0,SUMPRODUCT(--('[1]Pricing Calculator'!$C$17:$C$187=$C54),'[1]Pricing Calculator'!$I$17:$I$187,'[1]Pricing Calculator'!AC$17:AC$187,'[1]Pricing Calculator'!$AG$17:$AG$187))</f>
        <v>0</v>
      </c>
      <c r="X54" s="585" cm="1">
        <f t="array" ref="X54">IF($C54="",0,SUMPRODUCT(--('[1]Pricing Calculator'!$C$17:$C$187=$C54),'[1]Pricing Calculator'!$I$17:$I$187,'[1]Pricing Calculator'!AD$17:AD$187,'[1]Pricing Calculator'!$AG$17:$AG$187))</f>
        <v>0</v>
      </c>
      <c r="Y54" s="586" cm="1">
        <f t="array" ref="Y54">IF($C54="",0,SUMPRODUCT(--('[1]Pricing Calculator'!$C$17:$C$187=$C54),'[1]Pricing Calculator'!$I$17:$I$187,'[1]Pricing Calculator'!AE$17:AE$187,'[1]Pricing Calculator'!$AG$17:$AG$187))</f>
        <v>0</v>
      </c>
      <c r="Z54" s="586">
        <f t="shared" si="0"/>
        <v>0</v>
      </c>
      <c r="AB54" s="591" cm="1">
        <f t="array" ref="AB54">IF($C54="",0,SUMPRODUCT(--('[1]Pricing Calculator'!$C$17:$C$187=$C54),'[1]Pricing Calculator'!$I$17:$I$187,'[1]Pricing Calculator'!AM$17:AM$187,'[1]Pricing Calculator'!$AG$17:$AG$187))*IF('[1]Pricing Summary'!$B$4="Yes",1+'[1]Core Assumptions'!$D$26,1)</f>
        <v>0</v>
      </c>
      <c r="AC54" s="591" cm="1">
        <f t="array" ref="AC54">IF($C54="",0,SUMPRODUCT(--('[1]Pricing Calculator'!$C$17:$C$187=$C54),'[1]Pricing Calculator'!$I$17:$I$187,'[1]Pricing Calculator'!AO$17:AO$187,'[1]Pricing Calculator'!$AG$17:$AG$187))*IF('[1]Pricing Summary'!$B$4="Yes",1+'[1]Core Assumptions'!$D$26,1)</f>
        <v>0</v>
      </c>
    </row>
    <row r="55" spans="1:30" ht="15.75" hidden="1" customHeight="1" outlineLevel="1" x14ac:dyDescent="0.2">
      <c r="A55" s="242">
        <v>37</v>
      </c>
      <c r="B55" s="582" t="str">
        <f>IF('[1]Core Assumptions'!B68="","",CONCATENATE("Entity - ",'[1]Core Assumptions'!B68))</f>
        <v/>
      </c>
      <c r="C55" s="583" t="str">
        <f>IF('[1]Core Assumptions'!B68="","",'[1]Core Assumptions'!B68)</f>
        <v/>
      </c>
      <c r="D55" s="245" t="s">
        <v>11</v>
      </c>
      <c r="E55" s="588" cm="1">
        <f t="array" ref="E55">IF($C55="",0,SUMPRODUCT(--('[1]Pricing Calculator'!$C$17:$C$187=$C55),'[1]Pricing Calculator'!$I$17:$I$187,'[1]Pricing Calculator'!K$17:K$187,'[1]Pricing Calculator'!$AG$17:$AG$187))</f>
        <v>0</v>
      </c>
      <c r="F55" s="589" cm="1">
        <f t="array" ref="F55">IF($C55="",0,SUMPRODUCT(--('[1]Pricing Calculator'!$C$17:$C$187=$C55),'[1]Pricing Calculator'!$I$17:$I$187,'[1]Pricing Calculator'!L$17:L$187,'[1]Pricing Calculator'!$AG$17:$AG$187))</f>
        <v>0</v>
      </c>
      <c r="G55" s="589" cm="1">
        <f t="array" ref="G55">IF($C55="",0,SUMPRODUCT(--('[1]Pricing Calculator'!$C$17:$C$187=$C55),'[1]Pricing Calculator'!$I$17:$I$187,'[1]Pricing Calculator'!M$17:M$187,'[1]Pricing Calculator'!$AG$17:$AG$187))</f>
        <v>0</v>
      </c>
      <c r="H55" s="589" cm="1">
        <f t="array" ref="H55">IF($C55="",0,SUMPRODUCT(--('[1]Pricing Calculator'!$C$17:$C$187=$C55),'[1]Pricing Calculator'!$I$17:$I$187,'[1]Pricing Calculator'!N$17:N$187,'[1]Pricing Calculator'!$AG$17:$AG$187))</f>
        <v>0</v>
      </c>
      <c r="I55" s="589" cm="1">
        <f t="array" ref="I55">IF($C55="",0,SUMPRODUCT(--('[1]Pricing Calculator'!$C$17:$C$187=$C55),'[1]Pricing Calculator'!$I$17:$I$187,'[1]Pricing Calculator'!O$17:O$187,'[1]Pricing Calculator'!$AG$17:$AG$187))</f>
        <v>0</v>
      </c>
      <c r="J55" s="589" cm="1">
        <f t="array" ref="J55">IF($C55="",0,SUMPRODUCT(--('[1]Pricing Calculator'!$C$17:$C$187=$C55),'[1]Pricing Calculator'!$I$17:$I$187,'[1]Pricing Calculator'!P$17:P$187,'[1]Pricing Calculator'!$AG$17:$AG$187))</f>
        <v>0</v>
      </c>
      <c r="K55" s="589" cm="1">
        <f t="array" ref="K55">IF($C55="",0,SUMPRODUCT(--('[1]Pricing Calculator'!$C$17:$C$187=$C55),'[1]Pricing Calculator'!$I$17:$I$187,'[1]Pricing Calculator'!Q$17:Q$187,'[1]Pricing Calculator'!$AG$17:$AG$187))</f>
        <v>0</v>
      </c>
      <c r="L55" s="589" cm="1">
        <f t="array" ref="L55">IF($C55="",0,SUMPRODUCT(--('[1]Pricing Calculator'!$C$17:$C$187=$C55),'[1]Pricing Calculator'!$I$17:$I$187,'[1]Pricing Calculator'!R$17:R$187,'[1]Pricing Calculator'!$AG$17:$AG$187))</f>
        <v>0</v>
      </c>
      <c r="M55" s="589" cm="1">
        <f t="array" ref="M55">IF($C55="",0,SUMPRODUCT(--('[1]Pricing Calculator'!$C$17:$C$187=$C55),'[1]Pricing Calculator'!$I$17:$I$187,'[1]Pricing Calculator'!S$17:S$187,'[1]Pricing Calculator'!$AG$17:$AG$187))</f>
        <v>0</v>
      </c>
      <c r="N55" s="589" cm="1">
        <f t="array" ref="N55">IF($C55="",0,SUMPRODUCT(--('[1]Pricing Calculator'!$C$17:$C$187=$C55),'[1]Pricing Calculator'!$I$17:$I$187,'[1]Pricing Calculator'!T$17:T$187,'[1]Pricing Calculator'!$AG$17:$AG$187))</f>
        <v>0</v>
      </c>
      <c r="O55" s="588" cm="1">
        <f t="array" ref="O55">IF($C55="",0,SUMPRODUCT(--('[1]Pricing Calculator'!$C$17:$C$187=$C55),'[1]Pricing Calculator'!$I$17:$I$187,'[1]Pricing Calculator'!U$17:U$187,'[1]Pricing Calculator'!$AG$17:$AG$187))</f>
        <v>0</v>
      </c>
      <c r="P55" s="589" cm="1">
        <f t="array" ref="P55">IF($C55="",0,SUMPRODUCT(--('[1]Pricing Calculator'!$C$17:$C$187=$C55),'[1]Pricing Calculator'!$I$17:$I$187,'[1]Pricing Calculator'!V$17:V$187,'[1]Pricing Calculator'!$AG$17:$AG$187))</f>
        <v>0</v>
      </c>
      <c r="Q55" s="589" cm="1">
        <f t="array" ref="Q55">IF($C55="",0,SUMPRODUCT(--('[1]Pricing Calculator'!$C$17:$C$187=$C55),'[1]Pricing Calculator'!$I$17:$I$187,'[1]Pricing Calculator'!W$17:W$187,'[1]Pricing Calculator'!$AG$17:$AG$187))</f>
        <v>0</v>
      </c>
      <c r="R55" s="589" cm="1">
        <f t="array" ref="R55">IF($C55="",0,SUMPRODUCT(--('[1]Pricing Calculator'!$C$17:$C$187=$C55),'[1]Pricing Calculator'!$I$17:$I$187,'[1]Pricing Calculator'!X$17:X$187,'[1]Pricing Calculator'!$AG$17:$AG$187))</f>
        <v>0</v>
      </c>
      <c r="S55" s="589" cm="1">
        <f t="array" ref="S55">IF($C55="",0,SUMPRODUCT(--('[1]Pricing Calculator'!$C$17:$C$187=$C55),'[1]Pricing Calculator'!$I$17:$I$187,'[1]Pricing Calculator'!Y$17:Y$187,'[1]Pricing Calculator'!$AG$17:$AG$187))</f>
        <v>0</v>
      </c>
      <c r="T55" s="589" cm="1">
        <f t="array" ref="T55">IF($C55="",0,SUMPRODUCT(--('[1]Pricing Calculator'!$C$17:$C$187=$C55),'[1]Pricing Calculator'!$I$17:$I$187,'[1]Pricing Calculator'!Z$17:Z$187,'[1]Pricing Calculator'!$AG$17:$AG$187))</f>
        <v>0</v>
      </c>
      <c r="U55" s="590" cm="1">
        <f t="array" ref="U55">IF($C55="",0,SUMPRODUCT(--('[1]Pricing Calculator'!$C$17:$C$187=$C55),'[1]Pricing Calculator'!$I$17:$I$187,'[1]Pricing Calculator'!AA$17:AA$187,'[1]Pricing Calculator'!$AG$17:$AG$187))</f>
        <v>0</v>
      </c>
      <c r="V55" s="584" cm="1">
        <f t="array" ref="V55">IF($C55="",0,SUMPRODUCT(--('[1]Pricing Calculator'!$C$17:$C$187=$C55),'[1]Pricing Calculator'!$I$17:$I$187,'[1]Pricing Calculator'!AB$17:AB$187,'[1]Pricing Calculator'!$AG$17:$AG$187))</f>
        <v>0</v>
      </c>
      <c r="W55" s="585" cm="1">
        <f t="array" ref="W55">IF($C55="",0,SUMPRODUCT(--('[1]Pricing Calculator'!$C$17:$C$187=$C55),'[1]Pricing Calculator'!$I$17:$I$187,'[1]Pricing Calculator'!AC$17:AC$187,'[1]Pricing Calculator'!$AG$17:$AG$187))</f>
        <v>0</v>
      </c>
      <c r="X55" s="585" cm="1">
        <f t="array" ref="X55">IF($C55="",0,SUMPRODUCT(--('[1]Pricing Calculator'!$C$17:$C$187=$C55),'[1]Pricing Calculator'!$I$17:$I$187,'[1]Pricing Calculator'!AD$17:AD$187,'[1]Pricing Calculator'!$AG$17:$AG$187))</f>
        <v>0</v>
      </c>
      <c r="Y55" s="586" cm="1">
        <f t="array" ref="Y55">IF($C55="",0,SUMPRODUCT(--('[1]Pricing Calculator'!$C$17:$C$187=$C55),'[1]Pricing Calculator'!$I$17:$I$187,'[1]Pricing Calculator'!AE$17:AE$187,'[1]Pricing Calculator'!$AG$17:$AG$187))</f>
        <v>0</v>
      </c>
      <c r="Z55" s="586">
        <f t="shared" si="0"/>
        <v>0</v>
      </c>
      <c r="AB55" s="591" cm="1">
        <f t="array" ref="AB55">IF($C55="",0,SUMPRODUCT(--('[1]Pricing Calculator'!$C$17:$C$187=$C55),'[1]Pricing Calculator'!$I$17:$I$187,'[1]Pricing Calculator'!AM$17:AM$187,'[1]Pricing Calculator'!$AG$17:$AG$187))*IF('[1]Pricing Summary'!$B$4="Yes",1+'[1]Core Assumptions'!$D$26,1)</f>
        <v>0</v>
      </c>
      <c r="AC55" s="591" cm="1">
        <f t="array" ref="AC55">IF($C55="",0,SUMPRODUCT(--('[1]Pricing Calculator'!$C$17:$C$187=$C55),'[1]Pricing Calculator'!$I$17:$I$187,'[1]Pricing Calculator'!AO$17:AO$187,'[1]Pricing Calculator'!$AG$17:$AG$187))*IF('[1]Pricing Summary'!$B$4="Yes",1+'[1]Core Assumptions'!$D$26,1)</f>
        <v>0</v>
      </c>
    </row>
    <row r="56" spans="1:30" ht="15.75" hidden="1" customHeight="1" outlineLevel="1" x14ac:dyDescent="0.2">
      <c r="A56" s="242">
        <v>38</v>
      </c>
      <c r="B56" s="582" t="str">
        <f>IF('[1]Core Assumptions'!B69="","",CONCATENATE("Entity - ",'[1]Core Assumptions'!B69))</f>
        <v/>
      </c>
      <c r="C56" s="583" t="str">
        <f>IF('[1]Core Assumptions'!B69="","",'[1]Core Assumptions'!B69)</f>
        <v/>
      </c>
      <c r="D56" s="245" t="s">
        <v>11</v>
      </c>
      <c r="E56" s="588" cm="1">
        <f t="array" ref="E56">IF($C56="",0,SUMPRODUCT(--('[1]Pricing Calculator'!$C$17:$C$187=$C56),'[1]Pricing Calculator'!$I$17:$I$187,'[1]Pricing Calculator'!K$17:K$187,'[1]Pricing Calculator'!$AG$17:$AG$187))</f>
        <v>0</v>
      </c>
      <c r="F56" s="589" cm="1">
        <f t="array" ref="F56">IF($C56="",0,SUMPRODUCT(--('[1]Pricing Calculator'!$C$17:$C$187=$C56),'[1]Pricing Calculator'!$I$17:$I$187,'[1]Pricing Calculator'!L$17:L$187,'[1]Pricing Calculator'!$AG$17:$AG$187))</f>
        <v>0</v>
      </c>
      <c r="G56" s="589" cm="1">
        <f t="array" ref="G56">IF($C56="",0,SUMPRODUCT(--('[1]Pricing Calculator'!$C$17:$C$187=$C56),'[1]Pricing Calculator'!$I$17:$I$187,'[1]Pricing Calculator'!M$17:M$187,'[1]Pricing Calculator'!$AG$17:$AG$187))</f>
        <v>0</v>
      </c>
      <c r="H56" s="589" cm="1">
        <f t="array" ref="H56">IF($C56="",0,SUMPRODUCT(--('[1]Pricing Calculator'!$C$17:$C$187=$C56),'[1]Pricing Calculator'!$I$17:$I$187,'[1]Pricing Calculator'!N$17:N$187,'[1]Pricing Calculator'!$AG$17:$AG$187))</f>
        <v>0</v>
      </c>
      <c r="I56" s="589" cm="1">
        <f t="array" ref="I56">IF($C56="",0,SUMPRODUCT(--('[1]Pricing Calculator'!$C$17:$C$187=$C56),'[1]Pricing Calculator'!$I$17:$I$187,'[1]Pricing Calculator'!O$17:O$187,'[1]Pricing Calculator'!$AG$17:$AG$187))</f>
        <v>0</v>
      </c>
      <c r="J56" s="589" cm="1">
        <f t="array" ref="J56">IF($C56="",0,SUMPRODUCT(--('[1]Pricing Calculator'!$C$17:$C$187=$C56),'[1]Pricing Calculator'!$I$17:$I$187,'[1]Pricing Calculator'!P$17:P$187,'[1]Pricing Calculator'!$AG$17:$AG$187))</f>
        <v>0</v>
      </c>
      <c r="K56" s="589" cm="1">
        <f t="array" ref="K56">IF($C56="",0,SUMPRODUCT(--('[1]Pricing Calculator'!$C$17:$C$187=$C56),'[1]Pricing Calculator'!$I$17:$I$187,'[1]Pricing Calculator'!Q$17:Q$187,'[1]Pricing Calculator'!$AG$17:$AG$187))</f>
        <v>0</v>
      </c>
      <c r="L56" s="589" cm="1">
        <f t="array" ref="L56">IF($C56="",0,SUMPRODUCT(--('[1]Pricing Calculator'!$C$17:$C$187=$C56),'[1]Pricing Calculator'!$I$17:$I$187,'[1]Pricing Calculator'!R$17:R$187,'[1]Pricing Calculator'!$AG$17:$AG$187))</f>
        <v>0</v>
      </c>
      <c r="M56" s="589" cm="1">
        <f t="array" ref="M56">IF($C56="",0,SUMPRODUCT(--('[1]Pricing Calculator'!$C$17:$C$187=$C56),'[1]Pricing Calculator'!$I$17:$I$187,'[1]Pricing Calculator'!S$17:S$187,'[1]Pricing Calculator'!$AG$17:$AG$187))</f>
        <v>0</v>
      </c>
      <c r="N56" s="589" cm="1">
        <f t="array" ref="N56">IF($C56="",0,SUMPRODUCT(--('[1]Pricing Calculator'!$C$17:$C$187=$C56),'[1]Pricing Calculator'!$I$17:$I$187,'[1]Pricing Calculator'!T$17:T$187,'[1]Pricing Calculator'!$AG$17:$AG$187))</f>
        <v>0</v>
      </c>
      <c r="O56" s="588" cm="1">
        <f t="array" ref="O56">IF($C56="",0,SUMPRODUCT(--('[1]Pricing Calculator'!$C$17:$C$187=$C56),'[1]Pricing Calculator'!$I$17:$I$187,'[1]Pricing Calculator'!U$17:U$187,'[1]Pricing Calculator'!$AG$17:$AG$187))</f>
        <v>0</v>
      </c>
      <c r="P56" s="589" cm="1">
        <f t="array" ref="P56">IF($C56="",0,SUMPRODUCT(--('[1]Pricing Calculator'!$C$17:$C$187=$C56),'[1]Pricing Calculator'!$I$17:$I$187,'[1]Pricing Calculator'!V$17:V$187,'[1]Pricing Calculator'!$AG$17:$AG$187))</f>
        <v>0</v>
      </c>
      <c r="Q56" s="589" cm="1">
        <f t="array" ref="Q56">IF($C56="",0,SUMPRODUCT(--('[1]Pricing Calculator'!$C$17:$C$187=$C56),'[1]Pricing Calculator'!$I$17:$I$187,'[1]Pricing Calculator'!W$17:W$187,'[1]Pricing Calculator'!$AG$17:$AG$187))</f>
        <v>0</v>
      </c>
      <c r="R56" s="589" cm="1">
        <f t="array" ref="R56">IF($C56="",0,SUMPRODUCT(--('[1]Pricing Calculator'!$C$17:$C$187=$C56),'[1]Pricing Calculator'!$I$17:$I$187,'[1]Pricing Calculator'!X$17:X$187,'[1]Pricing Calculator'!$AG$17:$AG$187))</f>
        <v>0</v>
      </c>
      <c r="S56" s="589" cm="1">
        <f t="array" ref="S56">IF($C56="",0,SUMPRODUCT(--('[1]Pricing Calculator'!$C$17:$C$187=$C56),'[1]Pricing Calculator'!$I$17:$I$187,'[1]Pricing Calculator'!Y$17:Y$187,'[1]Pricing Calculator'!$AG$17:$AG$187))</f>
        <v>0</v>
      </c>
      <c r="T56" s="589" cm="1">
        <f t="array" ref="T56">IF($C56="",0,SUMPRODUCT(--('[1]Pricing Calculator'!$C$17:$C$187=$C56),'[1]Pricing Calculator'!$I$17:$I$187,'[1]Pricing Calculator'!Z$17:Z$187,'[1]Pricing Calculator'!$AG$17:$AG$187))</f>
        <v>0</v>
      </c>
      <c r="U56" s="590" cm="1">
        <f t="array" ref="U56">IF($C56="",0,SUMPRODUCT(--('[1]Pricing Calculator'!$C$17:$C$187=$C56),'[1]Pricing Calculator'!$I$17:$I$187,'[1]Pricing Calculator'!AA$17:AA$187,'[1]Pricing Calculator'!$AG$17:$AG$187))</f>
        <v>0</v>
      </c>
      <c r="V56" s="584" cm="1">
        <f t="array" ref="V56">IF($C56="",0,SUMPRODUCT(--('[1]Pricing Calculator'!$C$17:$C$187=$C56),'[1]Pricing Calculator'!$I$17:$I$187,'[1]Pricing Calculator'!AB$17:AB$187,'[1]Pricing Calculator'!$AG$17:$AG$187))</f>
        <v>0</v>
      </c>
      <c r="W56" s="585" cm="1">
        <f t="array" ref="W56">IF($C56="",0,SUMPRODUCT(--('[1]Pricing Calculator'!$C$17:$C$187=$C56),'[1]Pricing Calculator'!$I$17:$I$187,'[1]Pricing Calculator'!AC$17:AC$187,'[1]Pricing Calculator'!$AG$17:$AG$187))</f>
        <v>0</v>
      </c>
      <c r="X56" s="585" cm="1">
        <f t="array" ref="X56">IF($C56="",0,SUMPRODUCT(--('[1]Pricing Calculator'!$C$17:$C$187=$C56),'[1]Pricing Calculator'!$I$17:$I$187,'[1]Pricing Calculator'!AD$17:AD$187,'[1]Pricing Calculator'!$AG$17:$AG$187))</f>
        <v>0</v>
      </c>
      <c r="Y56" s="586" cm="1">
        <f t="array" ref="Y56">IF($C56="",0,SUMPRODUCT(--('[1]Pricing Calculator'!$C$17:$C$187=$C56),'[1]Pricing Calculator'!$I$17:$I$187,'[1]Pricing Calculator'!AE$17:AE$187,'[1]Pricing Calculator'!$AG$17:$AG$187))</f>
        <v>0</v>
      </c>
      <c r="Z56" s="586">
        <f t="shared" si="0"/>
        <v>0</v>
      </c>
      <c r="AB56" s="591" cm="1">
        <f t="array" ref="AB56">IF($C56="",0,SUMPRODUCT(--('[1]Pricing Calculator'!$C$17:$C$187=$C56),'[1]Pricing Calculator'!$I$17:$I$187,'[1]Pricing Calculator'!AM$17:AM$187,'[1]Pricing Calculator'!$AG$17:$AG$187))*IF('[1]Pricing Summary'!$B$4="Yes",1+'[1]Core Assumptions'!$D$26,1)</f>
        <v>0</v>
      </c>
      <c r="AC56" s="591" cm="1">
        <f t="array" ref="AC56">IF($C56="",0,SUMPRODUCT(--('[1]Pricing Calculator'!$C$17:$C$187=$C56),'[1]Pricing Calculator'!$I$17:$I$187,'[1]Pricing Calculator'!AO$17:AO$187,'[1]Pricing Calculator'!$AG$17:$AG$187))*IF('[1]Pricing Summary'!$B$4="Yes",1+'[1]Core Assumptions'!$D$26,1)</f>
        <v>0</v>
      </c>
    </row>
    <row r="57" spans="1:30" ht="15.75" hidden="1" customHeight="1" outlineLevel="1" x14ac:dyDescent="0.2">
      <c r="A57" s="242">
        <v>39</v>
      </c>
      <c r="B57" s="582" t="str">
        <f>IF('[1]Core Assumptions'!B70="","",CONCATENATE("Entity - ",'[1]Core Assumptions'!B70))</f>
        <v/>
      </c>
      <c r="C57" s="583" t="str">
        <f>IF('[1]Core Assumptions'!B70="","",'[1]Core Assumptions'!B70)</f>
        <v/>
      </c>
      <c r="D57" s="245" t="s">
        <v>11</v>
      </c>
      <c r="E57" s="588" cm="1">
        <f t="array" ref="E57">IF($C57="",0,SUMPRODUCT(--('[1]Pricing Calculator'!$C$17:$C$187=$C57),'[1]Pricing Calculator'!$I$17:$I$187,'[1]Pricing Calculator'!K$17:K$187,'[1]Pricing Calculator'!$AG$17:$AG$187))</f>
        <v>0</v>
      </c>
      <c r="F57" s="589" cm="1">
        <f t="array" ref="F57">IF($C57="",0,SUMPRODUCT(--('[1]Pricing Calculator'!$C$17:$C$187=$C57),'[1]Pricing Calculator'!$I$17:$I$187,'[1]Pricing Calculator'!L$17:L$187,'[1]Pricing Calculator'!$AG$17:$AG$187))</f>
        <v>0</v>
      </c>
      <c r="G57" s="589" cm="1">
        <f t="array" ref="G57">IF($C57="",0,SUMPRODUCT(--('[1]Pricing Calculator'!$C$17:$C$187=$C57),'[1]Pricing Calculator'!$I$17:$I$187,'[1]Pricing Calculator'!M$17:M$187,'[1]Pricing Calculator'!$AG$17:$AG$187))</f>
        <v>0</v>
      </c>
      <c r="H57" s="589" cm="1">
        <f t="array" ref="H57">IF($C57="",0,SUMPRODUCT(--('[1]Pricing Calculator'!$C$17:$C$187=$C57),'[1]Pricing Calculator'!$I$17:$I$187,'[1]Pricing Calculator'!N$17:N$187,'[1]Pricing Calculator'!$AG$17:$AG$187))</f>
        <v>0</v>
      </c>
      <c r="I57" s="589" cm="1">
        <f t="array" ref="I57">IF($C57="",0,SUMPRODUCT(--('[1]Pricing Calculator'!$C$17:$C$187=$C57),'[1]Pricing Calculator'!$I$17:$I$187,'[1]Pricing Calculator'!O$17:O$187,'[1]Pricing Calculator'!$AG$17:$AG$187))</f>
        <v>0</v>
      </c>
      <c r="J57" s="589" cm="1">
        <f t="array" ref="J57">IF($C57="",0,SUMPRODUCT(--('[1]Pricing Calculator'!$C$17:$C$187=$C57),'[1]Pricing Calculator'!$I$17:$I$187,'[1]Pricing Calculator'!P$17:P$187,'[1]Pricing Calculator'!$AG$17:$AG$187))</f>
        <v>0</v>
      </c>
      <c r="K57" s="589" cm="1">
        <f t="array" ref="K57">IF($C57="",0,SUMPRODUCT(--('[1]Pricing Calculator'!$C$17:$C$187=$C57),'[1]Pricing Calculator'!$I$17:$I$187,'[1]Pricing Calculator'!Q$17:Q$187,'[1]Pricing Calculator'!$AG$17:$AG$187))</f>
        <v>0</v>
      </c>
      <c r="L57" s="589" cm="1">
        <f t="array" ref="L57">IF($C57="",0,SUMPRODUCT(--('[1]Pricing Calculator'!$C$17:$C$187=$C57),'[1]Pricing Calculator'!$I$17:$I$187,'[1]Pricing Calculator'!R$17:R$187,'[1]Pricing Calculator'!$AG$17:$AG$187))</f>
        <v>0</v>
      </c>
      <c r="M57" s="589" cm="1">
        <f t="array" ref="M57">IF($C57="",0,SUMPRODUCT(--('[1]Pricing Calculator'!$C$17:$C$187=$C57),'[1]Pricing Calculator'!$I$17:$I$187,'[1]Pricing Calculator'!S$17:S$187,'[1]Pricing Calculator'!$AG$17:$AG$187))</f>
        <v>0</v>
      </c>
      <c r="N57" s="589" cm="1">
        <f t="array" ref="N57">IF($C57="",0,SUMPRODUCT(--('[1]Pricing Calculator'!$C$17:$C$187=$C57),'[1]Pricing Calculator'!$I$17:$I$187,'[1]Pricing Calculator'!T$17:T$187,'[1]Pricing Calculator'!$AG$17:$AG$187))</f>
        <v>0</v>
      </c>
      <c r="O57" s="588" cm="1">
        <f t="array" ref="O57">IF($C57="",0,SUMPRODUCT(--('[1]Pricing Calculator'!$C$17:$C$187=$C57),'[1]Pricing Calculator'!$I$17:$I$187,'[1]Pricing Calculator'!U$17:U$187,'[1]Pricing Calculator'!$AG$17:$AG$187))</f>
        <v>0</v>
      </c>
      <c r="P57" s="589" cm="1">
        <f t="array" ref="P57">IF($C57="",0,SUMPRODUCT(--('[1]Pricing Calculator'!$C$17:$C$187=$C57),'[1]Pricing Calculator'!$I$17:$I$187,'[1]Pricing Calculator'!V$17:V$187,'[1]Pricing Calculator'!$AG$17:$AG$187))</f>
        <v>0</v>
      </c>
      <c r="Q57" s="589" cm="1">
        <f t="array" ref="Q57">IF($C57="",0,SUMPRODUCT(--('[1]Pricing Calculator'!$C$17:$C$187=$C57),'[1]Pricing Calculator'!$I$17:$I$187,'[1]Pricing Calculator'!W$17:W$187,'[1]Pricing Calculator'!$AG$17:$AG$187))</f>
        <v>0</v>
      </c>
      <c r="R57" s="589" cm="1">
        <f t="array" ref="R57">IF($C57="",0,SUMPRODUCT(--('[1]Pricing Calculator'!$C$17:$C$187=$C57),'[1]Pricing Calculator'!$I$17:$I$187,'[1]Pricing Calculator'!X$17:X$187,'[1]Pricing Calculator'!$AG$17:$AG$187))</f>
        <v>0</v>
      </c>
      <c r="S57" s="589" cm="1">
        <f t="array" ref="S57">IF($C57="",0,SUMPRODUCT(--('[1]Pricing Calculator'!$C$17:$C$187=$C57),'[1]Pricing Calculator'!$I$17:$I$187,'[1]Pricing Calculator'!Y$17:Y$187,'[1]Pricing Calculator'!$AG$17:$AG$187))</f>
        <v>0</v>
      </c>
      <c r="T57" s="589" cm="1">
        <f t="array" ref="T57">IF($C57="",0,SUMPRODUCT(--('[1]Pricing Calculator'!$C$17:$C$187=$C57),'[1]Pricing Calculator'!$I$17:$I$187,'[1]Pricing Calculator'!Z$17:Z$187,'[1]Pricing Calculator'!$AG$17:$AG$187))</f>
        <v>0</v>
      </c>
      <c r="U57" s="590" cm="1">
        <f t="array" ref="U57">IF($C57="",0,SUMPRODUCT(--('[1]Pricing Calculator'!$C$17:$C$187=$C57),'[1]Pricing Calculator'!$I$17:$I$187,'[1]Pricing Calculator'!AA$17:AA$187,'[1]Pricing Calculator'!$AG$17:$AG$187))</f>
        <v>0</v>
      </c>
      <c r="V57" s="584" cm="1">
        <f t="array" ref="V57">IF($C57="",0,SUMPRODUCT(--('[1]Pricing Calculator'!$C$17:$C$187=$C57),'[1]Pricing Calculator'!$I$17:$I$187,'[1]Pricing Calculator'!AB$17:AB$187,'[1]Pricing Calculator'!$AG$17:$AG$187))</f>
        <v>0</v>
      </c>
      <c r="W57" s="585" cm="1">
        <f t="array" ref="W57">IF($C57="",0,SUMPRODUCT(--('[1]Pricing Calculator'!$C$17:$C$187=$C57),'[1]Pricing Calculator'!$I$17:$I$187,'[1]Pricing Calculator'!AC$17:AC$187,'[1]Pricing Calculator'!$AG$17:$AG$187))</f>
        <v>0</v>
      </c>
      <c r="X57" s="585" cm="1">
        <f t="array" ref="X57">IF($C57="",0,SUMPRODUCT(--('[1]Pricing Calculator'!$C$17:$C$187=$C57),'[1]Pricing Calculator'!$I$17:$I$187,'[1]Pricing Calculator'!AD$17:AD$187,'[1]Pricing Calculator'!$AG$17:$AG$187))</f>
        <v>0</v>
      </c>
      <c r="Y57" s="586" cm="1">
        <f t="array" ref="Y57">IF($C57="",0,SUMPRODUCT(--('[1]Pricing Calculator'!$C$17:$C$187=$C57),'[1]Pricing Calculator'!$I$17:$I$187,'[1]Pricing Calculator'!AE$17:AE$187,'[1]Pricing Calculator'!$AG$17:$AG$187))</f>
        <v>0</v>
      </c>
      <c r="Z57" s="586">
        <f t="shared" si="0"/>
        <v>0</v>
      </c>
      <c r="AB57" s="591" cm="1">
        <f t="array" ref="AB57">IF($C57="",0,SUMPRODUCT(--('[1]Pricing Calculator'!$C$17:$C$187=$C57),'[1]Pricing Calculator'!$I$17:$I$187,'[1]Pricing Calculator'!AM$17:AM$187,'[1]Pricing Calculator'!$AG$17:$AG$187))*IF('[1]Pricing Summary'!$B$4="Yes",1+'[1]Core Assumptions'!$D$26,1)</f>
        <v>0</v>
      </c>
      <c r="AC57" s="591" cm="1">
        <f t="array" ref="AC57">IF($C57="",0,SUMPRODUCT(--('[1]Pricing Calculator'!$C$17:$C$187=$C57),'[1]Pricing Calculator'!$I$17:$I$187,'[1]Pricing Calculator'!AO$17:AO$187,'[1]Pricing Calculator'!$AG$17:$AG$187))*IF('[1]Pricing Summary'!$B$4="Yes",1+'[1]Core Assumptions'!$D$26,1)</f>
        <v>0</v>
      </c>
    </row>
    <row r="58" spans="1:30" ht="15.75" hidden="1" customHeight="1" outlineLevel="1" x14ac:dyDescent="0.2">
      <c r="A58" s="242">
        <v>40</v>
      </c>
      <c r="B58" s="592" t="str">
        <f>IF('[1]Core Assumptions'!B71="","",CONCATENATE("Entity - ",'[1]Core Assumptions'!B71))</f>
        <v/>
      </c>
      <c r="C58" s="593" t="str">
        <f>IF('[1]Core Assumptions'!B71="","",'[1]Core Assumptions'!B71)</f>
        <v/>
      </c>
      <c r="D58" s="245" t="s">
        <v>11</v>
      </c>
      <c r="E58" s="594" cm="1">
        <f t="array" ref="E58">IF($C58="",0,SUMPRODUCT(--('[1]Pricing Calculator'!$C$17:$C$187=$C58),'[1]Pricing Calculator'!$I$17:$I$187,'[1]Pricing Calculator'!K$17:K$187,'[1]Pricing Calculator'!$AG$17:$AG$187))</f>
        <v>0</v>
      </c>
      <c r="F58" s="595" cm="1">
        <f t="array" ref="F58">IF($C58="",0,SUMPRODUCT(--('[1]Pricing Calculator'!$C$17:$C$187=$C58),'[1]Pricing Calculator'!$I$17:$I$187,'[1]Pricing Calculator'!L$17:L$187,'[1]Pricing Calculator'!$AG$17:$AG$187))</f>
        <v>0</v>
      </c>
      <c r="G58" s="595" cm="1">
        <f t="array" ref="G58">IF($C58="",0,SUMPRODUCT(--('[1]Pricing Calculator'!$C$17:$C$187=$C58),'[1]Pricing Calculator'!$I$17:$I$187,'[1]Pricing Calculator'!M$17:M$187,'[1]Pricing Calculator'!$AG$17:$AG$187))</f>
        <v>0</v>
      </c>
      <c r="H58" s="595" cm="1">
        <f t="array" ref="H58">IF($C58="",0,SUMPRODUCT(--('[1]Pricing Calculator'!$C$17:$C$187=$C58),'[1]Pricing Calculator'!$I$17:$I$187,'[1]Pricing Calculator'!N$17:N$187,'[1]Pricing Calculator'!$AG$17:$AG$187))</f>
        <v>0</v>
      </c>
      <c r="I58" s="595" cm="1">
        <f t="array" ref="I58">IF($C58="",0,SUMPRODUCT(--('[1]Pricing Calculator'!$C$17:$C$187=$C58),'[1]Pricing Calculator'!$I$17:$I$187,'[1]Pricing Calculator'!O$17:O$187,'[1]Pricing Calculator'!$AG$17:$AG$187))</f>
        <v>0</v>
      </c>
      <c r="J58" s="595" cm="1">
        <f t="array" ref="J58">IF($C58="",0,SUMPRODUCT(--('[1]Pricing Calculator'!$C$17:$C$187=$C58),'[1]Pricing Calculator'!$I$17:$I$187,'[1]Pricing Calculator'!P$17:P$187,'[1]Pricing Calculator'!$AG$17:$AG$187))</f>
        <v>0</v>
      </c>
      <c r="K58" s="595" cm="1">
        <f t="array" ref="K58">IF($C58="",0,SUMPRODUCT(--('[1]Pricing Calculator'!$C$17:$C$187=$C58),'[1]Pricing Calculator'!$I$17:$I$187,'[1]Pricing Calculator'!Q$17:Q$187,'[1]Pricing Calculator'!$AG$17:$AG$187))</f>
        <v>0</v>
      </c>
      <c r="L58" s="595" cm="1">
        <f t="array" ref="L58">IF($C58="",0,SUMPRODUCT(--('[1]Pricing Calculator'!$C$17:$C$187=$C58),'[1]Pricing Calculator'!$I$17:$I$187,'[1]Pricing Calculator'!R$17:R$187,'[1]Pricing Calculator'!$AG$17:$AG$187))</f>
        <v>0</v>
      </c>
      <c r="M58" s="595" cm="1">
        <f t="array" ref="M58">IF($C58="",0,SUMPRODUCT(--('[1]Pricing Calculator'!$C$17:$C$187=$C58),'[1]Pricing Calculator'!$I$17:$I$187,'[1]Pricing Calculator'!S$17:S$187,'[1]Pricing Calculator'!$AG$17:$AG$187))</f>
        <v>0</v>
      </c>
      <c r="N58" s="595" cm="1">
        <f t="array" ref="N58">IF($C58="",0,SUMPRODUCT(--('[1]Pricing Calculator'!$C$17:$C$187=$C58),'[1]Pricing Calculator'!$I$17:$I$187,'[1]Pricing Calculator'!T$17:T$187,'[1]Pricing Calculator'!$AG$17:$AG$187))</f>
        <v>0</v>
      </c>
      <c r="O58" s="594" cm="1">
        <f t="array" ref="O58">IF($C58="",0,SUMPRODUCT(--('[1]Pricing Calculator'!$C$17:$C$187=$C58),'[1]Pricing Calculator'!$I$17:$I$187,'[1]Pricing Calculator'!U$17:U$187,'[1]Pricing Calculator'!$AG$17:$AG$187))</f>
        <v>0</v>
      </c>
      <c r="P58" s="595" cm="1">
        <f t="array" ref="P58">IF($C58="",0,SUMPRODUCT(--('[1]Pricing Calculator'!$C$17:$C$187=$C58),'[1]Pricing Calculator'!$I$17:$I$187,'[1]Pricing Calculator'!V$17:V$187,'[1]Pricing Calculator'!$AG$17:$AG$187))</f>
        <v>0</v>
      </c>
      <c r="Q58" s="595" cm="1">
        <f t="array" ref="Q58">IF($C58="",0,SUMPRODUCT(--('[1]Pricing Calculator'!$C$17:$C$187=$C58),'[1]Pricing Calculator'!$I$17:$I$187,'[1]Pricing Calculator'!W$17:W$187,'[1]Pricing Calculator'!$AG$17:$AG$187))</f>
        <v>0</v>
      </c>
      <c r="R58" s="595" cm="1">
        <f t="array" ref="R58">IF($C58="",0,SUMPRODUCT(--('[1]Pricing Calculator'!$C$17:$C$187=$C58),'[1]Pricing Calculator'!$I$17:$I$187,'[1]Pricing Calculator'!X$17:X$187,'[1]Pricing Calculator'!$AG$17:$AG$187))</f>
        <v>0</v>
      </c>
      <c r="S58" s="595" cm="1">
        <f t="array" ref="S58">IF($C58="",0,SUMPRODUCT(--('[1]Pricing Calculator'!$C$17:$C$187=$C58),'[1]Pricing Calculator'!$I$17:$I$187,'[1]Pricing Calculator'!Y$17:Y$187,'[1]Pricing Calculator'!$AG$17:$AG$187))</f>
        <v>0</v>
      </c>
      <c r="T58" s="595" cm="1">
        <f t="array" ref="T58">IF($C58="",0,SUMPRODUCT(--('[1]Pricing Calculator'!$C$17:$C$187=$C58),'[1]Pricing Calculator'!$I$17:$I$187,'[1]Pricing Calculator'!Z$17:Z$187,'[1]Pricing Calculator'!$AG$17:$AG$187))</f>
        <v>0</v>
      </c>
      <c r="U58" s="596" cm="1">
        <f t="array" ref="U58">IF($C58="",0,SUMPRODUCT(--('[1]Pricing Calculator'!$C$17:$C$187=$C58),'[1]Pricing Calculator'!$I$17:$I$187,'[1]Pricing Calculator'!AA$17:AA$187,'[1]Pricing Calculator'!$AG$17:$AG$187))</f>
        <v>0</v>
      </c>
      <c r="V58" s="597" cm="1">
        <f t="array" ref="V58">IF($C58="",0,SUMPRODUCT(--('[1]Pricing Calculator'!$C$17:$C$187=$C58),'[1]Pricing Calculator'!$I$17:$I$187,'[1]Pricing Calculator'!AB$17:AB$187,'[1]Pricing Calculator'!$AG$17:$AG$187))</f>
        <v>0</v>
      </c>
      <c r="W58" s="598" cm="1">
        <f t="array" ref="W58">IF($C58="",0,SUMPRODUCT(--('[1]Pricing Calculator'!$C$17:$C$187=$C58),'[1]Pricing Calculator'!$I$17:$I$187,'[1]Pricing Calculator'!AC$17:AC$187,'[1]Pricing Calculator'!$AG$17:$AG$187))</f>
        <v>0</v>
      </c>
      <c r="X58" s="598" cm="1">
        <f t="array" ref="X58">IF($C58="",0,SUMPRODUCT(--('[1]Pricing Calculator'!$C$17:$C$187=$C58),'[1]Pricing Calculator'!$I$17:$I$187,'[1]Pricing Calculator'!AD$17:AD$187,'[1]Pricing Calculator'!$AG$17:$AG$187))</f>
        <v>0</v>
      </c>
      <c r="Y58" s="599" cm="1">
        <f t="array" ref="Y58">IF($C58="",0,SUMPRODUCT(--('[1]Pricing Calculator'!$C$17:$C$187=$C58),'[1]Pricing Calculator'!$I$17:$I$187,'[1]Pricing Calculator'!AE$17:AE$187,'[1]Pricing Calculator'!$AG$17:$AG$187))</f>
        <v>0</v>
      </c>
      <c r="Z58" s="599">
        <f t="shared" si="0"/>
        <v>0</v>
      </c>
      <c r="AB58" s="600" cm="1">
        <f t="array" ref="AB58">IF($C58="",0,SUMPRODUCT(--('[1]Pricing Calculator'!$C$17:$C$187=$C58),'[1]Pricing Calculator'!$I$17:$I$187,'[1]Pricing Calculator'!AM$17:AM$187,'[1]Pricing Calculator'!$AG$17:$AG$187))*IF('[1]Pricing Summary'!$B$4="Yes",1+'[1]Core Assumptions'!$D$26,1)</f>
        <v>0</v>
      </c>
      <c r="AC58" s="600" cm="1">
        <f t="array" ref="AC58">IF($C58="",0,SUMPRODUCT(--('[1]Pricing Calculator'!$C$17:$C$187=$C58),'[1]Pricing Calculator'!$I$17:$I$187,'[1]Pricing Calculator'!AO$17:AO$187,'[1]Pricing Calculator'!$AG$17:$AG$187))*IF('[1]Pricing Summary'!$B$4="Yes",1+'[1]Core Assumptions'!$D$26,1)</f>
        <v>0</v>
      </c>
    </row>
    <row r="59" spans="1:30" ht="15.75" customHeight="1" collapsed="1" x14ac:dyDescent="0.2">
      <c r="A59" s="39" t="s">
        <v>226</v>
      </c>
      <c r="AB59" s="574"/>
      <c r="AC59" s="574"/>
      <c r="AD59" s="574"/>
    </row>
    <row r="60" spans="1:30" ht="8.25" hidden="1" customHeight="1" outlineLevel="1" x14ac:dyDescent="0.2">
      <c r="A60" s="160"/>
      <c r="B60" s="161"/>
      <c r="C60" s="161"/>
      <c r="D60" s="162"/>
      <c r="AB60" s="574"/>
      <c r="AC60" s="574"/>
      <c r="AD60" s="574"/>
    </row>
    <row r="61" spans="1:30" ht="23.25" hidden="1" customHeight="1" outlineLevel="1" x14ac:dyDescent="0.3">
      <c r="A61" s="160"/>
      <c r="B61" s="10" t="s">
        <v>227</v>
      </c>
      <c r="C61" s="235"/>
      <c r="D61" s="162"/>
      <c r="E61" s="236" t="s">
        <v>228</v>
      </c>
      <c r="O61" s="69"/>
      <c r="AB61" s="236"/>
      <c r="AC61" s="236"/>
      <c r="AD61" s="236"/>
    </row>
    <row r="62" spans="1:30" ht="15.75" hidden="1" customHeight="1" outlineLevel="1" x14ac:dyDescent="0.2">
      <c r="A62" s="242">
        <v>1</v>
      </c>
      <c r="B62" s="576" t="s">
        <v>229</v>
      </c>
      <c r="C62" s="577" t="s">
        <v>42</v>
      </c>
      <c r="D62" s="245" t="s">
        <v>11</v>
      </c>
      <c r="E62" s="601" cm="1">
        <f t="array" ref="E62">SUMPRODUCT(--('[1]Pricing Calculator'!$C$17:$C$187=$C62),'[1]Pricing Calculator'!$I$17:$I$187,'[1]Pricing Calculator'!K$17:K$187,'[1]Pricing Calculator'!$AG$17:$AG$187)</f>
        <v>0</v>
      </c>
      <c r="F62" s="602" cm="1">
        <f t="array" ref="F62">SUMPRODUCT(--('[1]Pricing Calculator'!$C$17:$C$187=$C62),'[1]Pricing Calculator'!$I$17:$I$187,'[1]Pricing Calculator'!L$17:L$187,'[1]Pricing Calculator'!$AG$17:$AG$187)</f>
        <v>0</v>
      </c>
      <c r="G62" s="602" cm="1">
        <f t="array" ref="G62">SUMPRODUCT(--('[1]Pricing Calculator'!$C$17:$C$187=$C62),'[1]Pricing Calculator'!$I$17:$I$187,'[1]Pricing Calculator'!M$17:M$187,'[1]Pricing Calculator'!$AG$17:$AG$187)</f>
        <v>0</v>
      </c>
      <c r="H62" s="602" cm="1">
        <f t="array" ref="H62">SUMPRODUCT(--('[1]Pricing Calculator'!$C$17:$C$187=$C62),'[1]Pricing Calculator'!$I$17:$I$187,'[1]Pricing Calculator'!N$17:N$187,'[1]Pricing Calculator'!$AG$17:$AG$187)</f>
        <v>0</v>
      </c>
      <c r="I62" s="602" cm="1">
        <f t="array" ref="I62">SUMPRODUCT(--('[1]Pricing Calculator'!$C$17:$C$187=$C62),'[1]Pricing Calculator'!$I$17:$I$187,'[1]Pricing Calculator'!O$17:O$187,'[1]Pricing Calculator'!$AG$17:$AG$187)</f>
        <v>0</v>
      </c>
      <c r="J62" s="602" cm="1">
        <f t="array" ref="J62">SUMPRODUCT(--('[1]Pricing Calculator'!$C$17:$C$187=$C62),'[1]Pricing Calculator'!$I$17:$I$187,'[1]Pricing Calculator'!P$17:P$187,'[1]Pricing Calculator'!$AG$17:$AG$187)</f>
        <v>0</v>
      </c>
      <c r="K62" s="602" cm="1">
        <f t="array" ref="K62">SUMPRODUCT(--('[1]Pricing Calculator'!$C$17:$C$187=$C62),'[1]Pricing Calculator'!$I$17:$I$187,'[1]Pricing Calculator'!Q$17:Q$187,'[1]Pricing Calculator'!$AG$17:$AG$187)</f>
        <v>0</v>
      </c>
      <c r="L62" s="602" cm="1">
        <f t="array" ref="L62">SUMPRODUCT(--('[1]Pricing Calculator'!$C$17:$C$187=$C62),'[1]Pricing Calculator'!$I$17:$I$187,'[1]Pricing Calculator'!R$17:R$187,'[1]Pricing Calculator'!$AG$17:$AG$187)</f>
        <v>0</v>
      </c>
      <c r="M62" s="602" cm="1">
        <f t="array" ref="M62">SUMPRODUCT(--('[1]Pricing Calculator'!$C$17:$C$187=$C62),'[1]Pricing Calculator'!$I$17:$I$187,'[1]Pricing Calculator'!S$17:S$187,'[1]Pricing Calculator'!$AG$17:$AG$187)</f>
        <v>0</v>
      </c>
      <c r="N62" s="602" cm="1">
        <f t="array" ref="N62">SUMPRODUCT(--('[1]Pricing Calculator'!$C$17:$C$187=$C62),'[1]Pricing Calculator'!$I$17:$I$187,'[1]Pricing Calculator'!T$17:T$187,'[1]Pricing Calculator'!$AG$17:$AG$187)</f>
        <v>0</v>
      </c>
      <c r="O62" s="601" cm="1">
        <f t="array" ref="O62">SUMPRODUCT(--('[1]Pricing Calculator'!$C$17:$C$187=$C62),'[1]Pricing Calculator'!$I$17:$I$187,'[1]Pricing Calculator'!U$17:U$187,'[1]Pricing Calculator'!$AG$17:$AG$187)</f>
        <v>0</v>
      </c>
      <c r="P62" s="602" cm="1">
        <f t="array" ref="P62">SUMPRODUCT(--('[1]Pricing Calculator'!$C$17:$C$187=$C62),'[1]Pricing Calculator'!$I$17:$I$187,'[1]Pricing Calculator'!V$17:V$187,'[1]Pricing Calculator'!$AG$17:$AG$187)</f>
        <v>0</v>
      </c>
      <c r="Q62" s="602" cm="1">
        <f t="array" ref="Q62">SUMPRODUCT(--('[1]Pricing Calculator'!$C$17:$C$187=$C62),'[1]Pricing Calculator'!$I$17:$I$187,'[1]Pricing Calculator'!W$17:W$187,'[1]Pricing Calculator'!$AG$17:$AG$187)</f>
        <v>0</v>
      </c>
      <c r="R62" s="602" cm="1">
        <f t="array" ref="R62">SUMPRODUCT(--('[1]Pricing Calculator'!$C$17:$C$187=$C62),'[1]Pricing Calculator'!$I$17:$I$187,'[1]Pricing Calculator'!X$17:X$187,'[1]Pricing Calculator'!$AG$17:$AG$187)</f>
        <v>0</v>
      </c>
      <c r="S62" s="602" cm="1">
        <f t="array" ref="S62">SUMPRODUCT(--('[1]Pricing Calculator'!$C$17:$C$187=$C62),'[1]Pricing Calculator'!$I$17:$I$187,'[1]Pricing Calculator'!Y$17:Y$187,'[1]Pricing Calculator'!$AG$17:$AG$187)</f>
        <v>0</v>
      </c>
      <c r="T62" s="602" cm="1">
        <f t="array" ref="T62">SUMPRODUCT(--('[1]Pricing Calculator'!$C$17:$C$187=$C62),'[1]Pricing Calculator'!$I$17:$I$187,'[1]Pricing Calculator'!Z$17:Z$187,'[1]Pricing Calculator'!$AG$17:$AG$187)</f>
        <v>0</v>
      </c>
      <c r="U62" s="603" cm="1">
        <f t="array" ref="U62">SUMPRODUCT(--('[1]Pricing Calculator'!$C$17:$C$187=$C62),'[1]Pricing Calculator'!$I$17:$I$187,'[1]Pricing Calculator'!AA$17:AA$187,'[1]Pricing Calculator'!$AG$17:$AG$187)</f>
        <v>0</v>
      </c>
      <c r="V62" s="602" cm="1">
        <f t="array" ref="V62">SUMPRODUCT(--('[1]Pricing Calculator'!$C$17:$C$187=$C62),'[1]Pricing Calculator'!$I$17:$I$187,'[1]Pricing Calculator'!AB$17:AB$187,'[1]Pricing Calculator'!$AG$17:$AG$187)</f>
        <v>0</v>
      </c>
      <c r="W62" s="602" cm="1">
        <f t="array" ref="W62">SUMPRODUCT(--('[1]Pricing Calculator'!$C$17:$C$187=$C62),'[1]Pricing Calculator'!$I$17:$I$187,'[1]Pricing Calculator'!AC$17:AC$187,'[1]Pricing Calculator'!$AG$17:$AG$187)</f>
        <v>0</v>
      </c>
      <c r="X62" s="602" cm="1">
        <f t="array" ref="X62">SUMPRODUCT(--('[1]Pricing Calculator'!$C$17:$C$187=$C62),'[1]Pricing Calculator'!$I$17:$I$187,'[1]Pricing Calculator'!AD$17:AD$187,'[1]Pricing Calculator'!$AG$17:$AG$187)</f>
        <v>0</v>
      </c>
      <c r="Y62" s="603" cm="1">
        <f t="array" ref="Y62">SUMPRODUCT(--('[1]Pricing Calculator'!$C$17:$C$187=$C62),'[1]Pricing Calculator'!$I$17:$I$187,'[1]Pricing Calculator'!AE$17:AE$187,'[1]Pricing Calculator'!$AG$17:$AG$187)</f>
        <v>0</v>
      </c>
      <c r="Z62" s="603">
        <f>SUM(E62:Y62)</f>
        <v>0</v>
      </c>
      <c r="AB62" s="604" cm="1">
        <f t="array" ref="AB62">SUMPRODUCT(--('[1]Pricing Calculator'!$C$17:$C$187=$C62),'[1]Pricing Calculator'!$I$17:$I$187,'[1]Pricing Calculator'!AM$17:AM$187,'[1]Pricing Calculator'!$AG$17:$AG$187)*IF('[1]Pricing Summary'!$B$4="Yes",1+'[1]Core Assumptions'!$D$26,1)</f>
        <v>0</v>
      </c>
      <c r="AC62" s="604" cm="1">
        <f t="array" ref="AC62">SUMPRODUCT(--('[1]Pricing Calculator'!$C$17:$C$187=$C62),'[1]Pricing Calculator'!$I$17:$I$187,'[1]Pricing Calculator'!AO$17:AO$187,'[1]Pricing Calculator'!$AG$17:$AG$187)*IF('[1]Pricing Summary'!$B$4="Yes",1+'[1]Core Assumptions'!$D$26,1)</f>
        <v>0</v>
      </c>
    </row>
    <row r="63" spans="1:30" ht="15.75" hidden="1" customHeight="1" outlineLevel="1" x14ac:dyDescent="0.2">
      <c r="A63" s="242">
        <v>1</v>
      </c>
      <c r="B63" s="592" t="s">
        <v>230</v>
      </c>
      <c r="C63" s="593"/>
      <c r="D63" s="245" t="s">
        <v>11</v>
      </c>
      <c r="E63" s="594" cm="1">
        <f t="array" ref="E63">SUMPRODUCT(--('[1]Pricing Calculator'!$C$17:$C$187=$C63),'[1]Pricing Calculator'!$I$17:$I$187,'[1]Pricing Calculator'!K$17:K$187,'[1]Pricing Calculator'!$AG$17:$AG$187)</f>
        <v>0</v>
      </c>
      <c r="F63" s="595" cm="1">
        <f t="array" ref="F63">SUMPRODUCT(--('[1]Pricing Calculator'!$C$17:$C$187=$C63),'[1]Pricing Calculator'!$I$17:$I$187,'[1]Pricing Calculator'!L$17:L$187,'[1]Pricing Calculator'!$AG$17:$AG$187)</f>
        <v>0</v>
      </c>
      <c r="G63" s="595" cm="1">
        <f t="array" ref="G63">SUMPRODUCT(--('[1]Pricing Calculator'!$C$17:$C$187=$C63),'[1]Pricing Calculator'!$I$17:$I$187,'[1]Pricing Calculator'!M$17:M$187,'[1]Pricing Calculator'!$AG$17:$AG$187)</f>
        <v>0</v>
      </c>
      <c r="H63" s="595" cm="1">
        <f t="array" ref="H63">SUMPRODUCT(--('[1]Pricing Calculator'!$C$17:$C$187=$C63),'[1]Pricing Calculator'!$I$17:$I$187,'[1]Pricing Calculator'!N$17:N$187,'[1]Pricing Calculator'!$AG$17:$AG$187)</f>
        <v>0</v>
      </c>
      <c r="I63" s="595" cm="1">
        <f t="array" ref="I63">SUMPRODUCT(--('[1]Pricing Calculator'!$C$17:$C$187=$C63),'[1]Pricing Calculator'!$I$17:$I$187,'[1]Pricing Calculator'!O$17:O$187,'[1]Pricing Calculator'!$AG$17:$AG$187)</f>
        <v>0</v>
      </c>
      <c r="J63" s="595" cm="1">
        <f t="array" ref="J63">SUMPRODUCT(--('[1]Pricing Calculator'!$C$17:$C$187=$C63),'[1]Pricing Calculator'!$I$17:$I$187,'[1]Pricing Calculator'!P$17:P$187,'[1]Pricing Calculator'!$AG$17:$AG$187)</f>
        <v>0</v>
      </c>
      <c r="K63" s="595" cm="1">
        <f t="array" ref="K63">SUMPRODUCT(--('[1]Pricing Calculator'!$C$17:$C$187=$C63),'[1]Pricing Calculator'!$I$17:$I$187,'[1]Pricing Calculator'!Q$17:Q$187,'[1]Pricing Calculator'!$AG$17:$AG$187)</f>
        <v>0</v>
      </c>
      <c r="L63" s="595" cm="1">
        <f t="array" ref="L63">SUMPRODUCT(--('[1]Pricing Calculator'!$C$17:$C$187=$C63),'[1]Pricing Calculator'!$I$17:$I$187,'[1]Pricing Calculator'!R$17:R$187,'[1]Pricing Calculator'!$AG$17:$AG$187)</f>
        <v>0</v>
      </c>
      <c r="M63" s="595" cm="1">
        <f t="array" ref="M63">SUMPRODUCT(--('[1]Pricing Calculator'!$C$17:$C$187=$C63),'[1]Pricing Calculator'!$I$17:$I$187,'[1]Pricing Calculator'!S$17:S$187,'[1]Pricing Calculator'!$AG$17:$AG$187)</f>
        <v>0</v>
      </c>
      <c r="N63" s="595" cm="1">
        <f t="array" ref="N63">SUMPRODUCT(--('[1]Pricing Calculator'!$C$17:$C$187=$C63),'[1]Pricing Calculator'!$I$17:$I$187,'[1]Pricing Calculator'!T$17:T$187,'[1]Pricing Calculator'!$AG$17:$AG$187)</f>
        <v>0</v>
      </c>
      <c r="O63" s="594" cm="1">
        <f t="array" ref="O63">SUMPRODUCT(--('[1]Pricing Calculator'!$C$17:$C$187=$C63),'[1]Pricing Calculator'!$I$17:$I$187,'[1]Pricing Calculator'!U$17:U$187,'[1]Pricing Calculator'!$AG$17:$AG$187)</f>
        <v>0</v>
      </c>
      <c r="P63" s="595" cm="1">
        <f t="array" ref="P63">SUMPRODUCT(--('[1]Pricing Calculator'!$C$17:$C$187=$C63),'[1]Pricing Calculator'!$I$17:$I$187,'[1]Pricing Calculator'!V$17:V$187,'[1]Pricing Calculator'!$AG$17:$AG$187)</f>
        <v>0</v>
      </c>
      <c r="Q63" s="595" cm="1">
        <f t="array" ref="Q63">SUMPRODUCT(--('[1]Pricing Calculator'!$C$17:$C$187=$C63),'[1]Pricing Calculator'!$I$17:$I$187,'[1]Pricing Calculator'!W$17:W$187,'[1]Pricing Calculator'!$AG$17:$AG$187)</f>
        <v>0</v>
      </c>
      <c r="R63" s="595" cm="1">
        <f t="array" ref="R63">SUMPRODUCT(--('[1]Pricing Calculator'!$C$17:$C$187=$C63),'[1]Pricing Calculator'!$I$17:$I$187,'[1]Pricing Calculator'!X$17:X$187,'[1]Pricing Calculator'!$AG$17:$AG$187)</f>
        <v>0</v>
      </c>
      <c r="S63" s="595" cm="1">
        <f t="array" ref="S63">SUMPRODUCT(--('[1]Pricing Calculator'!$C$17:$C$187=$C63),'[1]Pricing Calculator'!$I$17:$I$187,'[1]Pricing Calculator'!Y$17:Y$187,'[1]Pricing Calculator'!$AG$17:$AG$187)</f>
        <v>0</v>
      </c>
      <c r="T63" s="595" cm="1">
        <f t="array" ref="T63">SUMPRODUCT(--('[1]Pricing Calculator'!$C$17:$C$187=$C63),'[1]Pricing Calculator'!$I$17:$I$187,'[1]Pricing Calculator'!Z$17:Z$187,'[1]Pricing Calculator'!$AG$17:$AG$187)</f>
        <v>0</v>
      </c>
      <c r="U63" s="596" cm="1">
        <f t="array" ref="U63">SUMPRODUCT(--('[1]Pricing Calculator'!$C$17:$C$187=$C63),'[1]Pricing Calculator'!$I$17:$I$187,'[1]Pricing Calculator'!AA$17:AA$187,'[1]Pricing Calculator'!$AG$17:$AG$187)</f>
        <v>0</v>
      </c>
      <c r="V63" s="595" cm="1">
        <f t="array" ref="V63">SUMPRODUCT(--('[1]Pricing Calculator'!$C$17:$C$187=$C63),'[1]Pricing Calculator'!$I$17:$I$187,'[1]Pricing Calculator'!AB$17:AB$187,'[1]Pricing Calculator'!$AG$17:$AG$187)</f>
        <v>0</v>
      </c>
      <c r="W63" s="595" cm="1">
        <f t="array" ref="W63">SUMPRODUCT(--('[1]Pricing Calculator'!$C$17:$C$187=$C63),'[1]Pricing Calculator'!$I$17:$I$187,'[1]Pricing Calculator'!AC$17:AC$187,'[1]Pricing Calculator'!$AG$17:$AG$187)</f>
        <v>0</v>
      </c>
      <c r="X63" s="595" cm="1">
        <f t="array" ref="X63">SUMPRODUCT(--('[1]Pricing Calculator'!$C$17:$C$187=$C63),'[1]Pricing Calculator'!$I$17:$I$187,'[1]Pricing Calculator'!AD$17:AD$187,'[1]Pricing Calculator'!$AG$17:$AG$187)</f>
        <v>0</v>
      </c>
      <c r="Y63" s="596" cm="1">
        <f t="array" ref="Y63">SUMPRODUCT(--('[1]Pricing Calculator'!$C$17:$C$187=$C63),'[1]Pricing Calculator'!$I$17:$I$187,'[1]Pricing Calculator'!AE$17:AE$187,'[1]Pricing Calculator'!$AG$17:$AG$187)</f>
        <v>0</v>
      </c>
      <c r="Z63" s="596">
        <f>SUM(E63:Y63)</f>
        <v>0</v>
      </c>
      <c r="AB63" s="600" cm="1">
        <f t="array" ref="AB63">SUMPRODUCT(--('[1]Pricing Calculator'!$C$17:$C$187=$C63),'[1]Pricing Calculator'!$I$17:$I$187,'[1]Pricing Calculator'!AM$17:AM$187,'[1]Pricing Calculator'!$AG$17:$AG$187)*IF('[1]Pricing Summary'!$B$4="Yes",1+'[1]Core Assumptions'!$D$26,1)</f>
        <v>0</v>
      </c>
      <c r="AC63" s="600" cm="1">
        <f t="array" ref="AC63">SUMPRODUCT(--('[1]Pricing Calculator'!$C$17:$C$187=$C63),'[1]Pricing Calculator'!$I$17:$I$187,'[1]Pricing Calculator'!AO$17:AO$187,'[1]Pricing Calculator'!$AG$17:$AG$187)*IF('[1]Pricing Summary'!$B$4="Yes",1+'[1]Core Assumptions'!$D$26,1)</f>
        <v>0</v>
      </c>
    </row>
    <row r="64" spans="1:30" ht="15.75" customHeight="1" collapsed="1" x14ac:dyDescent="0.2">
      <c r="A64" s="39" t="s">
        <v>231</v>
      </c>
      <c r="AB64" s="605"/>
      <c r="AC64" s="605"/>
      <c r="AD64" s="605"/>
    </row>
    <row r="65" spans="1:31" ht="16" thickBot="1" x14ac:dyDescent="0.25">
      <c r="A65" s="39"/>
      <c r="D65" s="355" t="s">
        <v>11</v>
      </c>
      <c r="E65" s="370"/>
      <c r="F65" s="370"/>
      <c r="G65" s="370"/>
      <c r="H65" s="370"/>
      <c r="I65" s="370"/>
      <c r="J65" s="370"/>
      <c r="K65" s="370"/>
      <c r="L65" s="370"/>
      <c r="M65" s="370"/>
      <c r="N65" s="370"/>
      <c r="O65" s="370"/>
      <c r="P65" s="370"/>
      <c r="Q65" s="370"/>
      <c r="R65" s="370"/>
      <c r="S65" s="370"/>
      <c r="T65" s="370"/>
      <c r="U65" s="370"/>
      <c r="V65" s="370"/>
      <c r="W65" s="370"/>
      <c r="X65" s="370"/>
      <c r="Y65" s="370"/>
      <c r="Z65" s="370"/>
      <c r="AB65" s="605"/>
      <c r="AC65" s="605"/>
    </row>
    <row r="66" spans="1:31" ht="15.75" customHeight="1" thickBot="1" x14ac:dyDescent="0.25">
      <c r="A66" s="242"/>
      <c r="B66" s="606" t="s">
        <v>232</v>
      </c>
      <c r="C66" s="607" t="str">
        <f>IF('[1]Core Assumptions'!D73="","",'[1]Core Assumptions'!D73)</f>
        <v/>
      </c>
      <c r="D66" s="245" t="s">
        <v>11</v>
      </c>
      <c r="E66" s="318">
        <f>SUM(E19:E58,E62:E63)</f>
        <v>0</v>
      </c>
      <c r="F66" s="608">
        <f t="shared" ref="F66:Y66" si="1">SUM(F19:F58,F62:F63)</f>
        <v>0</v>
      </c>
      <c r="G66" s="609">
        <f t="shared" si="1"/>
        <v>0</v>
      </c>
      <c r="H66" s="609">
        <f t="shared" si="1"/>
        <v>0</v>
      </c>
      <c r="I66" s="609">
        <f t="shared" si="1"/>
        <v>0</v>
      </c>
      <c r="J66" s="609">
        <f t="shared" si="1"/>
        <v>0</v>
      </c>
      <c r="K66" s="609">
        <f t="shared" si="1"/>
        <v>0</v>
      </c>
      <c r="L66" s="609">
        <f t="shared" si="1"/>
        <v>40</v>
      </c>
      <c r="M66" s="609">
        <f t="shared" si="1"/>
        <v>0</v>
      </c>
      <c r="N66" s="609">
        <f t="shared" si="1"/>
        <v>0</v>
      </c>
      <c r="O66" s="610">
        <f t="shared" si="1"/>
        <v>0</v>
      </c>
      <c r="P66" s="609">
        <f t="shared" si="1"/>
        <v>0</v>
      </c>
      <c r="Q66" s="609">
        <f t="shared" si="1"/>
        <v>0</v>
      </c>
      <c r="R66" s="609">
        <f t="shared" si="1"/>
        <v>0</v>
      </c>
      <c r="S66" s="609">
        <f t="shared" si="1"/>
        <v>0</v>
      </c>
      <c r="T66" s="609">
        <f t="shared" si="1"/>
        <v>0</v>
      </c>
      <c r="U66" s="609">
        <f t="shared" si="1"/>
        <v>0</v>
      </c>
      <c r="V66" s="610">
        <f t="shared" si="1"/>
        <v>0</v>
      </c>
      <c r="W66" s="609">
        <f t="shared" si="1"/>
        <v>0</v>
      </c>
      <c r="X66" s="609">
        <f t="shared" si="1"/>
        <v>0</v>
      </c>
      <c r="Y66" s="609">
        <f t="shared" si="1"/>
        <v>0</v>
      </c>
      <c r="Z66" s="611">
        <f>SUM(Z19:Z58,Z62:Z63)</f>
        <v>40</v>
      </c>
      <c r="AB66" s="612">
        <f t="shared" ref="AB66:AC66" si="2">SUM(AB19:AB58,AB62:AB63)</f>
        <v>23000</v>
      </c>
      <c r="AC66" s="613">
        <f t="shared" si="2"/>
        <v>23100</v>
      </c>
      <c r="AD66" s="614">
        <f>IF('[1]Pricing Summary'!B33='[1]Pricing Summary'!P2,'[1]Pricing Summary'!P6,IF('[1]Pricing Summary'!B33='[1]Pricing Summary'!R2,'[1]Pricing Summary'!R6,'[1]Pricing Summary'!T6))</f>
        <v>23000</v>
      </c>
      <c r="AE66" s="615">
        <f>IF('[1]Pricing Summary'!$B$31="T&amp;M",AB66,AD66)</f>
        <v>23000</v>
      </c>
    </row>
    <row r="67" spans="1:31" ht="8.25" customHeight="1" thickBot="1" x14ac:dyDescent="0.25">
      <c r="A67" s="160"/>
      <c r="B67" s="161"/>
      <c r="C67" s="161"/>
      <c r="D67" s="162"/>
      <c r="AB67" s="574"/>
      <c r="AC67" s="574"/>
      <c r="AD67" s="574"/>
    </row>
    <row r="68" spans="1:31" ht="16" thickBot="1" x14ac:dyDescent="0.25">
      <c r="A68" s="39"/>
      <c r="B68" s="616" t="s">
        <v>233</v>
      </c>
      <c r="C68" s="617"/>
      <c r="D68" s="355"/>
      <c r="E68" s="618">
        <f>E66-E112</f>
        <v>0</v>
      </c>
      <c r="F68" s="619">
        <f t="shared" ref="F68:Y68" si="3">F66-F112</f>
        <v>0</v>
      </c>
      <c r="G68" s="619">
        <f t="shared" si="3"/>
        <v>0</v>
      </c>
      <c r="H68" s="619">
        <f t="shared" si="3"/>
        <v>0</v>
      </c>
      <c r="I68" s="619">
        <f t="shared" si="3"/>
        <v>0</v>
      </c>
      <c r="J68" s="619">
        <f t="shared" si="3"/>
        <v>0</v>
      </c>
      <c r="K68" s="619">
        <f t="shared" si="3"/>
        <v>0</v>
      </c>
      <c r="L68" s="619">
        <f t="shared" si="3"/>
        <v>0</v>
      </c>
      <c r="M68" s="619">
        <f t="shared" si="3"/>
        <v>0</v>
      </c>
      <c r="N68" s="619">
        <f t="shared" si="3"/>
        <v>0</v>
      </c>
      <c r="O68" s="618">
        <f t="shared" si="3"/>
        <v>0</v>
      </c>
      <c r="P68" s="619">
        <f t="shared" si="3"/>
        <v>0</v>
      </c>
      <c r="Q68" s="619">
        <f t="shared" si="3"/>
        <v>0</v>
      </c>
      <c r="R68" s="619">
        <f t="shared" si="3"/>
        <v>0</v>
      </c>
      <c r="S68" s="619">
        <f t="shared" si="3"/>
        <v>0</v>
      </c>
      <c r="T68" s="619">
        <f t="shared" si="3"/>
        <v>0</v>
      </c>
      <c r="U68" s="620">
        <f t="shared" si="3"/>
        <v>0</v>
      </c>
      <c r="V68" s="619">
        <f t="shared" si="3"/>
        <v>0</v>
      </c>
      <c r="W68" s="619">
        <f t="shared" si="3"/>
        <v>0</v>
      </c>
      <c r="X68" s="619">
        <f t="shared" si="3"/>
        <v>0</v>
      </c>
      <c r="Y68" s="619">
        <f t="shared" si="3"/>
        <v>0</v>
      </c>
      <c r="Z68" s="621">
        <f>SUM(E68:Y68)</f>
        <v>0</v>
      </c>
      <c r="AB68" s="622">
        <f t="shared" ref="AB68:AE68" si="4">AB66-AB112</f>
        <v>0</v>
      </c>
      <c r="AC68" s="623">
        <f t="shared" si="4"/>
        <v>0</v>
      </c>
      <c r="AD68" s="623">
        <f t="shared" si="4"/>
        <v>0</v>
      </c>
      <c r="AE68" s="623">
        <f t="shared" si="4"/>
        <v>0</v>
      </c>
    </row>
    <row r="69" spans="1:31" x14ac:dyDescent="0.2">
      <c r="A69" s="39"/>
      <c r="B69" s="40"/>
      <c r="C69" s="40"/>
      <c r="D69" s="355"/>
      <c r="E69" s="370"/>
      <c r="F69" s="370"/>
      <c r="G69" s="370"/>
      <c r="H69" s="370"/>
      <c r="I69" s="370"/>
      <c r="J69" s="370"/>
      <c r="K69" s="370"/>
      <c r="L69" s="370"/>
      <c r="M69" s="370"/>
      <c r="N69" s="370"/>
      <c r="O69" s="370"/>
      <c r="P69" s="370"/>
      <c r="Q69" s="370"/>
      <c r="R69" s="370"/>
      <c r="S69" s="370"/>
      <c r="T69" s="370"/>
      <c r="U69" s="370"/>
      <c r="V69" s="370"/>
      <c r="W69" s="370"/>
      <c r="X69" s="370"/>
      <c r="Y69" s="370"/>
      <c r="Z69" s="370"/>
      <c r="AB69" s="605"/>
      <c r="AC69" s="605"/>
      <c r="AD69" s="605"/>
      <c r="AE69" s="605"/>
    </row>
    <row r="70" spans="1:31" ht="23.25" customHeight="1" thickBot="1" x14ac:dyDescent="0.35">
      <c r="A70" s="160"/>
      <c r="B70" s="10" t="s">
        <v>234</v>
      </c>
      <c r="C70" s="235"/>
      <c r="D70" s="162"/>
      <c r="E70" s="236" t="s">
        <v>235</v>
      </c>
      <c r="O70" s="69"/>
      <c r="AB70" s="575"/>
      <c r="AC70" s="575"/>
      <c r="AD70" s="575"/>
    </row>
    <row r="71" spans="1:31" ht="15.75" customHeight="1" x14ac:dyDescent="0.2">
      <c r="A71" s="242">
        <v>1</v>
      </c>
      <c r="B71" s="624" t="str">
        <f t="shared" ref="B71:C86" si="5">B19</f>
        <v>Entity - A Business</v>
      </c>
      <c r="C71" s="577" t="str">
        <f t="shared" si="5"/>
        <v>A Business</v>
      </c>
      <c r="D71" s="245" t="s">
        <v>11</v>
      </c>
      <c r="E71" s="625">
        <f t="shared" ref="E71:Y71" si="6">E19+IF(SUM($Z$19:$Z$58)=0,0,E$62*$Z19/SUM($Z$19:$Z$58))</f>
        <v>0</v>
      </c>
      <c r="F71" s="626">
        <f t="shared" si="6"/>
        <v>0</v>
      </c>
      <c r="G71" s="626">
        <f t="shared" si="6"/>
        <v>0</v>
      </c>
      <c r="H71" s="626">
        <f t="shared" ref="H71:N75" si="7">H19+IF(SUM($Z$19:$Z$58)=0,0,H$62*$Z19/SUM($Z$19:$Z$58))</f>
        <v>0</v>
      </c>
      <c r="I71" s="626">
        <f t="shared" si="7"/>
        <v>0</v>
      </c>
      <c r="J71" s="626">
        <f>J19+IF(SUM($Z$19:$Z$58)=0,0,J$62*$Z19/SUM($Z$19:$Z$58))</f>
        <v>0</v>
      </c>
      <c r="K71" s="626">
        <f t="shared" si="7"/>
        <v>0</v>
      </c>
      <c r="L71" s="626">
        <f t="shared" si="7"/>
        <v>10</v>
      </c>
      <c r="M71" s="626">
        <f t="shared" si="7"/>
        <v>0</v>
      </c>
      <c r="N71" s="626">
        <f t="shared" si="7"/>
        <v>0</v>
      </c>
      <c r="O71" s="625">
        <f t="shared" si="6"/>
        <v>0</v>
      </c>
      <c r="P71" s="626">
        <f t="shared" si="6"/>
        <v>0</v>
      </c>
      <c r="Q71" s="626">
        <f t="shared" si="6"/>
        <v>0</v>
      </c>
      <c r="R71" s="626">
        <f t="shared" si="6"/>
        <v>0</v>
      </c>
      <c r="S71" s="626">
        <f t="shared" si="6"/>
        <v>0</v>
      </c>
      <c r="T71" s="626">
        <f t="shared" si="6"/>
        <v>0</v>
      </c>
      <c r="U71" s="627">
        <f t="shared" si="6"/>
        <v>0</v>
      </c>
      <c r="V71" s="625">
        <f t="shared" si="6"/>
        <v>0</v>
      </c>
      <c r="W71" s="626">
        <f t="shared" si="6"/>
        <v>0</v>
      </c>
      <c r="X71" s="626">
        <f t="shared" si="6"/>
        <v>0</v>
      </c>
      <c r="Y71" s="627">
        <f t="shared" si="6"/>
        <v>0</v>
      </c>
      <c r="Z71" s="580">
        <f t="shared" ref="Z71:Z110" si="8">SUM(E71:Y71)</f>
        <v>10</v>
      </c>
      <c r="AB71" s="628">
        <f>AB19+IF(SUM(AB$19:AB$58)=0,0,AB$62*AB19/SUM(AB$19:AB$58))</f>
        <v>5750</v>
      </c>
      <c r="AC71" s="628">
        <f>AC19+IF(SUM(AC$19:AC$58)=0,0,AC$62*AC19/SUM(AC$19:AC$58))</f>
        <v>5700</v>
      </c>
      <c r="AD71" s="628">
        <f>AC71/AC$66*AD$66</f>
        <v>5675.3246753246749</v>
      </c>
      <c r="AE71" s="628">
        <f>IF('[1]Pricing Summary'!$B$31="T&amp;M",AB71,AD71)</f>
        <v>5675.3246753246749</v>
      </c>
    </row>
    <row r="72" spans="1:31" ht="15.75" customHeight="1" x14ac:dyDescent="0.2">
      <c r="A72" s="242">
        <v>2</v>
      </c>
      <c r="B72" s="629" t="str">
        <f t="shared" si="5"/>
        <v>Entity - B Corp</v>
      </c>
      <c r="C72" s="583" t="str">
        <f t="shared" si="5"/>
        <v>B Corp</v>
      </c>
      <c r="D72" s="245" t="s">
        <v>11</v>
      </c>
      <c r="E72" s="630">
        <f t="shared" ref="E72:Y72" si="9">E20+IF(SUM($Z$19:$Z$58)=0,0,E$62*$Z20/SUM($Z$19:$Z$58))</f>
        <v>0</v>
      </c>
      <c r="F72" s="631">
        <f t="shared" si="9"/>
        <v>0</v>
      </c>
      <c r="G72" s="631">
        <f t="shared" si="9"/>
        <v>0</v>
      </c>
      <c r="H72" s="631">
        <f t="shared" si="7"/>
        <v>0</v>
      </c>
      <c r="I72" s="631">
        <f t="shared" si="7"/>
        <v>0</v>
      </c>
      <c r="J72" s="631">
        <f t="shared" si="7"/>
        <v>0</v>
      </c>
      <c r="K72" s="631">
        <f t="shared" si="7"/>
        <v>0</v>
      </c>
      <c r="L72" s="631">
        <f t="shared" si="7"/>
        <v>10</v>
      </c>
      <c r="M72" s="631">
        <f t="shared" si="7"/>
        <v>0</v>
      </c>
      <c r="N72" s="631">
        <f t="shared" si="7"/>
        <v>0</v>
      </c>
      <c r="O72" s="630">
        <f t="shared" si="9"/>
        <v>0</v>
      </c>
      <c r="P72" s="631">
        <f t="shared" si="9"/>
        <v>0</v>
      </c>
      <c r="Q72" s="631">
        <f t="shared" si="9"/>
        <v>0</v>
      </c>
      <c r="R72" s="631">
        <f t="shared" si="9"/>
        <v>0</v>
      </c>
      <c r="S72" s="631">
        <f t="shared" si="9"/>
        <v>0</v>
      </c>
      <c r="T72" s="631">
        <f t="shared" si="9"/>
        <v>0</v>
      </c>
      <c r="U72" s="632">
        <f t="shared" si="9"/>
        <v>0</v>
      </c>
      <c r="V72" s="630">
        <f t="shared" si="9"/>
        <v>0</v>
      </c>
      <c r="W72" s="631">
        <f t="shared" si="9"/>
        <v>0</v>
      </c>
      <c r="X72" s="631">
        <f t="shared" si="9"/>
        <v>0</v>
      </c>
      <c r="Y72" s="632">
        <f t="shared" si="9"/>
        <v>0</v>
      </c>
      <c r="Z72" s="586">
        <f t="shared" si="8"/>
        <v>10</v>
      </c>
      <c r="AB72" s="633">
        <f>AB20+IF(SUM(AB$19:AB$58)=0,0,AB$62*AB20/SUM(AB$19:AB$58))</f>
        <v>5750</v>
      </c>
      <c r="AC72" s="633">
        <f>AC20+IF(SUM(AC$19:AC$58)=0,0,AC$62*AC20/SUM(AC$19:AC$58))</f>
        <v>5800</v>
      </c>
      <c r="AD72" s="633">
        <f t="shared" ref="AD72:AD109" si="10">AC72/AC$66*AD$66</f>
        <v>5774.8917748917747</v>
      </c>
      <c r="AE72" s="633">
        <f>IF('[1]Pricing Summary'!$B$31="T&amp;M",AB72,AD72)</f>
        <v>5774.8917748917747</v>
      </c>
    </row>
    <row r="73" spans="1:31" ht="15.75" customHeight="1" x14ac:dyDescent="0.2">
      <c r="A73" s="242">
        <v>3</v>
      </c>
      <c r="B73" s="629" t="str">
        <f t="shared" si="5"/>
        <v>Entity - C LLC</v>
      </c>
      <c r="C73" s="583" t="str">
        <f t="shared" si="5"/>
        <v>C LLC</v>
      </c>
      <c r="D73" s="245" t="s">
        <v>11</v>
      </c>
      <c r="E73" s="630">
        <f t="shared" ref="E73:Y73" si="11">E21+IF(SUM($Z$19:$Z$58)=0,0,E$62*$Z21/SUM($Z$19:$Z$58))</f>
        <v>0</v>
      </c>
      <c r="F73" s="631">
        <f t="shared" si="11"/>
        <v>0</v>
      </c>
      <c r="G73" s="631">
        <f t="shared" si="11"/>
        <v>0</v>
      </c>
      <c r="H73" s="631">
        <f t="shared" si="7"/>
        <v>0</v>
      </c>
      <c r="I73" s="631">
        <f t="shared" si="7"/>
        <v>0</v>
      </c>
      <c r="J73" s="631">
        <f t="shared" si="7"/>
        <v>0</v>
      </c>
      <c r="K73" s="631">
        <f t="shared" si="7"/>
        <v>0</v>
      </c>
      <c r="L73" s="631">
        <f t="shared" si="7"/>
        <v>10</v>
      </c>
      <c r="M73" s="631">
        <f t="shared" si="7"/>
        <v>0</v>
      </c>
      <c r="N73" s="631">
        <f t="shared" si="7"/>
        <v>0</v>
      </c>
      <c r="O73" s="630">
        <f t="shared" si="11"/>
        <v>0</v>
      </c>
      <c r="P73" s="631">
        <f t="shared" si="11"/>
        <v>0</v>
      </c>
      <c r="Q73" s="631">
        <f t="shared" si="11"/>
        <v>0</v>
      </c>
      <c r="R73" s="631">
        <f t="shared" si="11"/>
        <v>0</v>
      </c>
      <c r="S73" s="631">
        <f t="shared" si="11"/>
        <v>0</v>
      </c>
      <c r="T73" s="631">
        <f t="shared" si="11"/>
        <v>0</v>
      </c>
      <c r="U73" s="632">
        <f t="shared" si="11"/>
        <v>0</v>
      </c>
      <c r="V73" s="630">
        <f t="shared" si="11"/>
        <v>0</v>
      </c>
      <c r="W73" s="631">
        <f t="shared" si="11"/>
        <v>0</v>
      </c>
      <c r="X73" s="631">
        <f t="shared" si="11"/>
        <v>0</v>
      </c>
      <c r="Y73" s="632">
        <f t="shared" si="11"/>
        <v>0</v>
      </c>
      <c r="Z73" s="586">
        <f t="shared" si="8"/>
        <v>10</v>
      </c>
      <c r="AB73" s="633">
        <f t="shared" ref="AB73:AC88" si="12">AB21+IF(SUM(AB$19:AB$58)=0,0,AB$62*AB21/SUM(AB$19:AB$58))</f>
        <v>5750</v>
      </c>
      <c r="AC73" s="633">
        <f t="shared" si="12"/>
        <v>5800</v>
      </c>
      <c r="AD73" s="633">
        <f t="shared" si="10"/>
        <v>5774.8917748917747</v>
      </c>
      <c r="AE73" s="633">
        <f>IF('[1]Pricing Summary'!$B$31="T&amp;M",AB73,AD73)</f>
        <v>5774.8917748917747</v>
      </c>
    </row>
    <row r="74" spans="1:31" ht="15.75" customHeight="1" x14ac:dyDescent="0.2">
      <c r="A74" s="242">
        <v>4</v>
      </c>
      <c r="B74" s="629" t="str">
        <f t="shared" si="5"/>
        <v>Entity - D Demo Corp</v>
      </c>
      <c r="C74" s="583" t="str">
        <f t="shared" si="5"/>
        <v>D Demo Corp</v>
      </c>
      <c r="D74" s="245" t="s">
        <v>11</v>
      </c>
      <c r="E74" s="630">
        <f t="shared" ref="E74:Y74" si="13">E22+IF(SUM($Z$19:$Z$58)=0,0,E$62*$Z22/SUM($Z$19:$Z$58))</f>
        <v>0</v>
      </c>
      <c r="F74" s="631">
        <f t="shared" si="13"/>
        <v>0</v>
      </c>
      <c r="G74" s="631">
        <f t="shared" si="13"/>
        <v>0</v>
      </c>
      <c r="H74" s="631">
        <f t="shared" si="7"/>
        <v>0</v>
      </c>
      <c r="I74" s="631">
        <f t="shared" si="7"/>
        <v>0</v>
      </c>
      <c r="J74" s="631">
        <f t="shared" si="7"/>
        <v>0</v>
      </c>
      <c r="K74" s="631">
        <f t="shared" si="7"/>
        <v>0</v>
      </c>
      <c r="L74" s="631">
        <f t="shared" si="7"/>
        <v>10</v>
      </c>
      <c r="M74" s="631">
        <f t="shared" si="7"/>
        <v>0</v>
      </c>
      <c r="N74" s="631">
        <f t="shared" si="7"/>
        <v>0</v>
      </c>
      <c r="O74" s="630">
        <f t="shared" si="13"/>
        <v>0</v>
      </c>
      <c r="P74" s="631">
        <f t="shared" si="13"/>
        <v>0</v>
      </c>
      <c r="Q74" s="631">
        <f t="shared" si="13"/>
        <v>0</v>
      </c>
      <c r="R74" s="631">
        <f t="shared" si="13"/>
        <v>0</v>
      </c>
      <c r="S74" s="631">
        <f t="shared" si="13"/>
        <v>0</v>
      </c>
      <c r="T74" s="631">
        <f t="shared" si="13"/>
        <v>0</v>
      </c>
      <c r="U74" s="632">
        <f t="shared" si="13"/>
        <v>0</v>
      </c>
      <c r="V74" s="630">
        <f t="shared" si="13"/>
        <v>0</v>
      </c>
      <c r="W74" s="631">
        <f t="shared" si="13"/>
        <v>0</v>
      </c>
      <c r="X74" s="631">
        <f t="shared" si="13"/>
        <v>0</v>
      </c>
      <c r="Y74" s="632">
        <f t="shared" si="13"/>
        <v>0</v>
      </c>
      <c r="Z74" s="586">
        <f t="shared" si="8"/>
        <v>10</v>
      </c>
      <c r="AB74" s="633">
        <f t="shared" si="12"/>
        <v>5750</v>
      </c>
      <c r="AC74" s="633">
        <f t="shared" si="12"/>
        <v>5800</v>
      </c>
      <c r="AD74" s="633">
        <f t="shared" si="10"/>
        <v>5774.8917748917747</v>
      </c>
      <c r="AE74" s="633">
        <f>IF('[1]Pricing Summary'!$B$31="T&amp;M",AB74,AD74)</f>
        <v>5774.8917748917747</v>
      </c>
    </row>
    <row r="75" spans="1:31" ht="15.75" customHeight="1" x14ac:dyDescent="0.2">
      <c r="A75" s="242">
        <v>5</v>
      </c>
      <c r="B75" s="629" t="str">
        <f t="shared" si="5"/>
        <v/>
      </c>
      <c r="C75" s="583" t="str">
        <f t="shared" si="5"/>
        <v/>
      </c>
      <c r="D75" s="245" t="s">
        <v>11</v>
      </c>
      <c r="E75" s="630">
        <f t="shared" ref="E75:Y75" si="14">E23+IF(SUM($Z$19:$Z$58)=0,0,E$62*$Z23/SUM($Z$19:$Z$58))</f>
        <v>0</v>
      </c>
      <c r="F75" s="631">
        <f t="shared" si="14"/>
        <v>0</v>
      </c>
      <c r="G75" s="631">
        <f t="shared" si="14"/>
        <v>0</v>
      </c>
      <c r="H75" s="631">
        <f t="shared" si="7"/>
        <v>0</v>
      </c>
      <c r="I75" s="631">
        <f t="shared" si="7"/>
        <v>0</v>
      </c>
      <c r="J75" s="631">
        <f t="shared" si="7"/>
        <v>0</v>
      </c>
      <c r="K75" s="631">
        <f t="shared" si="7"/>
        <v>0</v>
      </c>
      <c r="L75" s="631">
        <f t="shared" si="7"/>
        <v>0</v>
      </c>
      <c r="M75" s="631">
        <f t="shared" si="7"/>
        <v>0</v>
      </c>
      <c r="N75" s="631">
        <f t="shared" si="7"/>
        <v>0</v>
      </c>
      <c r="O75" s="630">
        <f t="shared" si="14"/>
        <v>0</v>
      </c>
      <c r="P75" s="631">
        <f t="shared" si="14"/>
        <v>0</v>
      </c>
      <c r="Q75" s="631">
        <f t="shared" si="14"/>
        <v>0</v>
      </c>
      <c r="R75" s="631">
        <f t="shared" si="14"/>
        <v>0</v>
      </c>
      <c r="S75" s="631">
        <f t="shared" si="14"/>
        <v>0</v>
      </c>
      <c r="T75" s="631">
        <f t="shared" si="14"/>
        <v>0</v>
      </c>
      <c r="U75" s="632">
        <f t="shared" si="14"/>
        <v>0</v>
      </c>
      <c r="V75" s="630">
        <f t="shared" si="14"/>
        <v>0</v>
      </c>
      <c r="W75" s="631">
        <f t="shared" si="14"/>
        <v>0</v>
      </c>
      <c r="X75" s="631">
        <f t="shared" si="14"/>
        <v>0</v>
      </c>
      <c r="Y75" s="632">
        <f t="shared" si="14"/>
        <v>0</v>
      </c>
      <c r="Z75" s="586">
        <f t="shared" si="8"/>
        <v>0</v>
      </c>
      <c r="AB75" s="633">
        <f t="shared" si="12"/>
        <v>0</v>
      </c>
      <c r="AC75" s="633">
        <f t="shared" si="12"/>
        <v>0</v>
      </c>
      <c r="AD75" s="633">
        <f t="shared" si="10"/>
        <v>0</v>
      </c>
      <c r="AE75" s="633">
        <f>IF('[1]Pricing Summary'!$B$31="T&amp;M",AB75,AD75)</f>
        <v>0</v>
      </c>
    </row>
    <row r="76" spans="1:31" ht="15.75" customHeight="1" x14ac:dyDescent="0.2">
      <c r="A76" s="242">
        <v>6</v>
      </c>
      <c r="B76" s="629" t="str">
        <f t="shared" si="5"/>
        <v/>
      </c>
      <c r="C76" s="583" t="str">
        <f t="shared" si="5"/>
        <v/>
      </c>
      <c r="D76" s="245" t="s">
        <v>11</v>
      </c>
      <c r="E76" s="630">
        <f t="shared" ref="E76:Y76" si="15">E24+IF(SUM($Z$19:$Z$58)=0,0,E$62*$Z24/SUM($Z$19:$Z$58))</f>
        <v>0</v>
      </c>
      <c r="F76" s="631">
        <f t="shared" si="15"/>
        <v>0</v>
      </c>
      <c r="G76" s="631">
        <f t="shared" si="15"/>
        <v>0</v>
      </c>
      <c r="H76" s="631">
        <f t="shared" si="15"/>
        <v>0</v>
      </c>
      <c r="I76" s="631">
        <f t="shared" si="15"/>
        <v>0</v>
      </c>
      <c r="J76" s="631">
        <f t="shared" si="15"/>
        <v>0</v>
      </c>
      <c r="K76" s="631">
        <f t="shared" si="15"/>
        <v>0</v>
      </c>
      <c r="L76" s="631">
        <f t="shared" si="15"/>
        <v>0</v>
      </c>
      <c r="M76" s="631">
        <f t="shared" si="15"/>
        <v>0</v>
      </c>
      <c r="N76" s="631">
        <f t="shared" si="15"/>
        <v>0</v>
      </c>
      <c r="O76" s="630">
        <f t="shared" si="15"/>
        <v>0</v>
      </c>
      <c r="P76" s="631">
        <f t="shared" si="15"/>
        <v>0</v>
      </c>
      <c r="Q76" s="631">
        <f t="shared" si="15"/>
        <v>0</v>
      </c>
      <c r="R76" s="631">
        <f t="shared" si="15"/>
        <v>0</v>
      </c>
      <c r="S76" s="631">
        <f t="shared" si="15"/>
        <v>0</v>
      </c>
      <c r="T76" s="631">
        <f t="shared" si="15"/>
        <v>0</v>
      </c>
      <c r="U76" s="632">
        <f t="shared" si="15"/>
        <v>0</v>
      </c>
      <c r="V76" s="630">
        <f t="shared" si="15"/>
        <v>0</v>
      </c>
      <c r="W76" s="631">
        <f t="shared" si="15"/>
        <v>0</v>
      </c>
      <c r="X76" s="631">
        <f t="shared" si="15"/>
        <v>0</v>
      </c>
      <c r="Y76" s="632">
        <f t="shared" si="15"/>
        <v>0</v>
      </c>
      <c r="Z76" s="586">
        <f t="shared" si="8"/>
        <v>0</v>
      </c>
      <c r="AB76" s="633">
        <f t="shared" si="12"/>
        <v>0</v>
      </c>
      <c r="AC76" s="633">
        <f t="shared" si="12"/>
        <v>0</v>
      </c>
      <c r="AD76" s="633">
        <f t="shared" si="10"/>
        <v>0</v>
      </c>
      <c r="AE76" s="633">
        <f>IF('[1]Pricing Summary'!$B$31="T&amp;M",AB76,AD76)</f>
        <v>0</v>
      </c>
    </row>
    <row r="77" spans="1:31" ht="15.75" customHeight="1" x14ac:dyDescent="0.2">
      <c r="A77" s="242">
        <v>7</v>
      </c>
      <c r="B77" s="629" t="str">
        <f t="shared" si="5"/>
        <v/>
      </c>
      <c r="C77" s="583" t="str">
        <f t="shared" si="5"/>
        <v/>
      </c>
      <c r="D77" s="245" t="s">
        <v>11</v>
      </c>
      <c r="E77" s="630">
        <f t="shared" ref="E77:Y77" si="16">E25+IF(SUM($Z$19:$Z$58)=0,0,E$62*$Z25/SUM($Z$19:$Z$58))</f>
        <v>0</v>
      </c>
      <c r="F77" s="631">
        <f t="shared" si="16"/>
        <v>0</v>
      </c>
      <c r="G77" s="631">
        <f t="shared" si="16"/>
        <v>0</v>
      </c>
      <c r="H77" s="631">
        <f t="shared" si="16"/>
        <v>0</v>
      </c>
      <c r="I77" s="631">
        <f t="shared" si="16"/>
        <v>0</v>
      </c>
      <c r="J77" s="631">
        <f t="shared" si="16"/>
        <v>0</v>
      </c>
      <c r="K77" s="631">
        <f t="shared" si="16"/>
        <v>0</v>
      </c>
      <c r="L77" s="631">
        <f t="shared" si="16"/>
        <v>0</v>
      </c>
      <c r="M77" s="631">
        <f t="shared" si="16"/>
        <v>0</v>
      </c>
      <c r="N77" s="631">
        <f t="shared" si="16"/>
        <v>0</v>
      </c>
      <c r="O77" s="630">
        <f t="shared" si="16"/>
        <v>0</v>
      </c>
      <c r="P77" s="631">
        <f t="shared" si="16"/>
        <v>0</v>
      </c>
      <c r="Q77" s="631">
        <f t="shared" si="16"/>
        <v>0</v>
      </c>
      <c r="R77" s="631">
        <f t="shared" si="16"/>
        <v>0</v>
      </c>
      <c r="S77" s="631">
        <f t="shared" si="16"/>
        <v>0</v>
      </c>
      <c r="T77" s="631">
        <f t="shared" si="16"/>
        <v>0</v>
      </c>
      <c r="U77" s="632">
        <f t="shared" si="16"/>
        <v>0</v>
      </c>
      <c r="V77" s="630">
        <f t="shared" si="16"/>
        <v>0</v>
      </c>
      <c r="W77" s="631">
        <f t="shared" si="16"/>
        <v>0</v>
      </c>
      <c r="X77" s="631">
        <f t="shared" si="16"/>
        <v>0</v>
      </c>
      <c r="Y77" s="632">
        <f t="shared" si="16"/>
        <v>0</v>
      </c>
      <c r="Z77" s="586">
        <f t="shared" si="8"/>
        <v>0</v>
      </c>
      <c r="AB77" s="633">
        <f t="shared" si="12"/>
        <v>0</v>
      </c>
      <c r="AC77" s="633">
        <f t="shared" si="12"/>
        <v>0</v>
      </c>
      <c r="AD77" s="633">
        <f t="shared" si="10"/>
        <v>0</v>
      </c>
      <c r="AE77" s="633">
        <f>IF('[1]Pricing Summary'!$B$31="T&amp;M",AB77,AD77)</f>
        <v>0</v>
      </c>
    </row>
    <row r="78" spans="1:31" ht="15.75" customHeight="1" x14ac:dyDescent="0.2">
      <c r="A78" s="242">
        <v>8</v>
      </c>
      <c r="B78" s="629" t="str">
        <f t="shared" si="5"/>
        <v/>
      </c>
      <c r="C78" s="583" t="str">
        <f t="shared" si="5"/>
        <v/>
      </c>
      <c r="D78" s="245" t="s">
        <v>11</v>
      </c>
      <c r="E78" s="630">
        <f t="shared" ref="E78:Y78" si="17">E26+IF(SUM($Z$19:$Z$58)=0,0,E$62*$Z26/SUM($Z$19:$Z$58))</f>
        <v>0</v>
      </c>
      <c r="F78" s="631">
        <f t="shared" si="17"/>
        <v>0</v>
      </c>
      <c r="G78" s="631">
        <f t="shared" si="17"/>
        <v>0</v>
      </c>
      <c r="H78" s="631">
        <f t="shared" si="17"/>
        <v>0</v>
      </c>
      <c r="I78" s="631">
        <f t="shared" si="17"/>
        <v>0</v>
      </c>
      <c r="J78" s="631">
        <f t="shared" si="17"/>
        <v>0</v>
      </c>
      <c r="K78" s="631">
        <f t="shared" si="17"/>
        <v>0</v>
      </c>
      <c r="L78" s="631">
        <f t="shared" si="17"/>
        <v>0</v>
      </c>
      <c r="M78" s="631">
        <f t="shared" si="17"/>
        <v>0</v>
      </c>
      <c r="N78" s="631">
        <f t="shared" si="17"/>
        <v>0</v>
      </c>
      <c r="O78" s="630">
        <f t="shared" si="17"/>
        <v>0</v>
      </c>
      <c r="P78" s="631">
        <f t="shared" si="17"/>
        <v>0</v>
      </c>
      <c r="Q78" s="631">
        <f t="shared" si="17"/>
        <v>0</v>
      </c>
      <c r="R78" s="631">
        <f t="shared" si="17"/>
        <v>0</v>
      </c>
      <c r="S78" s="631">
        <f t="shared" si="17"/>
        <v>0</v>
      </c>
      <c r="T78" s="631">
        <f t="shared" si="17"/>
        <v>0</v>
      </c>
      <c r="U78" s="632">
        <f t="shared" si="17"/>
        <v>0</v>
      </c>
      <c r="V78" s="630">
        <f t="shared" si="17"/>
        <v>0</v>
      </c>
      <c r="W78" s="631">
        <f t="shared" si="17"/>
        <v>0</v>
      </c>
      <c r="X78" s="631">
        <f t="shared" si="17"/>
        <v>0</v>
      </c>
      <c r="Y78" s="632">
        <f t="shared" si="17"/>
        <v>0</v>
      </c>
      <c r="Z78" s="586">
        <f t="shared" si="8"/>
        <v>0</v>
      </c>
      <c r="AB78" s="633">
        <f t="shared" si="12"/>
        <v>0</v>
      </c>
      <c r="AC78" s="633">
        <f t="shared" si="12"/>
        <v>0</v>
      </c>
      <c r="AD78" s="633">
        <f t="shared" si="10"/>
        <v>0</v>
      </c>
      <c r="AE78" s="633">
        <f>IF('[1]Pricing Summary'!$B$31="T&amp;M",AB78,AD78)</f>
        <v>0</v>
      </c>
    </row>
    <row r="79" spans="1:31" ht="15.75" customHeight="1" x14ac:dyDescent="0.2">
      <c r="A79" s="242">
        <v>9</v>
      </c>
      <c r="B79" s="629" t="str">
        <f t="shared" si="5"/>
        <v/>
      </c>
      <c r="C79" s="583" t="str">
        <f t="shared" si="5"/>
        <v/>
      </c>
      <c r="D79" s="245" t="s">
        <v>11</v>
      </c>
      <c r="E79" s="630">
        <f t="shared" ref="E79:Y79" si="18">E27+IF(SUM($Z$19:$Z$58)=0,0,E$62*$Z27/SUM($Z$19:$Z$58))</f>
        <v>0</v>
      </c>
      <c r="F79" s="631">
        <f t="shared" si="18"/>
        <v>0</v>
      </c>
      <c r="G79" s="631">
        <f t="shared" si="18"/>
        <v>0</v>
      </c>
      <c r="H79" s="631">
        <f t="shared" si="18"/>
        <v>0</v>
      </c>
      <c r="I79" s="631">
        <f t="shared" si="18"/>
        <v>0</v>
      </c>
      <c r="J79" s="631">
        <f t="shared" si="18"/>
        <v>0</v>
      </c>
      <c r="K79" s="631">
        <f t="shared" si="18"/>
        <v>0</v>
      </c>
      <c r="L79" s="631">
        <f t="shared" si="18"/>
        <v>0</v>
      </c>
      <c r="M79" s="631">
        <f t="shared" si="18"/>
        <v>0</v>
      </c>
      <c r="N79" s="631">
        <f t="shared" si="18"/>
        <v>0</v>
      </c>
      <c r="O79" s="630">
        <f t="shared" si="18"/>
        <v>0</v>
      </c>
      <c r="P79" s="631">
        <f t="shared" si="18"/>
        <v>0</v>
      </c>
      <c r="Q79" s="631">
        <f t="shared" si="18"/>
        <v>0</v>
      </c>
      <c r="R79" s="631">
        <f t="shared" si="18"/>
        <v>0</v>
      </c>
      <c r="S79" s="631">
        <f t="shared" si="18"/>
        <v>0</v>
      </c>
      <c r="T79" s="631">
        <f t="shared" si="18"/>
        <v>0</v>
      </c>
      <c r="U79" s="632">
        <f t="shared" si="18"/>
        <v>0</v>
      </c>
      <c r="V79" s="630">
        <f t="shared" si="18"/>
        <v>0</v>
      </c>
      <c r="W79" s="631">
        <f t="shared" si="18"/>
        <v>0</v>
      </c>
      <c r="X79" s="631">
        <f t="shared" si="18"/>
        <v>0</v>
      </c>
      <c r="Y79" s="632">
        <f t="shared" si="18"/>
        <v>0</v>
      </c>
      <c r="Z79" s="586">
        <f t="shared" si="8"/>
        <v>0</v>
      </c>
      <c r="AB79" s="633">
        <f t="shared" si="12"/>
        <v>0</v>
      </c>
      <c r="AC79" s="633">
        <f t="shared" si="12"/>
        <v>0</v>
      </c>
      <c r="AD79" s="633">
        <f t="shared" si="10"/>
        <v>0</v>
      </c>
      <c r="AE79" s="633">
        <f>IF('[1]Pricing Summary'!$B$31="T&amp;M",AB79,AD79)</f>
        <v>0</v>
      </c>
    </row>
    <row r="80" spans="1:31" ht="15.75" customHeight="1" thickBot="1" x14ac:dyDescent="0.25">
      <c r="A80" s="242">
        <v>10</v>
      </c>
      <c r="B80" s="629" t="str">
        <f t="shared" si="5"/>
        <v/>
      </c>
      <c r="C80" s="583" t="str">
        <f t="shared" si="5"/>
        <v/>
      </c>
      <c r="D80" s="245" t="s">
        <v>11</v>
      </c>
      <c r="E80" s="630">
        <f t="shared" ref="E80:Y80" si="19">E28+IF(SUM($Z$19:$Z$58)=0,0,E$62*$Z28/SUM($Z$19:$Z$58))</f>
        <v>0</v>
      </c>
      <c r="F80" s="631">
        <f t="shared" si="19"/>
        <v>0</v>
      </c>
      <c r="G80" s="631">
        <f t="shared" si="19"/>
        <v>0</v>
      </c>
      <c r="H80" s="631">
        <f t="shared" si="19"/>
        <v>0</v>
      </c>
      <c r="I80" s="631">
        <f t="shared" si="19"/>
        <v>0</v>
      </c>
      <c r="J80" s="631">
        <f t="shared" si="19"/>
        <v>0</v>
      </c>
      <c r="K80" s="631">
        <f t="shared" si="19"/>
        <v>0</v>
      </c>
      <c r="L80" s="631">
        <f t="shared" si="19"/>
        <v>0</v>
      </c>
      <c r="M80" s="631">
        <f t="shared" si="19"/>
        <v>0</v>
      </c>
      <c r="N80" s="631">
        <f t="shared" si="19"/>
        <v>0</v>
      </c>
      <c r="O80" s="630">
        <f t="shared" si="19"/>
        <v>0</v>
      </c>
      <c r="P80" s="631">
        <f t="shared" si="19"/>
        <v>0</v>
      </c>
      <c r="Q80" s="631">
        <f t="shared" si="19"/>
        <v>0</v>
      </c>
      <c r="R80" s="631">
        <f t="shared" si="19"/>
        <v>0</v>
      </c>
      <c r="S80" s="631">
        <f t="shared" si="19"/>
        <v>0</v>
      </c>
      <c r="T80" s="631">
        <f t="shared" si="19"/>
        <v>0</v>
      </c>
      <c r="U80" s="632">
        <f t="shared" si="19"/>
        <v>0</v>
      </c>
      <c r="V80" s="630">
        <f t="shared" si="19"/>
        <v>0</v>
      </c>
      <c r="W80" s="631">
        <f t="shared" si="19"/>
        <v>0</v>
      </c>
      <c r="X80" s="631">
        <f t="shared" si="19"/>
        <v>0</v>
      </c>
      <c r="Y80" s="632">
        <f t="shared" si="19"/>
        <v>0</v>
      </c>
      <c r="Z80" s="586">
        <f t="shared" si="8"/>
        <v>0</v>
      </c>
      <c r="AB80" s="633">
        <f t="shared" si="12"/>
        <v>0</v>
      </c>
      <c r="AC80" s="633">
        <f t="shared" si="12"/>
        <v>0</v>
      </c>
      <c r="AD80" s="633">
        <f t="shared" si="10"/>
        <v>0</v>
      </c>
      <c r="AE80" s="633">
        <f>IF('[1]Pricing Summary'!$B$31="T&amp;M",AB80,AD80)</f>
        <v>0</v>
      </c>
    </row>
    <row r="81" spans="1:31" ht="15.75" hidden="1" customHeight="1" outlineLevel="1" x14ac:dyDescent="0.2">
      <c r="A81" s="242">
        <v>11</v>
      </c>
      <c r="B81" s="629" t="str">
        <f t="shared" si="5"/>
        <v/>
      </c>
      <c r="C81" s="583" t="str">
        <f t="shared" si="5"/>
        <v/>
      </c>
      <c r="D81" s="245" t="s">
        <v>11</v>
      </c>
      <c r="E81" s="630">
        <f t="shared" ref="E81:Y81" si="20">E29+IF(SUM($Z$19:$Z$58)=0,0,E$62*$Z29/SUM($Z$19:$Z$58))</f>
        <v>0</v>
      </c>
      <c r="F81" s="631">
        <f t="shared" si="20"/>
        <v>0</v>
      </c>
      <c r="G81" s="631">
        <f t="shared" si="20"/>
        <v>0</v>
      </c>
      <c r="H81" s="631">
        <f t="shared" si="20"/>
        <v>0</v>
      </c>
      <c r="I81" s="631">
        <f t="shared" si="20"/>
        <v>0</v>
      </c>
      <c r="J81" s="631">
        <f t="shared" si="20"/>
        <v>0</v>
      </c>
      <c r="K81" s="631">
        <f t="shared" si="20"/>
        <v>0</v>
      </c>
      <c r="L81" s="631">
        <f t="shared" si="20"/>
        <v>0</v>
      </c>
      <c r="M81" s="631">
        <f t="shared" si="20"/>
        <v>0</v>
      </c>
      <c r="N81" s="631">
        <f t="shared" si="20"/>
        <v>0</v>
      </c>
      <c r="O81" s="630">
        <f t="shared" si="20"/>
        <v>0</v>
      </c>
      <c r="P81" s="631">
        <f t="shared" si="20"/>
        <v>0</v>
      </c>
      <c r="Q81" s="631">
        <f t="shared" si="20"/>
        <v>0</v>
      </c>
      <c r="R81" s="631">
        <f t="shared" si="20"/>
        <v>0</v>
      </c>
      <c r="S81" s="631">
        <f t="shared" si="20"/>
        <v>0</v>
      </c>
      <c r="T81" s="631">
        <f t="shared" si="20"/>
        <v>0</v>
      </c>
      <c r="U81" s="632">
        <f t="shared" si="20"/>
        <v>0</v>
      </c>
      <c r="V81" s="630">
        <f t="shared" si="20"/>
        <v>0</v>
      </c>
      <c r="W81" s="631">
        <f t="shared" si="20"/>
        <v>0</v>
      </c>
      <c r="X81" s="631">
        <f t="shared" si="20"/>
        <v>0</v>
      </c>
      <c r="Y81" s="632">
        <f t="shared" si="20"/>
        <v>0</v>
      </c>
      <c r="Z81" s="586">
        <f t="shared" si="8"/>
        <v>0</v>
      </c>
      <c r="AB81" s="633">
        <f t="shared" si="12"/>
        <v>0</v>
      </c>
      <c r="AC81" s="633">
        <f t="shared" si="12"/>
        <v>0</v>
      </c>
      <c r="AD81" s="633">
        <f t="shared" si="10"/>
        <v>0</v>
      </c>
      <c r="AE81" s="634">
        <f>IF('[1]Pricing Summary'!$B$31="T&amp;M",AB81,AD81)</f>
        <v>0</v>
      </c>
    </row>
    <row r="82" spans="1:31" ht="15.75" hidden="1" customHeight="1" outlineLevel="1" x14ac:dyDescent="0.2">
      <c r="A82" s="242">
        <v>12</v>
      </c>
      <c r="B82" s="629" t="str">
        <f t="shared" si="5"/>
        <v/>
      </c>
      <c r="C82" s="583" t="str">
        <f t="shared" si="5"/>
        <v/>
      </c>
      <c r="D82" s="245" t="s">
        <v>11</v>
      </c>
      <c r="E82" s="630">
        <f t="shared" ref="E82:Y82" si="21">E30+IF(SUM($Z$19:$Z$58)=0,0,E$62*$Z30/SUM($Z$19:$Z$58))</f>
        <v>0</v>
      </c>
      <c r="F82" s="631">
        <f t="shared" si="21"/>
        <v>0</v>
      </c>
      <c r="G82" s="631">
        <f t="shared" si="21"/>
        <v>0</v>
      </c>
      <c r="H82" s="631">
        <f t="shared" si="21"/>
        <v>0</v>
      </c>
      <c r="I82" s="631">
        <f t="shared" si="21"/>
        <v>0</v>
      </c>
      <c r="J82" s="631">
        <f t="shared" si="21"/>
        <v>0</v>
      </c>
      <c r="K82" s="631">
        <f t="shared" si="21"/>
        <v>0</v>
      </c>
      <c r="L82" s="631">
        <f t="shared" si="21"/>
        <v>0</v>
      </c>
      <c r="M82" s="631">
        <f t="shared" si="21"/>
        <v>0</v>
      </c>
      <c r="N82" s="631">
        <f t="shared" si="21"/>
        <v>0</v>
      </c>
      <c r="O82" s="630">
        <f t="shared" si="21"/>
        <v>0</v>
      </c>
      <c r="P82" s="631">
        <f t="shared" si="21"/>
        <v>0</v>
      </c>
      <c r="Q82" s="631">
        <f t="shared" si="21"/>
        <v>0</v>
      </c>
      <c r="R82" s="631">
        <f t="shared" si="21"/>
        <v>0</v>
      </c>
      <c r="S82" s="631">
        <f t="shared" si="21"/>
        <v>0</v>
      </c>
      <c r="T82" s="631">
        <f t="shared" si="21"/>
        <v>0</v>
      </c>
      <c r="U82" s="632">
        <f t="shared" si="21"/>
        <v>0</v>
      </c>
      <c r="V82" s="630">
        <f t="shared" si="21"/>
        <v>0</v>
      </c>
      <c r="W82" s="631">
        <f t="shared" si="21"/>
        <v>0</v>
      </c>
      <c r="X82" s="631">
        <f t="shared" si="21"/>
        <v>0</v>
      </c>
      <c r="Y82" s="632">
        <f t="shared" si="21"/>
        <v>0</v>
      </c>
      <c r="Z82" s="586">
        <f t="shared" si="8"/>
        <v>0</v>
      </c>
      <c r="AB82" s="633">
        <f t="shared" si="12"/>
        <v>0</v>
      </c>
      <c r="AC82" s="633">
        <f t="shared" si="12"/>
        <v>0</v>
      </c>
      <c r="AD82" s="633">
        <f t="shared" si="10"/>
        <v>0</v>
      </c>
      <c r="AE82" s="634">
        <f>IF('[1]Pricing Summary'!$B$31="T&amp;M",AB82,AD82)</f>
        <v>0</v>
      </c>
    </row>
    <row r="83" spans="1:31" ht="15.75" hidden="1" customHeight="1" outlineLevel="1" x14ac:dyDescent="0.2">
      <c r="A83" s="242">
        <v>13</v>
      </c>
      <c r="B83" s="629" t="str">
        <f t="shared" si="5"/>
        <v/>
      </c>
      <c r="C83" s="583" t="str">
        <f t="shared" si="5"/>
        <v/>
      </c>
      <c r="D83" s="245" t="s">
        <v>11</v>
      </c>
      <c r="E83" s="630">
        <f t="shared" ref="E83:Y83" si="22">E31+IF(SUM($Z$19:$Z$58)=0,0,E$62*$Z31/SUM($Z$19:$Z$58))</f>
        <v>0</v>
      </c>
      <c r="F83" s="631">
        <f t="shared" si="22"/>
        <v>0</v>
      </c>
      <c r="G83" s="631">
        <f t="shared" si="22"/>
        <v>0</v>
      </c>
      <c r="H83" s="631">
        <f t="shared" si="22"/>
        <v>0</v>
      </c>
      <c r="I83" s="631">
        <f t="shared" si="22"/>
        <v>0</v>
      </c>
      <c r="J83" s="631">
        <f t="shared" si="22"/>
        <v>0</v>
      </c>
      <c r="K83" s="631">
        <f t="shared" si="22"/>
        <v>0</v>
      </c>
      <c r="L83" s="631">
        <f t="shared" si="22"/>
        <v>0</v>
      </c>
      <c r="M83" s="631">
        <f t="shared" si="22"/>
        <v>0</v>
      </c>
      <c r="N83" s="631">
        <f t="shared" si="22"/>
        <v>0</v>
      </c>
      <c r="O83" s="630">
        <f t="shared" si="22"/>
        <v>0</v>
      </c>
      <c r="P83" s="631">
        <f t="shared" si="22"/>
        <v>0</v>
      </c>
      <c r="Q83" s="631">
        <f t="shared" si="22"/>
        <v>0</v>
      </c>
      <c r="R83" s="631">
        <f t="shared" si="22"/>
        <v>0</v>
      </c>
      <c r="S83" s="631">
        <f t="shared" si="22"/>
        <v>0</v>
      </c>
      <c r="T83" s="631">
        <f t="shared" si="22"/>
        <v>0</v>
      </c>
      <c r="U83" s="632">
        <f t="shared" si="22"/>
        <v>0</v>
      </c>
      <c r="V83" s="630">
        <f t="shared" si="22"/>
        <v>0</v>
      </c>
      <c r="W83" s="631">
        <f t="shared" si="22"/>
        <v>0</v>
      </c>
      <c r="X83" s="631">
        <f t="shared" si="22"/>
        <v>0</v>
      </c>
      <c r="Y83" s="632">
        <f t="shared" si="22"/>
        <v>0</v>
      </c>
      <c r="Z83" s="586">
        <f t="shared" si="8"/>
        <v>0</v>
      </c>
      <c r="AB83" s="633">
        <f t="shared" si="12"/>
        <v>0</v>
      </c>
      <c r="AC83" s="633">
        <f t="shared" si="12"/>
        <v>0</v>
      </c>
      <c r="AD83" s="633">
        <f t="shared" si="10"/>
        <v>0</v>
      </c>
      <c r="AE83" s="634">
        <f>IF('[1]Pricing Summary'!$B$31="T&amp;M",AB83,AD83)</f>
        <v>0</v>
      </c>
    </row>
    <row r="84" spans="1:31" ht="15.75" hidden="1" customHeight="1" outlineLevel="1" x14ac:dyDescent="0.2">
      <c r="A84" s="242">
        <v>14</v>
      </c>
      <c r="B84" s="629" t="str">
        <f t="shared" si="5"/>
        <v/>
      </c>
      <c r="C84" s="583" t="str">
        <f t="shared" si="5"/>
        <v/>
      </c>
      <c r="D84" s="245" t="s">
        <v>11</v>
      </c>
      <c r="E84" s="630">
        <f t="shared" ref="E84:Y84" si="23">E32+IF(SUM($Z$19:$Z$58)=0,0,E$62*$Z32/SUM($Z$19:$Z$58))</f>
        <v>0</v>
      </c>
      <c r="F84" s="631">
        <f t="shared" si="23"/>
        <v>0</v>
      </c>
      <c r="G84" s="631">
        <f t="shared" si="23"/>
        <v>0</v>
      </c>
      <c r="H84" s="631">
        <f t="shared" si="23"/>
        <v>0</v>
      </c>
      <c r="I84" s="631">
        <f t="shared" si="23"/>
        <v>0</v>
      </c>
      <c r="J84" s="631">
        <f t="shared" si="23"/>
        <v>0</v>
      </c>
      <c r="K84" s="631">
        <f t="shared" si="23"/>
        <v>0</v>
      </c>
      <c r="L84" s="631">
        <f t="shared" si="23"/>
        <v>0</v>
      </c>
      <c r="M84" s="631">
        <f t="shared" si="23"/>
        <v>0</v>
      </c>
      <c r="N84" s="631">
        <f t="shared" si="23"/>
        <v>0</v>
      </c>
      <c r="O84" s="630">
        <f t="shared" si="23"/>
        <v>0</v>
      </c>
      <c r="P84" s="631">
        <f t="shared" si="23"/>
        <v>0</v>
      </c>
      <c r="Q84" s="631">
        <f t="shared" si="23"/>
        <v>0</v>
      </c>
      <c r="R84" s="631">
        <f t="shared" si="23"/>
        <v>0</v>
      </c>
      <c r="S84" s="631">
        <f t="shared" si="23"/>
        <v>0</v>
      </c>
      <c r="T84" s="631">
        <f t="shared" si="23"/>
        <v>0</v>
      </c>
      <c r="U84" s="632">
        <f t="shared" si="23"/>
        <v>0</v>
      </c>
      <c r="V84" s="630">
        <f t="shared" si="23"/>
        <v>0</v>
      </c>
      <c r="W84" s="631">
        <f t="shared" si="23"/>
        <v>0</v>
      </c>
      <c r="X84" s="631">
        <f t="shared" si="23"/>
        <v>0</v>
      </c>
      <c r="Y84" s="632">
        <f t="shared" si="23"/>
        <v>0</v>
      </c>
      <c r="Z84" s="586">
        <f t="shared" si="8"/>
        <v>0</v>
      </c>
      <c r="AB84" s="633">
        <f t="shared" si="12"/>
        <v>0</v>
      </c>
      <c r="AC84" s="633">
        <f t="shared" si="12"/>
        <v>0</v>
      </c>
      <c r="AD84" s="633">
        <f t="shared" si="10"/>
        <v>0</v>
      </c>
      <c r="AE84" s="634">
        <f>IF('[1]Pricing Summary'!$B$31="T&amp;M",AB84,AD84)</f>
        <v>0</v>
      </c>
    </row>
    <row r="85" spans="1:31" ht="15.75" hidden="1" customHeight="1" outlineLevel="1" x14ac:dyDescent="0.2">
      <c r="A85" s="242">
        <v>15</v>
      </c>
      <c r="B85" s="629" t="str">
        <f t="shared" si="5"/>
        <v/>
      </c>
      <c r="C85" s="583" t="str">
        <f t="shared" si="5"/>
        <v/>
      </c>
      <c r="D85" s="245" t="s">
        <v>11</v>
      </c>
      <c r="E85" s="630">
        <f t="shared" ref="E85:Y85" si="24">E33+IF(SUM($Z$19:$Z$58)=0,0,E$62*$Z33/SUM($Z$19:$Z$58))</f>
        <v>0</v>
      </c>
      <c r="F85" s="631">
        <f t="shared" si="24"/>
        <v>0</v>
      </c>
      <c r="G85" s="631">
        <f t="shared" si="24"/>
        <v>0</v>
      </c>
      <c r="H85" s="631">
        <f t="shared" si="24"/>
        <v>0</v>
      </c>
      <c r="I85" s="631">
        <f t="shared" si="24"/>
        <v>0</v>
      </c>
      <c r="J85" s="631">
        <f t="shared" si="24"/>
        <v>0</v>
      </c>
      <c r="K85" s="631">
        <f t="shared" si="24"/>
        <v>0</v>
      </c>
      <c r="L85" s="631">
        <f t="shared" si="24"/>
        <v>0</v>
      </c>
      <c r="M85" s="631">
        <f t="shared" si="24"/>
        <v>0</v>
      </c>
      <c r="N85" s="631">
        <f t="shared" si="24"/>
        <v>0</v>
      </c>
      <c r="O85" s="630">
        <f t="shared" si="24"/>
        <v>0</v>
      </c>
      <c r="P85" s="631">
        <f t="shared" si="24"/>
        <v>0</v>
      </c>
      <c r="Q85" s="631">
        <f t="shared" si="24"/>
        <v>0</v>
      </c>
      <c r="R85" s="631">
        <f t="shared" si="24"/>
        <v>0</v>
      </c>
      <c r="S85" s="631">
        <f t="shared" si="24"/>
        <v>0</v>
      </c>
      <c r="T85" s="631">
        <f t="shared" si="24"/>
        <v>0</v>
      </c>
      <c r="U85" s="632">
        <f t="shared" si="24"/>
        <v>0</v>
      </c>
      <c r="V85" s="630">
        <f t="shared" si="24"/>
        <v>0</v>
      </c>
      <c r="W85" s="631">
        <f t="shared" si="24"/>
        <v>0</v>
      </c>
      <c r="X85" s="631">
        <f t="shared" si="24"/>
        <v>0</v>
      </c>
      <c r="Y85" s="632">
        <f t="shared" si="24"/>
        <v>0</v>
      </c>
      <c r="Z85" s="586">
        <f t="shared" si="8"/>
        <v>0</v>
      </c>
      <c r="AB85" s="633">
        <f t="shared" si="12"/>
        <v>0</v>
      </c>
      <c r="AC85" s="633">
        <f t="shared" si="12"/>
        <v>0</v>
      </c>
      <c r="AD85" s="633">
        <f t="shared" si="10"/>
        <v>0</v>
      </c>
      <c r="AE85" s="634">
        <f>IF('[1]Pricing Summary'!$B$31="T&amp;M",AB85,AD85)</f>
        <v>0</v>
      </c>
    </row>
    <row r="86" spans="1:31" ht="15.75" hidden="1" customHeight="1" outlineLevel="1" x14ac:dyDescent="0.2">
      <c r="A86" s="242">
        <v>16</v>
      </c>
      <c r="B86" s="629" t="str">
        <f t="shared" si="5"/>
        <v/>
      </c>
      <c r="C86" s="583" t="str">
        <f t="shared" si="5"/>
        <v/>
      </c>
      <c r="D86" s="245" t="s">
        <v>11</v>
      </c>
      <c r="E86" s="630">
        <f t="shared" ref="E86:Y86" si="25">E34+IF(SUM($Z$19:$Z$58)=0,0,E$62*$Z34/SUM($Z$19:$Z$58))</f>
        <v>0</v>
      </c>
      <c r="F86" s="631">
        <f t="shared" si="25"/>
        <v>0</v>
      </c>
      <c r="G86" s="631">
        <f t="shared" si="25"/>
        <v>0</v>
      </c>
      <c r="H86" s="631">
        <f t="shared" si="25"/>
        <v>0</v>
      </c>
      <c r="I86" s="631">
        <f t="shared" si="25"/>
        <v>0</v>
      </c>
      <c r="J86" s="631">
        <f t="shared" si="25"/>
        <v>0</v>
      </c>
      <c r="K86" s="631">
        <f t="shared" si="25"/>
        <v>0</v>
      </c>
      <c r="L86" s="631">
        <f t="shared" si="25"/>
        <v>0</v>
      </c>
      <c r="M86" s="631">
        <f t="shared" si="25"/>
        <v>0</v>
      </c>
      <c r="N86" s="631">
        <f t="shared" si="25"/>
        <v>0</v>
      </c>
      <c r="O86" s="630">
        <f t="shared" si="25"/>
        <v>0</v>
      </c>
      <c r="P86" s="631">
        <f t="shared" si="25"/>
        <v>0</v>
      </c>
      <c r="Q86" s="631">
        <f t="shared" si="25"/>
        <v>0</v>
      </c>
      <c r="R86" s="631">
        <f t="shared" si="25"/>
        <v>0</v>
      </c>
      <c r="S86" s="631">
        <f t="shared" si="25"/>
        <v>0</v>
      </c>
      <c r="T86" s="631">
        <f t="shared" si="25"/>
        <v>0</v>
      </c>
      <c r="U86" s="632">
        <f t="shared" si="25"/>
        <v>0</v>
      </c>
      <c r="V86" s="630">
        <f t="shared" si="25"/>
        <v>0</v>
      </c>
      <c r="W86" s="631">
        <f t="shared" si="25"/>
        <v>0</v>
      </c>
      <c r="X86" s="631">
        <f t="shared" si="25"/>
        <v>0</v>
      </c>
      <c r="Y86" s="632">
        <f t="shared" si="25"/>
        <v>0</v>
      </c>
      <c r="Z86" s="586">
        <f t="shared" si="8"/>
        <v>0</v>
      </c>
      <c r="AB86" s="633">
        <f t="shared" si="12"/>
        <v>0</v>
      </c>
      <c r="AC86" s="633">
        <f t="shared" si="12"/>
        <v>0</v>
      </c>
      <c r="AD86" s="633">
        <f t="shared" si="10"/>
        <v>0</v>
      </c>
      <c r="AE86" s="634">
        <f>IF('[1]Pricing Summary'!$B$31="T&amp;M",AB86,AD86)</f>
        <v>0</v>
      </c>
    </row>
    <row r="87" spans="1:31" ht="15.75" hidden="1" customHeight="1" outlineLevel="1" x14ac:dyDescent="0.2">
      <c r="A87" s="242">
        <v>17</v>
      </c>
      <c r="B87" s="629" t="str">
        <f t="shared" ref="B87:C102" si="26">B35</f>
        <v/>
      </c>
      <c r="C87" s="583" t="str">
        <f t="shared" si="26"/>
        <v/>
      </c>
      <c r="D87" s="245" t="s">
        <v>11</v>
      </c>
      <c r="E87" s="630">
        <f t="shared" ref="E87:Y87" si="27">E35+IF(SUM($Z$19:$Z$58)=0,0,E$62*$Z35/SUM($Z$19:$Z$58))</f>
        <v>0</v>
      </c>
      <c r="F87" s="631">
        <f t="shared" si="27"/>
        <v>0</v>
      </c>
      <c r="G87" s="631">
        <f t="shared" si="27"/>
        <v>0</v>
      </c>
      <c r="H87" s="631">
        <f t="shared" si="27"/>
        <v>0</v>
      </c>
      <c r="I87" s="631">
        <f t="shared" si="27"/>
        <v>0</v>
      </c>
      <c r="J87" s="631">
        <f t="shared" si="27"/>
        <v>0</v>
      </c>
      <c r="K87" s="631">
        <f t="shared" si="27"/>
        <v>0</v>
      </c>
      <c r="L87" s="631">
        <f t="shared" si="27"/>
        <v>0</v>
      </c>
      <c r="M87" s="631">
        <f t="shared" si="27"/>
        <v>0</v>
      </c>
      <c r="N87" s="631">
        <f t="shared" si="27"/>
        <v>0</v>
      </c>
      <c r="O87" s="630">
        <f t="shared" si="27"/>
        <v>0</v>
      </c>
      <c r="P87" s="631">
        <f t="shared" si="27"/>
        <v>0</v>
      </c>
      <c r="Q87" s="631">
        <f t="shared" si="27"/>
        <v>0</v>
      </c>
      <c r="R87" s="631">
        <f t="shared" si="27"/>
        <v>0</v>
      </c>
      <c r="S87" s="631">
        <f t="shared" si="27"/>
        <v>0</v>
      </c>
      <c r="T87" s="631">
        <f t="shared" si="27"/>
        <v>0</v>
      </c>
      <c r="U87" s="632">
        <f t="shared" si="27"/>
        <v>0</v>
      </c>
      <c r="V87" s="630">
        <f t="shared" si="27"/>
        <v>0</v>
      </c>
      <c r="W87" s="631">
        <f t="shared" si="27"/>
        <v>0</v>
      </c>
      <c r="X87" s="631">
        <f t="shared" si="27"/>
        <v>0</v>
      </c>
      <c r="Y87" s="632">
        <f t="shared" si="27"/>
        <v>0</v>
      </c>
      <c r="Z87" s="586">
        <f t="shared" si="8"/>
        <v>0</v>
      </c>
      <c r="AB87" s="633">
        <f t="shared" si="12"/>
        <v>0</v>
      </c>
      <c r="AC87" s="633">
        <f t="shared" si="12"/>
        <v>0</v>
      </c>
      <c r="AD87" s="633">
        <f t="shared" si="10"/>
        <v>0</v>
      </c>
      <c r="AE87" s="634">
        <f>IF('[1]Pricing Summary'!$B$31="T&amp;M",AB87,AD87)</f>
        <v>0</v>
      </c>
    </row>
    <row r="88" spans="1:31" ht="15.75" hidden="1" customHeight="1" outlineLevel="1" x14ac:dyDescent="0.2">
      <c r="A88" s="242">
        <v>18</v>
      </c>
      <c r="B88" s="629" t="str">
        <f t="shared" si="26"/>
        <v/>
      </c>
      <c r="C88" s="583" t="str">
        <f t="shared" si="26"/>
        <v/>
      </c>
      <c r="D88" s="245" t="s">
        <v>11</v>
      </c>
      <c r="E88" s="630">
        <f t="shared" ref="E88:Y88" si="28">E36+IF(SUM($Z$19:$Z$58)=0,0,E$62*$Z36/SUM($Z$19:$Z$58))</f>
        <v>0</v>
      </c>
      <c r="F88" s="631">
        <f t="shared" si="28"/>
        <v>0</v>
      </c>
      <c r="G88" s="631">
        <f t="shared" si="28"/>
        <v>0</v>
      </c>
      <c r="H88" s="631">
        <f t="shared" si="28"/>
        <v>0</v>
      </c>
      <c r="I88" s="631">
        <f t="shared" si="28"/>
        <v>0</v>
      </c>
      <c r="J88" s="631">
        <f t="shared" si="28"/>
        <v>0</v>
      </c>
      <c r="K88" s="631">
        <f t="shared" si="28"/>
        <v>0</v>
      </c>
      <c r="L88" s="631">
        <f t="shared" si="28"/>
        <v>0</v>
      </c>
      <c r="M88" s="631">
        <f t="shared" si="28"/>
        <v>0</v>
      </c>
      <c r="N88" s="631">
        <f t="shared" si="28"/>
        <v>0</v>
      </c>
      <c r="O88" s="630">
        <f t="shared" si="28"/>
        <v>0</v>
      </c>
      <c r="P88" s="631">
        <f t="shared" si="28"/>
        <v>0</v>
      </c>
      <c r="Q88" s="631">
        <f t="shared" si="28"/>
        <v>0</v>
      </c>
      <c r="R88" s="631">
        <f t="shared" si="28"/>
        <v>0</v>
      </c>
      <c r="S88" s="631">
        <f t="shared" si="28"/>
        <v>0</v>
      </c>
      <c r="T88" s="631">
        <f t="shared" si="28"/>
        <v>0</v>
      </c>
      <c r="U88" s="632">
        <f t="shared" si="28"/>
        <v>0</v>
      </c>
      <c r="V88" s="630">
        <f t="shared" si="28"/>
        <v>0</v>
      </c>
      <c r="W88" s="631">
        <f t="shared" si="28"/>
        <v>0</v>
      </c>
      <c r="X88" s="631">
        <f t="shared" si="28"/>
        <v>0</v>
      </c>
      <c r="Y88" s="632">
        <f t="shared" si="28"/>
        <v>0</v>
      </c>
      <c r="Z88" s="586">
        <f t="shared" si="8"/>
        <v>0</v>
      </c>
      <c r="AB88" s="633">
        <f t="shared" si="12"/>
        <v>0</v>
      </c>
      <c r="AC88" s="633">
        <f t="shared" si="12"/>
        <v>0</v>
      </c>
      <c r="AD88" s="633">
        <f t="shared" si="10"/>
        <v>0</v>
      </c>
      <c r="AE88" s="634">
        <f>IF('[1]Pricing Summary'!$B$31="T&amp;M",AB88,AD88)</f>
        <v>0</v>
      </c>
    </row>
    <row r="89" spans="1:31" ht="15.75" hidden="1" customHeight="1" outlineLevel="1" x14ac:dyDescent="0.2">
      <c r="A89" s="242">
        <v>19</v>
      </c>
      <c r="B89" s="629" t="str">
        <f t="shared" si="26"/>
        <v/>
      </c>
      <c r="C89" s="583" t="str">
        <f t="shared" si="26"/>
        <v/>
      </c>
      <c r="D89" s="245" t="s">
        <v>11</v>
      </c>
      <c r="E89" s="630">
        <f t="shared" ref="E89:Y89" si="29">E37+IF(SUM($Z$19:$Z$58)=0,0,E$62*$Z37/SUM($Z$19:$Z$58))</f>
        <v>0</v>
      </c>
      <c r="F89" s="631">
        <f t="shared" si="29"/>
        <v>0</v>
      </c>
      <c r="G89" s="631">
        <f t="shared" si="29"/>
        <v>0</v>
      </c>
      <c r="H89" s="631">
        <f t="shared" si="29"/>
        <v>0</v>
      </c>
      <c r="I89" s="631">
        <f t="shared" si="29"/>
        <v>0</v>
      </c>
      <c r="J89" s="631">
        <f t="shared" si="29"/>
        <v>0</v>
      </c>
      <c r="K89" s="631">
        <f t="shared" si="29"/>
        <v>0</v>
      </c>
      <c r="L89" s="631">
        <f t="shared" si="29"/>
        <v>0</v>
      </c>
      <c r="M89" s="631">
        <f t="shared" si="29"/>
        <v>0</v>
      </c>
      <c r="N89" s="631">
        <f t="shared" si="29"/>
        <v>0</v>
      </c>
      <c r="O89" s="630">
        <f t="shared" si="29"/>
        <v>0</v>
      </c>
      <c r="P89" s="631">
        <f t="shared" si="29"/>
        <v>0</v>
      </c>
      <c r="Q89" s="631">
        <f t="shared" si="29"/>
        <v>0</v>
      </c>
      <c r="R89" s="631">
        <f t="shared" si="29"/>
        <v>0</v>
      </c>
      <c r="S89" s="631">
        <f t="shared" si="29"/>
        <v>0</v>
      </c>
      <c r="T89" s="631">
        <f t="shared" si="29"/>
        <v>0</v>
      </c>
      <c r="U89" s="632">
        <f t="shared" si="29"/>
        <v>0</v>
      </c>
      <c r="V89" s="630">
        <f t="shared" si="29"/>
        <v>0</v>
      </c>
      <c r="W89" s="631">
        <f t="shared" si="29"/>
        <v>0</v>
      </c>
      <c r="X89" s="631">
        <f t="shared" si="29"/>
        <v>0</v>
      </c>
      <c r="Y89" s="632">
        <f t="shared" si="29"/>
        <v>0</v>
      </c>
      <c r="Z89" s="586">
        <f t="shared" si="8"/>
        <v>0</v>
      </c>
      <c r="AB89" s="633">
        <f t="shared" ref="AB89:AC104" si="30">AB37+IF(SUM(AB$19:AB$58)=0,0,AB$62*AB37/SUM(AB$19:AB$58))</f>
        <v>0</v>
      </c>
      <c r="AC89" s="633">
        <f t="shared" si="30"/>
        <v>0</v>
      </c>
      <c r="AD89" s="633">
        <f t="shared" si="10"/>
        <v>0</v>
      </c>
      <c r="AE89" s="634">
        <f>IF('[1]Pricing Summary'!$B$31="T&amp;M",AB89,AD89)</f>
        <v>0</v>
      </c>
    </row>
    <row r="90" spans="1:31" ht="15.75" hidden="1" customHeight="1" outlineLevel="1" x14ac:dyDescent="0.2">
      <c r="A90" s="242">
        <v>20</v>
      </c>
      <c r="B90" s="629" t="str">
        <f t="shared" si="26"/>
        <v/>
      </c>
      <c r="C90" s="583" t="str">
        <f t="shared" si="26"/>
        <v/>
      </c>
      <c r="D90" s="245" t="s">
        <v>11</v>
      </c>
      <c r="E90" s="630">
        <f t="shared" ref="E90:Y90" si="31">E38+IF(SUM($Z$19:$Z$58)=0,0,E$62*$Z38/SUM($Z$19:$Z$58))</f>
        <v>0</v>
      </c>
      <c r="F90" s="631">
        <f t="shared" si="31"/>
        <v>0</v>
      </c>
      <c r="G90" s="631">
        <f t="shared" si="31"/>
        <v>0</v>
      </c>
      <c r="H90" s="631">
        <f t="shared" si="31"/>
        <v>0</v>
      </c>
      <c r="I90" s="631">
        <f t="shared" si="31"/>
        <v>0</v>
      </c>
      <c r="J90" s="631">
        <f t="shared" si="31"/>
        <v>0</v>
      </c>
      <c r="K90" s="631">
        <f t="shared" si="31"/>
        <v>0</v>
      </c>
      <c r="L90" s="631">
        <f t="shared" si="31"/>
        <v>0</v>
      </c>
      <c r="M90" s="631">
        <f t="shared" si="31"/>
        <v>0</v>
      </c>
      <c r="N90" s="631">
        <f t="shared" si="31"/>
        <v>0</v>
      </c>
      <c r="O90" s="630">
        <f t="shared" si="31"/>
        <v>0</v>
      </c>
      <c r="P90" s="631">
        <f t="shared" si="31"/>
        <v>0</v>
      </c>
      <c r="Q90" s="631">
        <f t="shared" si="31"/>
        <v>0</v>
      </c>
      <c r="R90" s="631">
        <f t="shared" si="31"/>
        <v>0</v>
      </c>
      <c r="S90" s="631">
        <f t="shared" si="31"/>
        <v>0</v>
      </c>
      <c r="T90" s="631">
        <f t="shared" si="31"/>
        <v>0</v>
      </c>
      <c r="U90" s="632">
        <f t="shared" si="31"/>
        <v>0</v>
      </c>
      <c r="V90" s="630">
        <f t="shared" si="31"/>
        <v>0</v>
      </c>
      <c r="W90" s="631">
        <f t="shared" si="31"/>
        <v>0</v>
      </c>
      <c r="X90" s="631">
        <f t="shared" si="31"/>
        <v>0</v>
      </c>
      <c r="Y90" s="632">
        <f t="shared" si="31"/>
        <v>0</v>
      </c>
      <c r="Z90" s="586">
        <f t="shared" si="8"/>
        <v>0</v>
      </c>
      <c r="AB90" s="633">
        <f t="shared" si="30"/>
        <v>0</v>
      </c>
      <c r="AC90" s="633">
        <f t="shared" si="30"/>
        <v>0</v>
      </c>
      <c r="AD90" s="633">
        <f t="shared" si="10"/>
        <v>0</v>
      </c>
      <c r="AE90" s="634">
        <f>IF('[1]Pricing Summary'!$B$31="T&amp;M",AB90,AD90)</f>
        <v>0</v>
      </c>
    </row>
    <row r="91" spans="1:31" ht="15.75" hidden="1" customHeight="1" outlineLevel="1" x14ac:dyDescent="0.2">
      <c r="A91" s="242">
        <v>21</v>
      </c>
      <c r="B91" s="629" t="str">
        <f t="shared" si="26"/>
        <v/>
      </c>
      <c r="C91" s="583" t="str">
        <f t="shared" si="26"/>
        <v/>
      </c>
      <c r="D91" s="245" t="s">
        <v>11</v>
      </c>
      <c r="E91" s="630">
        <f t="shared" ref="E91:Y91" si="32">E39+IF(SUM($Z$19:$Z$58)=0,0,E$62*$Z39/SUM($Z$19:$Z$58))</f>
        <v>0</v>
      </c>
      <c r="F91" s="631">
        <f t="shared" si="32"/>
        <v>0</v>
      </c>
      <c r="G91" s="631">
        <f t="shared" si="32"/>
        <v>0</v>
      </c>
      <c r="H91" s="631">
        <f t="shared" si="32"/>
        <v>0</v>
      </c>
      <c r="I91" s="631">
        <f t="shared" si="32"/>
        <v>0</v>
      </c>
      <c r="J91" s="631">
        <f t="shared" si="32"/>
        <v>0</v>
      </c>
      <c r="K91" s="631">
        <f t="shared" si="32"/>
        <v>0</v>
      </c>
      <c r="L91" s="631">
        <f t="shared" si="32"/>
        <v>0</v>
      </c>
      <c r="M91" s="631">
        <f t="shared" si="32"/>
        <v>0</v>
      </c>
      <c r="N91" s="631">
        <f t="shared" si="32"/>
        <v>0</v>
      </c>
      <c r="O91" s="630">
        <f t="shared" si="32"/>
        <v>0</v>
      </c>
      <c r="P91" s="631">
        <f t="shared" si="32"/>
        <v>0</v>
      </c>
      <c r="Q91" s="631">
        <f t="shared" si="32"/>
        <v>0</v>
      </c>
      <c r="R91" s="631">
        <f t="shared" si="32"/>
        <v>0</v>
      </c>
      <c r="S91" s="631">
        <f t="shared" si="32"/>
        <v>0</v>
      </c>
      <c r="T91" s="631">
        <f t="shared" si="32"/>
        <v>0</v>
      </c>
      <c r="U91" s="632">
        <f t="shared" si="32"/>
        <v>0</v>
      </c>
      <c r="V91" s="630">
        <f t="shared" si="32"/>
        <v>0</v>
      </c>
      <c r="W91" s="631">
        <f t="shared" si="32"/>
        <v>0</v>
      </c>
      <c r="X91" s="631">
        <f t="shared" si="32"/>
        <v>0</v>
      </c>
      <c r="Y91" s="632">
        <f t="shared" si="32"/>
        <v>0</v>
      </c>
      <c r="Z91" s="586">
        <f t="shared" si="8"/>
        <v>0</v>
      </c>
      <c r="AB91" s="633">
        <f t="shared" si="30"/>
        <v>0</v>
      </c>
      <c r="AC91" s="633">
        <f t="shared" si="30"/>
        <v>0</v>
      </c>
      <c r="AD91" s="633">
        <f t="shared" si="10"/>
        <v>0</v>
      </c>
      <c r="AE91" s="634">
        <f>IF('[1]Pricing Summary'!$B$31="T&amp;M",AB91,AD91)</f>
        <v>0</v>
      </c>
    </row>
    <row r="92" spans="1:31" ht="15.75" hidden="1" customHeight="1" outlineLevel="1" x14ac:dyDescent="0.2">
      <c r="A92" s="242">
        <v>22</v>
      </c>
      <c r="B92" s="629" t="str">
        <f t="shared" si="26"/>
        <v/>
      </c>
      <c r="C92" s="583" t="str">
        <f t="shared" si="26"/>
        <v/>
      </c>
      <c r="D92" s="245" t="s">
        <v>11</v>
      </c>
      <c r="E92" s="630">
        <f t="shared" ref="E92:Y92" si="33">E40+IF(SUM($Z$19:$Z$58)=0,0,E$62*$Z40/SUM($Z$19:$Z$58))</f>
        <v>0</v>
      </c>
      <c r="F92" s="631">
        <f t="shared" si="33"/>
        <v>0</v>
      </c>
      <c r="G92" s="631">
        <f t="shared" si="33"/>
        <v>0</v>
      </c>
      <c r="H92" s="631">
        <f t="shared" si="33"/>
        <v>0</v>
      </c>
      <c r="I92" s="631">
        <f t="shared" si="33"/>
        <v>0</v>
      </c>
      <c r="J92" s="631">
        <f t="shared" si="33"/>
        <v>0</v>
      </c>
      <c r="K92" s="631">
        <f t="shared" si="33"/>
        <v>0</v>
      </c>
      <c r="L92" s="631">
        <f t="shared" si="33"/>
        <v>0</v>
      </c>
      <c r="M92" s="631">
        <f t="shared" si="33"/>
        <v>0</v>
      </c>
      <c r="N92" s="631">
        <f t="shared" si="33"/>
        <v>0</v>
      </c>
      <c r="O92" s="630">
        <f t="shared" si="33"/>
        <v>0</v>
      </c>
      <c r="P92" s="631">
        <f t="shared" si="33"/>
        <v>0</v>
      </c>
      <c r="Q92" s="631">
        <f t="shared" si="33"/>
        <v>0</v>
      </c>
      <c r="R92" s="631">
        <f t="shared" si="33"/>
        <v>0</v>
      </c>
      <c r="S92" s="631">
        <f t="shared" si="33"/>
        <v>0</v>
      </c>
      <c r="T92" s="631">
        <f t="shared" si="33"/>
        <v>0</v>
      </c>
      <c r="U92" s="632">
        <f t="shared" si="33"/>
        <v>0</v>
      </c>
      <c r="V92" s="630">
        <f t="shared" si="33"/>
        <v>0</v>
      </c>
      <c r="W92" s="631">
        <f t="shared" si="33"/>
        <v>0</v>
      </c>
      <c r="X92" s="631">
        <f t="shared" si="33"/>
        <v>0</v>
      </c>
      <c r="Y92" s="632">
        <f t="shared" si="33"/>
        <v>0</v>
      </c>
      <c r="Z92" s="586">
        <f t="shared" si="8"/>
        <v>0</v>
      </c>
      <c r="AB92" s="633">
        <f t="shared" si="30"/>
        <v>0</v>
      </c>
      <c r="AC92" s="633">
        <f t="shared" si="30"/>
        <v>0</v>
      </c>
      <c r="AD92" s="633">
        <f t="shared" si="10"/>
        <v>0</v>
      </c>
      <c r="AE92" s="634">
        <f>IF('[1]Pricing Summary'!$B$31="T&amp;M",AB92,AD92)</f>
        <v>0</v>
      </c>
    </row>
    <row r="93" spans="1:31" ht="15.75" hidden="1" customHeight="1" outlineLevel="1" x14ac:dyDescent="0.2">
      <c r="A93" s="242">
        <v>23</v>
      </c>
      <c r="B93" s="629" t="str">
        <f t="shared" si="26"/>
        <v/>
      </c>
      <c r="C93" s="583" t="str">
        <f t="shared" si="26"/>
        <v/>
      </c>
      <c r="D93" s="245" t="s">
        <v>11</v>
      </c>
      <c r="E93" s="630">
        <f t="shared" ref="E93:Y93" si="34">E41+IF(SUM($Z$19:$Z$58)=0,0,E$62*$Z41/SUM($Z$19:$Z$58))</f>
        <v>0</v>
      </c>
      <c r="F93" s="631">
        <f t="shared" si="34"/>
        <v>0</v>
      </c>
      <c r="G93" s="631">
        <f t="shared" si="34"/>
        <v>0</v>
      </c>
      <c r="H93" s="631">
        <f t="shared" si="34"/>
        <v>0</v>
      </c>
      <c r="I93" s="631">
        <f t="shared" si="34"/>
        <v>0</v>
      </c>
      <c r="J93" s="631">
        <f t="shared" si="34"/>
        <v>0</v>
      </c>
      <c r="K93" s="631">
        <f t="shared" si="34"/>
        <v>0</v>
      </c>
      <c r="L93" s="631">
        <f t="shared" si="34"/>
        <v>0</v>
      </c>
      <c r="M93" s="631">
        <f t="shared" si="34"/>
        <v>0</v>
      </c>
      <c r="N93" s="631">
        <f t="shared" si="34"/>
        <v>0</v>
      </c>
      <c r="O93" s="630">
        <f t="shared" si="34"/>
        <v>0</v>
      </c>
      <c r="P93" s="631">
        <f t="shared" si="34"/>
        <v>0</v>
      </c>
      <c r="Q93" s="631">
        <f t="shared" si="34"/>
        <v>0</v>
      </c>
      <c r="R93" s="631">
        <f t="shared" si="34"/>
        <v>0</v>
      </c>
      <c r="S93" s="631">
        <f t="shared" si="34"/>
        <v>0</v>
      </c>
      <c r="T93" s="631">
        <f t="shared" si="34"/>
        <v>0</v>
      </c>
      <c r="U93" s="632">
        <f t="shared" si="34"/>
        <v>0</v>
      </c>
      <c r="V93" s="630">
        <f t="shared" si="34"/>
        <v>0</v>
      </c>
      <c r="W93" s="631">
        <f t="shared" si="34"/>
        <v>0</v>
      </c>
      <c r="X93" s="631">
        <f t="shared" si="34"/>
        <v>0</v>
      </c>
      <c r="Y93" s="632">
        <f t="shared" si="34"/>
        <v>0</v>
      </c>
      <c r="Z93" s="586">
        <f t="shared" si="8"/>
        <v>0</v>
      </c>
      <c r="AB93" s="633">
        <f t="shared" si="30"/>
        <v>0</v>
      </c>
      <c r="AC93" s="633">
        <f t="shared" si="30"/>
        <v>0</v>
      </c>
      <c r="AD93" s="633">
        <f t="shared" si="10"/>
        <v>0</v>
      </c>
      <c r="AE93" s="634">
        <f>IF('[1]Pricing Summary'!$B$31="T&amp;M",AB93,AD93)</f>
        <v>0</v>
      </c>
    </row>
    <row r="94" spans="1:31" ht="15.75" hidden="1" customHeight="1" outlineLevel="1" x14ac:dyDescent="0.2">
      <c r="A94" s="242">
        <v>24</v>
      </c>
      <c r="B94" s="629" t="str">
        <f t="shared" si="26"/>
        <v/>
      </c>
      <c r="C94" s="583" t="str">
        <f t="shared" si="26"/>
        <v/>
      </c>
      <c r="D94" s="245" t="s">
        <v>11</v>
      </c>
      <c r="E94" s="630">
        <f t="shared" ref="E94:Y94" si="35">E42+IF(SUM($Z$19:$Z$58)=0,0,E$62*$Z42/SUM($Z$19:$Z$58))</f>
        <v>0</v>
      </c>
      <c r="F94" s="631">
        <f t="shared" si="35"/>
        <v>0</v>
      </c>
      <c r="G94" s="631">
        <f t="shared" si="35"/>
        <v>0</v>
      </c>
      <c r="H94" s="631">
        <f t="shared" si="35"/>
        <v>0</v>
      </c>
      <c r="I94" s="631">
        <f t="shared" si="35"/>
        <v>0</v>
      </c>
      <c r="J94" s="631">
        <f t="shared" si="35"/>
        <v>0</v>
      </c>
      <c r="K94" s="631">
        <f t="shared" si="35"/>
        <v>0</v>
      </c>
      <c r="L94" s="631">
        <f t="shared" si="35"/>
        <v>0</v>
      </c>
      <c r="M94" s="631">
        <f t="shared" si="35"/>
        <v>0</v>
      </c>
      <c r="N94" s="631">
        <f t="shared" si="35"/>
        <v>0</v>
      </c>
      <c r="O94" s="630">
        <f t="shared" si="35"/>
        <v>0</v>
      </c>
      <c r="P94" s="631">
        <f t="shared" si="35"/>
        <v>0</v>
      </c>
      <c r="Q94" s="631">
        <f t="shared" si="35"/>
        <v>0</v>
      </c>
      <c r="R94" s="631">
        <f t="shared" si="35"/>
        <v>0</v>
      </c>
      <c r="S94" s="631">
        <f t="shared" si="35"/>
        <v>0</v>
      </c>
      <c r="T94" s="631">
        <f t="shared" si="35"/>
        <v>0</v>
      </c>
      <c r="U94" s="632">
        <f t="shared" si="35"/>
        <v>0</v>
      </c>
      <c r="V94" s="630">
        <f t="shared" si="35"/>
        <v>0</v>
      </c>
      <c r="W94" s="631">
        <f t="shared" si="35"/>
        <v>0</v>
      </c>
      <c r="X94" s="631">
        <f t="shared" si="35"/>
        <v>0</v>
      </c>
      <c r="Y94" s="632">
        <f t="shared" si="35"/>
        <v>0</v>
      </c>
      <c r="Z94" s="586">
        <f t="shared" si="8"/>
        <v>0</v>
      </c>
      <c r="AB94" s="633">
        <f t="shared" si="30"/>
        <v>0</v>
      </c>
      <c r="AC94" s="633">
        <f t="shared" si="30"/>
        <v>0</v>
      </c>
      <c r="AD94" s="633">
        <f t="shared" si="10"/>
        <v>0</v>
      </c>
      <c r="AE94" s="634">
        <f>IF('[1]Pricing Summary'!$B$31="T&amp;M",AB94,AD94)</f>
        <v>0</v>
      </c>
    </row>
    <row r="95" spans="1:31" ht="15.75" hidden="1" customHeight="1" outlineLevel="1" x14ac:dyDescent="0.2">
      <c r="A95" s="242">
        <v>25</v>
      </c>
      <c r="B95" s="629" t="str">
        <f t="shared" si="26"/>
        <v/>
      </c>
      <c r="C95" s="583" t="str">
        <f t="shared" si="26"/>
        <v/>
      </c>
      <c r="D95" s="245" t="s">
        <v>11</v>
      </c>
      <c r="E95" s="630">
        <f t="shared" ref="E95:Y95" si="36">E43+IF(SUM($Z$19:$Z$58)=0,0,E$62*$Z43/SUM($Z$19:$Z$58))</f>
        <v>0</v>
      </c>
      <c r="F95" s="631">
        <f t="shared" si="36"/>
        <v>0</v>
      </c>
      <c r="G95" s="631">
        <f t="shared" si="36"/>
        <v>0</v>
      </c>
      <c r="H95" s="631">
        <f t="shared" si="36"/>
        <v>0</v>
      </c>
      <c r="I95" s="631">
        <f t="shared" si="36"/>
        <v>0</v>
      </c>
      <c r="J95" s="631">
        <f t="shared" si="36"/>
        <v>0</v>
      </c>
      <c r="K95" s="631">
        <f t="shared" si="36"/>
        <v>0</v>
      </c>
      <c r="L95" s="631">
        <f t="shared" si="36"/>
        <v>0</v>
      </c>
      <c r="M95" s="631">
        <f t="shared" si="36"/>
        <v>0</v>
      </c>
      <c r="N95" s="631">
        <f t="shared" si="36"/>
        <v>0</v>
      </c>
      <c r="O95" s="630">
        <f t="shared" si="36"/>
        <v>0</v>
      </c>
      <c r="P95" s="631">
        <f t="shared" si="36"/>
        <v>0</v>
      </c>
      <c r="Q95" s="631">
        <f t="shared" si="36"/>
        <v>0</v>
      </c>
      <c r="R95" s="631">
        <f t="shared" si="36"/>
        <v>0</v>
      </c>
      <c r="S95" s="631">
        <f t="shared" si="36"/>
        <v>0</v>
      </c>
      <c r="T95" s="631">
        <f t="shared" si="36"/>
        <v>0</v>
      </c>
      <c r="U95" s="632">
        <f t="shared" si="36"/>
        <v>0</v>
      </c>
      <c r="V95" s="630">
        <f t="shared" si="36"/>
        <v>0</v>
      </c>
      <c r="W95" s="631">
        <f t="shared" si="36"/>
        <v>0</v>
      </c>
      <c r="X95" s="631">
        <f t="shared" si="36"/>
        <v>0</v>
      </c>
      <c r="Y95" s="632">
        <f t="shared" si="36"/>
        <v>0</v>
      </c>
      <c r="Z95" s="586">
        <f t="shared" si="8"/>
        <v>0</v>
      </c>
      <c r="AB95" s="633">
        <f t="shared" si="30"/>
        <v>0</v>
      </c>
      <c r="AC95" s="633">
        <f t="shared" si="30"/>
        <v>0</v>
      </c>
      <c r="AD95" s="633">
        <f t="shared" si="10"/>
        <v>0</v>
      </c>
      <c r="AE95" s="634">
        <f>IF('[1]Pricing Summary'!$B$31="T&amp;M",AB95,AD95)</f>
        <v>0</v>
      </c>
    </row>
    <row r="96" spans="1:31" ht="15.75" hidden="1" customHeight="1" outlineLevel="1" x14ac:dyDescent="0.2">
      <c r="A96" s="242">
        <v>26</v>
      </c>
      <c r="B96" s="629" t="str">
        <f t="shared" si="26"/>
        <v/>
      </c>
      <c r="C96" s="583" t="str">
        <f t="shared" si="26"/>
        <v/>
      </c>
      <c r="D96" s="245" t="s">
        <v>11</v>
      </c>
      <c r="E96" s="630">
        <f t="shared" ref="E96:Y96" si="37">E44+IF(SUM($Z$19:$Z$58)=0,0,E$62*$Z44/SUM($Z$19:$Z$58))</f>
        <v>0</v>
      </c>
      <c r="F96" s="631">
        <f t="shared" si="37"/>
        <v>0</v>
      </c>
      <c r="G96" s="631">
        <f t="shared" si="37"/>
        <v>0</v>
      </c>
      <c r="H96" s="631">
        <f t="shared" si="37"/>
        <v>0</v>
      </c>
      <c r="I96" s="631">
        <f t="shared" si="37"/>
        <v>0</v>
      </c>
      <c r="J96" s="631">
        <f t="shared" si="37"/>
        <v>0</v>
      </c>
      <c r="K96" s="631">
        <f t="shared" si="37"/>
        <v>0</v>
      </c>
      <c r="L96" s="631">
        <f t="shared" si="37"/>
        <v>0</v>
      </c>
      <c r="M96" s="631">
        <f t="shared" si="37"/>
        <v>0</v>
      </c>
      <c r="N96" s="631">
        <f t="shared" si="37"/>
        <v>0</v>
      </c>
      <c r="O96" s="630">
        <f t="shared" si="37"/>
        <v>0</v>
      </c>
      <c r="P96" s="631">
        <f t="shared" si="37"/>
        <v>0</v>
      </c>
      <c r="Q96" s="631">
        <f t="shared" si="37"/>
        <v>0</v>
      </c>
      <c r="R96" s="631">
        <f t="shared" si="37"/>
        <v>0</v>
      </c>
      <c r="S96" s="631">
        <f t="shared" si="37"/>
        <v>0</v>
      </c>
      <c r="T96" s="631">
        <f t="shared" si="37"/>
        <v>0</v>
      </c>
      <c r="U96" s="632">
        <f t="shared" si="37"/>
        <v>0</v>
      </c>
      <c r="V96" s="630">
        <f t="shared" si="37"/>
        <v>0</v>
      </c>
      <c r="W96" s="631">
        <f t="shared" si="37"/>
        <v>0</v>
      </c>
      <c r="X96" s="631">
        <f t="shared" si="37"/>
        <v>0</v>
      </c>
      <c r="Y96" s="632">
        <f t="shared" si="37"/>
        <v>0</v>
      </c>
      <c r="Z96" s="586">
        <f t="shared" si="8"/>
        <v>0</v>
      </c>
      <c r="AB96" s="633">
        <f t="shared" si="30"/>
        <v>0</v>
      </c>
      <c r="AC96" s="633">
        <f t="shared" si="30"/>
        <v>0</v>
      </c>
      <c r="AD96" s="633">
        <f t="shared" si="10"/>
        <v>0</v>
      </c>
      <c r="AE96" s="634">
        <f>IF('[1]Pricing Summary'!$B$31="T&amp;M",AB96,AD96)</f>
        <v>0</v>
      </c>
    </row>
    <row r="97" spans="1:31" ht="15.75" hidden="1" customHeight="1" outlineLevel="1" x14ac:dyDescent="0.2">
      <c r="A97" s="242">
        <v>27</v>
      </c>
      <c r="B97" s="629" t="str">
        <f t="shared" si="26"/>
        <v/>
      </c>
      <c r="C97" s="583" t="str">
        <f t="shared" si="26"/>
        <v/>
      </c>
      <c r="D97" s="245" t="s">
        <v>11</v>
      </c>
      <c r="E97" s="630">
        <f t="shared" ref="E97:Y97" si="38">E45+IF(SUM($Z$19:$Z$58)=0,0,E$62*$Z45/SUM($Z$19:$Z$58))</f>
        <v>0</v>
      </c>
      <c r="F97" s="631">
        <f t="shared" si="38"/>
        <v>0</v>
      </c>
      <c r="G97" s="631">
        <f t="shared" si="38"/>
        <v>0</v>
      </c>
      <c r="H97" s="631">
        <f t="shared" si="38"/>
        <v>0</v>
      </c>
      <c r="I97" s="631">
        <f t="shared" si="38"/>
        <v>0</v>
      </c>
      <c r="J97" s="631">
        <f t="shared" si="38"/>
        <v>0</v>
      </c>
      <c r="K97" s="631">
        <f t="shared" si="38"/>
        <v>0</v>
      </c>
      <c r="L97" s="631">
        <f t="shared" si="38"/>
        <v>0</v>
      </c>
      <c r="M97" s="631">
        <f t="shared" si="38"/>
        <v>0</v>
      </c>
      <c r="N97" s="631">
        <f t="shared" si="38"/>
        <v>0</v>
      </c>
      <c r="O97" s="630">
        <f t="shared" si="38"/>
        <v>0</v>
      </c>
      <c r="P97" s="631">
        <f t="shared" si="38"/>
        <v>0</v>
      </c>
      <c r="Q97" s="631">
        <f t="shared" si="38"/>
        <v>0</v>
      </c>
      <c r="R97" s="631">
        <f t="shared" si="38"/>
        <v>0</v>
      </c>
      <c r="S97" s="631">
        <f t="shared" si="38"/>
        <v>0</v>
      </c>
      <c r="T97" s="631">
        <f t="shared" si="38"/>
        <v>0</v>
      </c>
      <c r="U97" s="632">
        <f t="shared" si="38"/>
        <v>0</v>
      </c>
      <c r="V97" s="630">
        <f t="shared" si="38"/>
        <v>0</v>
      </c>
      <c r="W97" s="631">
        <f t="shared" si="38"/>
        <v>0</v>
      </c>
      <c r="X97" s="631">
        <f t="shared" si="38"/>
        <v>0</v>
      </c>
      <c r="Y97" s="632">
        <f t="shared" si="38"/>
        <v>0</v>
      </c>
      <c r="Z97" s="586">
        <f t="shared" si="8"/>
        <v>0</v>
      </c>
      <c r="AB97" s="633">
        <f t="shared" si="30"/>
        <v>0</v>
      </c>
      <c r="AC97" s="633">
        <f t="shared" si="30"/>
        <v>0</v>
      </c>
      <c r="AD97" s="633">
        <f t="shared" si="10"/>
        <v>0</v>
      </c>
      <c r="AE97" s="634">
        <f>IF('[1]Pricing Summary'!$B$31="T&amp;M",AB97,AD97)</f>
        <v>0</v>
      </c>
    </row>
    <row r="98" spans="1:31" ht="15.75" hidden="1" customHeight="1" outlineLevel="1" x14ac:dyDescent="0.2">
      <c r="A98" s="242">
        <v>28</v>
      </c>
      <c r="B98" s="629" t="str">
        <f t="shared" si="26"/>
        <v/>
      </c>
      <c r="C98" s="583" t="str">
        <f t="shared" si="26"/>
        <v/>
      </c>
      <c r="D98" s="245" t="s">
        <v>11</v>
      </c>
      <c r="E98" s="630">
        <f t="shared" ref="E98:Y98" si="39">E46+IF(SUM($Z$19:$Z$58)=0,0,E$62*$Z46/SUM($Z$19:$Z$58))</f>
        <v>0</v>
      </c>
      <c r="F98" s="631">
        <f t="shared" si="39"/>
        <v>0</v>
      </c>
      <c r="G98" s="631">
        <f t="shared" si="39"/>
        <v>0</v>
      </c>
      <c r="H98" s="631">
        <f t="shared" si="39"/>
        <v>0</v>
      </c>
      <c r="I98" s="631">
        <f t="shared" si="39"/>
        <v>0</v>
      </c>
      <c r="J98" s="631">
        <f t="shared" si="39"/>
        <v>0</v>
      </c>
      <c r="K98" s="631">
        <f t="shared" si="39"/>
        <v>0</v>
      </c>
      <c r="L98" s="631">
        <f t="shared" si="39"/>
        <v>0</v>
      </c>
      <c r="M98" s="631">
        <f t="shared" si="39"/>
        <v>0</v>
      </c>
      <c r="N98" s="631">
        <f t="shared" si="39"/>
        <v>0</v>
      </c>
      <c r="O98" s="630">
        <f t="shared" si="39"/>
        <v>0</v>
      </c>
      <c r="P98" s="631">
        <f t="shared" si="39"/>
        <v>0</v>
      </c>
      <c r="Q98" s="631">
        <f t="shared" si="39"/>
        <v>0</v>
      </c>
      <c r="R98" s="631">
        <f t="shared" si="39"/>
        <v>0</v>
      </c>
      <c r="S98" s="631">
        <f t="shared" si="39"/>
        <v>0</v>
      </c>
      <c r="T98" s="631">
        <f t="shared" si="39"/>
        <v>0</v>
      </c>
      <c r="U98" s="632">
        <f t="shared" si="39"/>
        <v>0</v>
      </c>
      <c r="V98" s="630">
        <f t="shared" si="39"/>
        <v>0</v>
      </c>
      <c r="W98" s="631">
        <f t="shared" si="39"/>
        <v>0</v>
      </c>
      <c r="X98" s="631">
        <f t="shared" si="39"/>
        <v>0</v>
      </c>
      <c r="Y98" s="632">
        <f t="shared" si="39"/>
        <v>0</v>
      </c>
      <c r="Z98" s="586">
        <f t="shared" si="8"/>
        <v>0</v>
      </c>
      <c r="AB98" s="633">
        <f t="shared" si="30"/>
        <v>0</v>
      </c>
      <c r="AC98" s="633">
        <f t="shared" si="30"/>
        <v>0</v>
      </c>
      <c r="AD98" s="633">
        <f t="shared" si="10"/>
        <v>0</v>
      </c>
      <c r="AE98" s="634">
        <f>IF('[1]Pricing Summary'!$B$31="T&amp;M",AB98,AD98)</f>
        <v>0</v>
      </c>
    </row>
    <row r="99" spans="1:31" ht="15.75" hidden="1" customHeight="1" outlineLevel="1" x14ac:dyDescent="0.2">
      <c r="A99" s="242">
        <v>29</v>
      </c>
      <c r="B99" s="629" t="str">
        <f t="shared" si="26"/>
        <v/>
      </c>
      <c r="C99" s="583" t="str">
        <f t="shared" si="26"/>
        <v/>
      </c>
      <c r="D99" s="245" t="s">
        <v>11</v>
      </c>
      <c r="E99" s="289">
        <f t="shared" ref="E99:Y99" si="40">E47+IF(SUM($Z$19:$Z$58)=0,0,E$62*$Z47/SUM($Z$19:$Z$58))</f>
        <v>0</v>
      </c>
      <c r="F99" s="290">
        <f t="shared" si="40"/>
        <v>0</v>
      </c>
      <c r="G99" s="290">
        <f t="shared" si="40"/>
        <v>0</v>
      </c>
      <c r="H99" s="290">
        <f t="shared" si="40"/>
        <v>0</v>
      </c>
      <c r="I99" s="290">
        <f t="shared" si="40"/>
        <v>0</v>
      </c>
      <c r="J99" s="290">
        <f t="shared" si="40"/>
        <v>0</v>
      </c>
      <c r="K99" s="290">
        <f t="shared" si="40"/>
        <v>0</v>
      </c>
      <c r="L99" s="290">
        <f t="shared" si="40"/>
        <v>0</v>
      </c>
      <c r="M99" s="290">
        <f t="shared" si="40"/>
        <v>0</v>
      </c>
      <c r="N99" s="290">
        <f t="shared" si="40"/>
        <v>0</v>
      </c>
      <c r="O99" s="289">
        <f t="shared" si="40"/>
        <v>0</v>
      </c>
      <c r="P99" s="290">
        <f t="shared" si="40"/>
        <v>0</v>
      </c>
      <c r="Q99" s="290">
        <f t="shared" si="40"/>
        <v>0</v>
      </c>
      <c r="R99" s="290">
        <f t="shared" si="40"/>
        <v>0</v>
      </c>
      <c r="S99" s="290">
        <f t="shared" si="40"/>
        <v>0</v>
      </c>
      <c r="T99" s="290">
        <f t="shared" si="40"/>
        <v>0</v>
      </c>
      <c r="U99" s="291">
        <f t="shared" si="40"/>
        <v>0</v>
      </c>
      <c r="V99" s="630">
        <f t="shared" si="40"/>
        <v>0</v>
      </c>
      <c r="W99" s="631">
        <f t="shared" si="40"/>
        <v>0</v>
      </c>
      <c r="X99" s="631">
        <f t="shared" si="40"/>
        <v>0</v>
      </c>
      <c r="Y99" s="632">
        <f t="shared" si="40"/>
        <v>0</v>
      </c>
      <c r="Z99" s="586">
        <f t="shared" si="8"/>
        <v>0</v>
      </c>
      <c r="AB99" s="635">
        <f t="shared" si="30"/>
        <v>0</v>
      </c>
      <c r="AC99" s="635">
        <f t="shared" si="30"/>
        <v>0</v>
      </c>
      <c r="AD99" s="635">
        <f t="shared" si="10"/>
        <v>0</v>
      </c>
      <c r="AE99" s="634">
        <f>IF('[1]Pricing Summary'!$B$31="T&amp;M",AB99,AD99)</f>
        <v>0</v>
      </c>
    </row>
    <row r="100" spans="1:31" ht="15.75" hidden="1" customHeight="1" outlineLevel="1" x14ac:dyDescent="0.2">
      <c r="A100" s="242">
        <v>30</v>
      </c>
      <c r="B100" s="629" t="str">
        <f t="shared" si="26"/>
        <v/>
      </c>
      <c r="C100" s="583" t="str">
        <f t="shared" si="26"/>
        <v/>
      </c>
      <c r="D100" s="245" t="s">
        <v>11</v>
      </c>
      <c r="E100" s="289">
        <f t="shared" ref="E100:Y100" si="41">E48+IF(SUM($Z$19:$Z$58)=0,0,E$62*$Z48/SUM($Z$19:$Z$58))</f>
        <v>0</v>
      </c>
      <c r="F100" s="290">
        <f t="shared" si="41"/>
        <v>0</v>
      </c>
      <c r="G100" s="290">
        <f t="shared" si="41"/>
        <v>0</v>
      </c>
      <c r="H100" s="290">
        <f t="shared" si="41"/>
        <v>0</v>
      </c>
      <c r="I100" s="290">
        <f t="shared" si="41"/>
        <v>0</v>
      </c>
      <c r="J100" s="290">
        <f t="shared" si="41"/>
        <v>0</v>
      </c>
      <c r="K100" s="290">
        <f t="shared" si="41"/>
        <v>0</v>
      </c>
      <c r="L100" s="290">
        <f t="shared" si="41"/>
        <v>0</v>
      </c>
      <c r="M100" s="290">
        <f t="shared" si="41"/>
        <v>0</v>
      </c>
      <c r="N100" s="290">
        <f t="shared" si="41"/>
        <v>0</v>
      </c>
      <c r="O100" s="289">
        <f t="shared" si="41"/>
        <v>0</v>
      </c>
      <c r="P100" s="290">
        <f t="shared" si="41"/>
        <v>0</v>
      </c>
      <c r="Q100" s="290">
        <f t="shared" si="41"/>
        <v>0</v>
      </c>
      <c r="R100" s="290">
        <f t="shared" si="41"/>
        <v>0</v>
      </c>
      <c r="S100" s="290">
        <f t="shared" si="41"/>
        <v>0</v>
      </c>
      <c r="T100" s="290">
        <f t="shared" si="41"/>
        <v>0</v>
      </c>
      <c r="U100" s="291">
        <f t="shared" si="41"/>
        <v>0</v>
      </c>
      <c r="V100" s="630">
        <f t="shared" si="41"/>
        <v>0</v>
      </c>
      <c r="W100" s="631">
        <f t="shared" si="41"/>
        <v>0</v>
      </c>
      <c r="X100" s="631">
        <f t="shared" si="41"/>
        <v>0</v>
      </c>
      <c r="Y100" s="632">
        <f t="shared" si="41"/>
        <v>0</v>
      </c>
      <c r="Z100" s="586">
        <f t="shared" si="8"/>
        <v>0</v>
      </c>
      <c r="AB100" s="635">
        <f t="shared" si="30"/>
        <v>0</v>
      </c>
      <c r="AC100" s="635">
        <f t="shared" si="30"/>
        <v>0</v>
      </c>
      <c r="AD100" s="635">
        <f t="shared" si="10"/>
        <v>0</v>
      </c>
      <c r="AE100" s="634">
        <f>IF('[1]Pricing Summary'!$B$31="T&amp;M",AB100,AD100)</f>
        <v>0</v>
      </c>
    </row>
    <row r="101" spans="1:31" ht="15.75" hidden="1" customHeight="1" outlineLevel="1" x14ac:dyDescent="0.2">
      <c r="A101" s="242">
        <v>31</v>
      </c>
      <c r="B101" s="629" t="str">
        <f t="shared" si="26"/>
        <v/>
      </c>
      <c r="C101" s="583" t="str">
        <f t="shared" si="26"/>
        <v/>
      </c>
      <c r="D101" s="245" t="s">
        <v>11</v>
      </c>
      <c r="E101" s="289">
        <f t="shared" ref="E101:Y101" si="42">E49+IF(SUM($Z$19:$Z$58)=0,0,E$62*$Z49/SUM($Z$19:$Z$58))</f>
        <v>0</v>
      </c>
      <c r="F101" s="290">
        <f t="shared" si="42"/>
        <v>0</v>
      </c>
      <c r="G101" s="290">
        <f t="shared" si="42"/>
        <v>0</v>
      </c>
      <c r="H101" s="290">
        <f t="shared" si="42"/>
        <v>0</v>
      </c>
      <c r="I101" s="290">
        <f t="shared" si="42"/>
        <v>0</v>
      </c>
      <c r="J101" s="290">
        <f t="shared" si="42"/>
        <v>0</v>
      </c>
      <c r="K101" s="290">
        <f t="shared" si="42"/>
        <v>0</v>
      </c>
      <c r="L101" s="290">
        <f t="shared" si="42"/>
        <v>0</v>
      </c>
      <c r="M101" s="290">
        <f t="shared" si="42"/>
        <v>0</v>
      </c>
      <c r="N101" s="290">
        <f t="shared" si="42"/>
        <v>0</v>
      </c>
      <c r="O101" s="289">
        <f t="shared" si="42"/>
        <v>0</v>
      </c>
      <c r="P101" s="290">
        <f t="shared" si="42"/>
        <v>0</v>
      </c>
      <c r="Q101" s="290">
        <f t="shared" si="42"/>
        <v>0</v>
      </c>
      <c r="R101" s="290">
        <f t="shared" si="42"/>
        <v>0</v>
      </c>
      <c r="S101" s="290">
        <f t="shared" si="42"/>
        <v>0</v>
      </c>
      <c r="T101" s="290">
        <f t="shared" si="42"/>
        <v>0</v>
      </c>
      <c r="U101" s="291">
        <f t="shared" si="42"/>
        <v>0</v>
      </c>
      <c r="V101" s="630">
        <f t="shared" si="42"/>
        <v>0</v>
      </c>
      <c r="W101" s="631">
        <f t="shared" si="42"/>
        <v>0</v>
      </c>
      <c r="X101" s="631">
        <f t="shared" si="42"/>
        <v>0</v>
      </c>
      <c r="Y101" s="632">
        <f t="shared" si="42"/>
        <v>0</v>
      </c>
      <c r="Z101" s="586">
        <f t="shared" si="8"/>
        <v>0</v>
      </c>
      <c r="AB101" s="635">
        <f t="shared" si="30"/>
        <v>0</v>
      </c>
      <c r="AC101" s="635">
        <f t="shared" si="30"/>
        <v>0</v>
      </c>
      <c r="AD101" s="635">
        <f t="shared" si="10"/>
        <v>0</v>
      </c>
      <c r="AE101" s="634">
        <f>IF('[1]Pricing Summary'!$B$31="T&amp;M",AB101,AD101)</f>
        <v>0</v>
      </c>
    </row>
    <row r="102" spans="1:31" ht="15.75" hidden="1" customHeight="1" outlineLevel="1" x14ac:dyDescent="0.2">
      <c r="A102" s="242">
        <v>32</v>
      </c>
      <c r="B102" s="629" t="str">
        <f t="shared" si="26"/>
        <v/>
      </c>
      <c r="C102" s="583" t="str">
        <f t="shared" si="26"/>
        <v/>
      </c>
      <c r="D102" s="245" t="s">
        <v>11</v>
      </c>
      <c r="E102" s="289">
        <f t="shared" ref="E102:Y102" si="43">E50+IF(SUM($Z$19:$Z$58)=0,0,E$62*$Z50/SUM($Z$19:$Z$58))</f>
        <v>0</v>
      </c>
      <c r="F102" s="290">
        <f t="shared" si="43"/>
        <v>0</v>
      </c>
      <c r="G102" s="290">
        <f t="shared" si="43"/>
        <v>0</v>
      </c>
      <c r="H102" s="290">
        <f t="shared" si="43"/>
        <v>0</v>
      </c>
      <c r="I102" s="290">
        <f t="shared" si="43"/>
        <v>0</v>
      </c>
      <c r="J102" s="290">
        <f t="shared" si="43"/>
        <v>0</v>
      </c>
      <c r="K102" s="290">
        <f t="shared" si="43"/>
        <v>0</v>
      </c>
      <c r="L102" s="290">
        <f t="shared" si="43"/>
        <v>0</v>
      </c>
      <c r="M102" s="290">
        <f t="shared" si="43"/>
        <v>0</v>
      </c>
      <c r="N102" s="290">
        <f t="shared" si="43"/>
        <v>0</v>
      </c>
      <c r="O102" s="289">
        <f t="shared" si="43"/>
        <v>0</v>
      </c>
      <c r="P102" s="290">
        <f t="shared" si="43"/>
        <v>0</v>
      </c>
      <c r="Q102" s="290">
        <f t="shared" si="43"/>
        <v>0</v>
      </c>
      <c r="R102" s="290">
        <f t="shared" si="43"/>
        <v>0</v>
      </c>
      <c r="S102" s="290">
        <f t="shared" si="43"/>
        <v>0</v>
      </c>
      <c r="T102" s="290">
        <f t="shared" si="43"/>
        <v>0</v>
      </c>
      <c r="U102" s="291">
        <f t="shared" si="43"/>
        <v>0</v>
      </c>
      <c r="V102" s="630">
        <f t="shared" si="43"/>
        <v>0</v>
      </c>
      <c r="W102" s="631">
        <f t="shared" si="43"/>
        <v>0</v>
      </c>
      <c r="X102" s="631">
        <f t="shared" si="43"/>
        <v>0</v>
      </c>
      <c r="Y102" s="632">
        <f t="shared" si="43"/>
        <v>0</v>
      </c>
      <c r="Z102" s="586">
        <f t="shared" si="8"/>
        <v>0</v>
      </c>
      <c r="AB102" s="635">
        <f t="shared" si="30"/>
        <v>0</v>
      </c>
      <c r="AC102" s="635">
        <f t="shared" si="30"/>
        <v>0</v>
      </c>
      <c r="AD102" s="635">
        <f t="shared" si="10"/>
        <v>0</v>
      </c>
      <c r="AE102" s="634">
        <f>IF('[1]Pricing Summary'!$B$31="T&amp;M",AB102,AD102)</f>
        <v>0</v>
      </c>
    </row>
    <row r="103" spans="1:31" ht="15.75" hidden="1" customHeight="1" outlineLevel="1" x14ac:dyDescent="0.2">
      <c r="A103" s="242">
        <v>33</v>
      </c>
      <c r="B103" s="629" t="str">
        <f t="shared" ref="B103:C110" si="44">B51</f>
        <v/>
      </c>
      <c r="C103" s="583" t="str">
        <f t="shared" si="44"/>
        <v/>
      </c>
      <c r="D103" s="245" t="s">
        <v>11</v>
      </c>
      <c r="E103" s="289">
        <f t="shared" ref="E103:Y103" si="45">E51+IF(SUM($Z$19:$Z$58)=0,0,E$62*$Z51/SUM($Z$19:$Z$58))</f>
        <v>0</v>
      </c>
      <c r="F103" s="290">
        <f t="shared" si="45"/>
        <v>0</v>
      </c>
      <c r="G103" s="290">
        <f t="shared" si="45"/>
        <v>0</v>
      </c>
      <c r="H103" s="290">
        <f t="shared" si="45"/>
        <v>0</v>
      </c>
      <c r="I103" s="290">
        <f t="shared" si="45"/>
        <v>0</v>
      </c>
      <c r="J103" s="290">
        <f t="shared" si="45"/>
        <v>0</v>
      </c>
      <c r="K103" s="290">
        <f t="shared" si="45"/>
        <v>0</v>
      </c>
      <c r="L103" s="290">
        <f t="shared" si="45"/>
        <v>0</v>
      </c>
      <c r="M103" s="290">
        <f t="shared" si="45"/>
        <v>0</v>
      </c>
      <c r="N103" s="290">
        <f t="shared" si="45"/>
        <v>0</v>
      </c>
      <c r="O103" s="289">
        <f t="shared" si="45"/>
        <v>0</v>
      </c>
      <c r="P103" s="290">
        <f t="shared" si="45"/>
        <v>0</v>
      </c>
      <c r="Q103" s="290">
        <f t="shared" si="45"/>
        <v>0</v>
      </c>
      <c r="R103" s="290">
        <f t="shared" si="45"/>
        <v>0</v>
      </c>
      <c r="S103" s="290">
        <f t="shared" si="45"/>
        <v>0</v>
      </c>
      <c r="T103" s="290">
        <f t="shared" si="45"/>
        <v>0</v>
      </c>
      <c r="U103" s="291">
        <f t="shared" si="45"/>
        <v>0</v>
      </c>
      <c r="V103" s="630">
        <f t="shared" si="45"/>
        <v>0</v>
      </c>
      <c r="W103" s="631">
        <f t="shared" si="45"/>
        <v>0</v>
      </c>
      <c r="X103" s="631">
        <f t="shared" si="45"/>
        <v>0</v>
      </c>
      <c r="Y103" s="632">
        <f t="shared" si="45"/>
        <v>0</v>
      </c>
      <c r="Z103" s="586">
        <f t="shared" si="8"/>
        <v>0</v>
      </c>
      <c r="AB103" s="635">
        <f t="shared" si="30"/>
        <v>0</v>
      </c>
      <c r="AC103" s="635">
        <f t="shared" si="30"/>
        <v>0</v>
      </c>
      <c r="AD103" s="635">
        <f t="shared" si="10"/>
        <v>0</v>
      </c>
      <c r="AE103" s="634">
        <f>IF('[1]Pricing Summary'!$B$31="T&amp;M",AB103,AD103)</f>
        <v>0</v>
      </c>
    </row>
    <row r="104" spans="1:31" ht="15.75" hidden="1" customHeight="1" outlineLevel="1" x14ac:dyDescent="0.2">
      <c r="A104" s="242">
        <v>34</v>
      </c>
      <c r="B104" s="629" t="str">
        <f t="shared" si="44"/>
        <v/>
      </c>
      <c r="C104" s="583" t="str">
        <f t="shared" si="44"/>
        <v/>
      </c>
      <c r="D104" s="245" t="s">
        <v>11</v>
      </c>
      <c r="E104" s="289">
        <f t="shared" ref="E104:Y104" si="46">E52+IF(SUM($Z$19:$Z$58)=0,0,E$62*$Z52/SUM($Z$19:$Z$58))</f>
        <v>0</v>
      </c>
      <c r="F104" s="290">
        <f t="shared" si="46"/>
        <v>0</v>
      </c>
      <c r="G104" s="290">
        <f t="shared" si="46"/>
        <v>0</v>
      </c>
      <c r="H104" s="290">
        <f t="shared" si="46"/>
        <v>0</v>
      </c>
      <c r="I104" s="290">
        <f t="shared" si="46"/>
        <v>0</v>
      </c>
      <c r="J104" s="290">
        <f t="shared" si="46"/>
        <v>0</v>
      </c>
      <c r="K104" s="290">
        <f t="shared" si="46"/>
        <v>0</v>
      </c>
      <c r="L104" s="290">
        <f t="shared" si="46"/>
        <v>0</v>
      </c>
      <c r="M104" s="290">
        <f t="shared" si="46"/>
        <v>0</v>
      </c>
      <c r="N104" s="290">
        <f t="shared" si="46"/>
        <v>0</v>
      </c>
      <c r="O104" s="289">
        <f t="shared" si="46"/>
        <v>0</v>
      </c>
      <c r="P104" s="290">
        <f t="shared" si="46"/>
        <v>0</v>
      </c>
      <c r="Q104" s="290">
        <f t="shared" si="46"/>
        <v>0</v>
      </c>
      <c r="R104" s="290">
        <f t="shared" si="46"/>
        <v>0</v>
      </c>
      <c r="S104" s="290">
        <f t="shared" si="46"/>
        <v>0</v>
      </c>
      <c r="T104" s="290">
        <f t="shared" si="46"/>
        <v>0</v>
      </c>
      <c r="U104" s="291">
        <f t="shared" si="46"/>
        <v>0</v>
      </c>
      <c r="V104" s="630">
        <f t="shared" si="46"/>
        <v>0</v>
      </c>
      <c r="W104" s="631">
        <f t="shared" si="46"/>
        <v>0</v>
      </c>
      <c r="X104" s="631">
        <f t="shared" si="46"/>
        <v>0</v>
      </c>
      <c r="Y104" s="632">
        <f t="shared" si="46"/>
        <v>0</v>
      </c>
      <c r="Z104" s="586">
        <f t="shared" si="8"/>
        <v>0</v>
      </c>
      <c r="AB104" s="635">
        <f t="shared" si="30"/>
        <v>0</v>
      </c>
      <c r="AC104" s="635">
        <f t="shared" si="30"/>
        <v>0</v>
      </c>
      <c r="AD104" s="635">
        <f t="shared" si="10"/>
        <v>0</v>
      </c>
      <c r="AE104" s="634">
        <f>IF('[1]Pricing Summary'!$B$31="T&amp;M",AB104,AD104)</f>
        <v>0</v>
      </c>
    </row>
    <row r="105" spans="1:31" ht="15.75" hidden="1" customHeight="1" outlineLevel="1" x14ac:dyDescent="0.2">
      <c r="A105" s="242">
        <v>35</v>
      </c>
      <c r="B105" s="629" t="str">
        <f t="shared" si="44"/>
        <v/>
      </c>
      <c r="C105" s="583" t="str">
        <f t="shared" si="44"/>
        <v/>
      </c>
      <c r="D105" s="245" t="s">
        <v>11</v>
      </c>
      <c r="E105" s="289">
        <f t="shared" ref="E105:Y105" si="47">E53+IF(SUM($Z$19:$Z$58)=0,0,E$62*$Z53/SUM($Z$19:$Z$58))</f>
        <v>0</v>
      </c>
      <c r="F105" s="290">
        <f t="shared" si="47"/>
        <v>0</v>
      </c>
      <c r="G105" s="290">
        <f t="shared" si="47"/>
        <v>0</v>
      </c>
      <c r="H105" s="290">
        <f t="shared" si="47"/>
        <v>0</v>
      </c>
      <c r="I105" s="290">
        <f t="shared" si="47"/>
        <v>0</v>
      </c>
      <c r="J105" s="290">
        <f t="shared" si="47"/>
        <v>0</v>
      </c>
      <c r="K105" s="290">
        <f t="shared" si="47"/>
        <v>0</v>
      </c>
      <c r="L105" s="290">
        <f t="shared" si="47"/>
        <v>0</v>
      </c>
      <c r="M105" s="290">
        <f t="shared" si="47"/>
        <v>0</v>
      </c>
      <c r="N105" s="290">
        <f t="shared" si="47"/>
        <v>0</v>
      </c>
      <c r="O105" s="289">
        <f t="shared" si="47"/>
        <v>0</v>
      </c>
      <c r="P105" s="290">
        <f t="shared" si="47"/>
        <v>0</v>
      </c>
      <c r="Q105" s="290">
        <f t="shared" si="47"/>
        <v>0</v>
      </c>
      <c r="R105" s="290">
        <f t="shared" si="47"/>
        <v>0</v>
      </c>
      <c r="S105" s="290">
        <f t="shared" si="47"/>
        <v>0</v>
      </c>
      <c r="T105" s="290">
        <f t="shared" si="47"/>
        <v>0</v>
      </c>
      <c r="U105" s="291">
        <f t="shared" si="47"/>
        <v>0</v>
      </c>
      <c r="V105" s="630">
        <f t="shared" si="47"/>
        <v>0</v>
      </c>
      <c r="W105" s="631">
        <f t="shared" si="47"/>
        <v>0</v>
      </c>
      <c r="X105" s="631">
        <f t="shared" si="47"/>
        <v>0</v>
      </c>
      <c r="Y105" s="632">
        <f t="shared" si="47"/>
        <v>0</v>
      </c>
      <c r="Z105" s="586">
        <f t="shared" si="8"/>
        <v>0</v>
      </c>
      <c r="AB105" s="635">
        <f t="shared" ref="AB105:AC110" si="48">AB53+IF(SUM(AB$19:AB$58)=0,0,AB$62*AB53/SUM(AB$19:AB$58))</f>
        <v>0</v>
      </c>
      <c r="AC105" s="635">
        <f t="shared" si="48"/>
        <v>0</v>
      </c>
      <c r="AD105" s="635">
        <f t="shared" si="10"/>
        <v>0</v>
      </c>
      <c r="AE105" s="634">
        <f>IF('[1]Pricing Summary'!$B$31="T&amp;M",AB105,AD105)</f>
        <v>0</v>
      </c>
    </row>
    <row r="106" spans="1:31" ht="15.75" hidden="1" customHeight="1" outlineLevel="1" x14ac:dyDescent="0.2">
      <c r="A106" s="242">
        <v>36</v>
      </c>
      <c r="B106" s="629" t="str">
        <f t="shared" si="44"/>
        <v/>
      </c>
      <c r="C106" s="583" t="str">
        <f t="shared" si="44"/>
        <v/>
      </c>
      <c r="D106" s="245" t="s">
        <v>11</v>
      </c>
      <c r="E106" s="289">
        <f t="shared" ref="E106:Y106" si="49">E54+IF(SUM($Z$19:$Z$58)=0,0,E$62*$Z54/SUM($Z$19:$Z$58))</f>
        <v>0</v>
      </c>
      <c r="F106" s="290">
        <f t="shared" si="49"/>
        <v>0</v>
      </c>
      <c r="G106" s="290">
        <f t="shared" si="49"/>
        <v>0</v>
      </c>
      <c r="H106" s="290">
        <f t="shared" si="49"/>
        <v>0</v>
      </c>
      <c r="I106" s="290">
        <f t="shared" si="49"/>
        <v>0</v>
      </c>
      <c r="J106" s="290">
        <f t="shared" si="49"/>
        <v>0</v>
      </c>
      <c r="K106" s="290">
        <f t="shared" si="49"/>
        <v>0</v>
      </c>
      <c r="L106" s="290">
        <f t="shared" si="49"/>
        <v>0</v>
      </c>
      <c r="M106" s="290">
        <f t="shared" si="49"/>
        <v>0</v>
      </c>
      <c r="N106" s="290">
        <f t="shared" si="49"/>
        <v>0</v>
      </c>
      <c r="O106" s="289">
        <f t="shared" si="49"/>
        <v>0</v>
      </c>
      <c r="P106" s="290">
        <f t="shared" si="49"/>
        <v>0</v>
      </c>
      <c r="Q106" s="290">
        <f t="shared" si="49"/>
        <v>0</v>
      </c>
      <c r="R106" s="290">
        <f t="shared" si="49"/>
        <v>0</v>
      </c>
      <c r="S106" s="290">
        <f t="shared" si="49"/>
        <v>0</v>
      </c>
      <c r="T106" s="290">
        <f t="shared" si="49"/>
        <v>0</v>
      </c>
      <c r="U106" s="291">
        <f t="shared" si="49"/>
        <v>0</v>
      </c>
      <c r="V106" s="630">
        <f t="shared" si="49"/>
        <v>0</v>
      </c>
      <c r="W106" s="631">
        <f t="shared" si="49"/>
        <v>0</v>
      </c>
      <c r="X106" s="631">
        <f t="shared" si="49"/>
        <v>0</v>
      </c>
      <c r="Y106" s="632">
        <f t="shared" si="49"/>
        <v>0</v>
      </c>
      <c r="Z106" s="586">
        <f t="shared" si="8"/>
        <v>0</v>
      </c>
      <c r="AB106" s="635">
        <f t="shared" si="48"/>
        <v>0</v>
      </c>
      <c r="AC106" s="635">
        <f t="shared" si="48"/>
        <v>0</v>
      </c>
      <c r="AD106" s="635">
        <f t="shared" si="10"/>
        <v>0</v>
      </c>
      <c r="AE106" s="634">
        <f>IF('[1]Pricing Summary'!$B$31="T&amp;M",AB106,AD106)</f>
        <v>0</v>
      </c>
    </row>
    <row r="107" spans="1:31" ht="15.75" hidden="1" customHeight="1" outlineLevel="1" x14ac:dyDescent="0.2">
      <c r="A107" s="242">
        <v>37</v>
      </c>
      <c r="B107" s="629" t="str">
        <f t="shared" si="44"/>
        <v/>
      </c>
      <c r="C107" s="583" t="str">
        <f t="shared" si="44"/>
        <v/>
      </c>
      <c r="D107" s="245" t="s">
        <v>11</v>
      </c>
      <c r="E107" s="289">
        <f t="shared" ref="E107:Y107" si="50">E55+IF(SUM($Z$19:$Z$58)=0,0,E$62*$Z55/SUM($Z$19:$Z$58))</f>
        <v>0</v>
      </c>
      <c r="F107" s="290">
        <f t="shared" si="50"/>
        <v>0</v>
      </c>
      <c r="G107" s="290">
        <f t="shared" si="50"/>
        <v>0</v>
      </c>
      <c r="H107" s="290">
        <f t="shared" si="50"/>
        <v>0</v>
      </c>
      <c r="I107" s="290">
        <f t="shared" si="50"/>
        <v>0</v>
      </c>
      <c r="J107" s="290">
        <f t="shared" si="50"/>
        <v>0</v>
      </c>
      <c r="K107" s="290">
        <f t="shared" si="50"/>
        <v>0</v>
      </c>
      <c r="L107" s="290">
        <f t="shared" si="50"/>
        <v>0</v>
      </c>
      <c r="M107" s="290">
        <f t="shared" si="50"/>
        <v>0</v>
      </c>
      <c r="N107" s="290">
        <f t="shared" si="50"/>
        <v>0</v>
      </c>
      <c r="O107" s="289">
        <f t="shared" si="50"/>
        <v>0</v>
      </c>
      <c r="P107" s="290">
        <f t="shared" si="50"/>
        <v>0</v>
      </c>
      <c r="Q107" s="290">
        <f t="shared" si="50"/>
        <v>0</v>
      </c>
      <c r="R107" s="290">
        <f t="shared" si="50"/>
        <v>0</v>
      </c>
      <c r="S107" s="290">
        <f t="shared" si="50"/>
        <v>0</v>
      </c>
      <c r="T107" s="290">
        <f t="shared" si="50"/>
        <v>0</v>
      </c>
      <c r="U107" s="291">
        <f t="shared" si="50"/>
        <v>0</v>
      </c>
      <c r="V107" s="630">
        <f t="shared" si="50"/>
        <v>0</v>
      </c>
      <c r="W107" s="631">
        <f t="shared" si="50"/>
        <v>0</v>
      </c>
      <c r="X107" s="631">
        <f t="shared" si="50"/>
        <v>0</v>
      </c>
      <c r="Y107" s="632">
        <f t="shared" si="50"/>
        <v>0</v>
      </c>
      <c r="Z107" s="586">
        <f t="shared" si="8"/>
        <v>0</v>
      </c>
      <c r="AB107" s="635">
        <f t="shared" si="48"/>
        <v>0</v>
      </c>
      <c r="AC107" s="635">
        <f t="shared" si="48"/>
        <v>0</v>
      </c>
      <c r="AD107" s="635">
        <f t="shared" si="10"/>
        <v>0</v>
      </c>
      <c r="AE107" s="634">
        <f>IF('[1]Pricing Summary'!$B$31="T&amp;M",AB107,AD107)</f>
        <v>0</v>
      </c>
    </row>
    <row r="108" spans="1:31" ht="15.75" hidden="1" customHeight="1" outlineLevel="1" x14ac:dyDescent="0.2">
      <c r="A108" s="242">
        <v>38</v>
      </c>
      <c r="B108" s="629" t="str">
        <f t="shared" si="44"/>
        <v/>
      </c>
      <c r="C108" s="583" t="str">
        <f t="shared" si="44"/>
        <v/>
      </c>
      <c r="D108" s="245" t="s">
        <v>11</v>
      </c>
      <c r="E108" s="289">
        <f t="shared" ref="E108:Y108" si="51">E56+IF(SUM($Z$19:$Z$58)=0,0,E$62*$Z56/SUM($Z$19:$Z$58))</f>
        <v>0</v>
      </c>
      <c r="F108" s="290">
        <f t="shared" si="51"/>
        <v>0</v>
      </c>
      <c r="G108" s="290">
        <f t="shared" si="51"/>
        <v>0</v>
      </c>
      <c r="H108" s="290">
        <f t="shared" si="51"/>
        <v>0</v>
      </c>
      <c r="I108" s="290">
        <f t="shared" si="51"/>
        <v>0</v>
      </c>
      <c r="J108" s="290">
        <f t="shared" si="51"/>
        <v>0</v>
      </c>
      <c r="K108" s="290">
        <f t="shared" si="51"/>
        <v>0</v>
      </c>
      <c r="L108" s="290">
        <f t="shared" si="51"/>
        <v>0</v>
      </c>
      <c r="M108" s="290">
        <f t="shared" si="51"/>
        <v>0</v>
      </c>
      <c r="N108" s="290">
        <f t="shared" si="51"/>
        <v>0</v>
      </c>
      <c r="O108" s="289">
        <f t="shared" si="51"/>
        <v>0</v>
      </c>
      <c r="P108" s="290">
        <f t="shared" si="51"/>
        <v>0</v>
      </c>
      <c r="Q108" s="290">
        <f t="shared" si="51"/>
        <v>0</v>
      </c>
      <c r="R108" s="290">
        <f t="shared" si="51"/>
        <v>0</v>
      </c>
      <c r="S108" s="290">
        <f t="shared" si="51"/>
        <v>0</v>
      </c>
      <c r="T108" s="290">
        <f t="shared" si="51"/>
        <v>0</v>
      </c>
      <c r="U108" s="291">
        <f t="shared" si="51"/>
        <v>0</v>
      </c>
      <c r="V108" s="630">
        <f t="shared" si="51"/>
        <v>0</v>
      </c>
      <c r="W108" s="631">
        <f t="shared" si="51"/>
        <v>0</v>
      </c>
      <c r="X108" s="631">
        <f t="shared" si="51"/>
        <v>0</v>
      </c>
      <c r="Y108" s="632">
        <f t="shared" si="51"/>
        <v>0</v>
      </c>
      <c r="Z108" s="586">
        <f t="shared" si="8"/>
        <v>0</v>
      </c>
      <c r="AB108" s="635">
        <f t="shared" si="48"/>
        <v>0</v>
      </c>
      <c r="AC108" s="635">
        <f t="shared" si="48"/>
        <v>0</v>
      </c>
      <c r="AD108" s="635">
        <f t="shared" si="10"/>
        <v>0</v>
      </c>
      <c r="AE108" s="634">
        <f>IF('[1]Pricing Summary'!$B$31="T&amp;M",AB108,AD108)</f>
        <v>0</v>
      </c>
    </row>
    <row r="109" spans="1:31" ht="15.75" hidden="1" customHeight="1" outlineLevel="1" x14ac:dyDescent="0.2">
      <c r="A109" s="242">
        <v>39</v>
      </c>
      <c r="B109" s="629" t="str">
        <f t="shared" si="44"/>
        <v/>
      </c>
      <c r="C109" s="583" t="str">
        <f t="shared" si="44"/>
        <v/>
      </c>
      <c r="D109" s="245" t="s">
        <v>11</v>
      </c>
      <c r="E109" s="289">
        <f t="shared" ref="E109:Y109" si="52">E57+IF(SUM($Z$19:$Z$58)=0,0,E$62*$Z57/SUM($Z$19:$Z$58))</f>
        <v>0</v>
      </c>
      <c r="F109" s="290">
        <f t="shared" si="52"/>
        <v>0</v>
      </c>
      <c r="G109" s="290">
        <f t="shared" si="52"/>
        <v>0</v>
      </c>
      <c r="H109" s="290">
        <f t="shared" si="52"/>
        <v>0</v>
      </c>
      <c r="I109" s="290">
        <f t="shared" si="52"/>
        <v>0</v>
      </c>
      <c r="J109" s="290">
        <f t="shared" si="52"/>
        <v>0</v>
      </c>
      <c r="K109" s="290">
        <f t="shared" si="52"/>
        <v>0</v>
      </c>
      <c r="L109" s="290">
        <f t="shared" si="52"/>
        <v>0</v>
      </c>
      <c r="M109" s="290">
        <f t="shared" si="52"/>
        <v>0</v>
      </c>
      <c r="N109" s="290">
        <f t="shared" si="52"/>
        <v>0</v>
      </c>
      <c r="O109" s="289">
        <f t="shared" si="52"/>
        <v>0</v>
      </c>
      <c r="P109" s="290">
        <f t="shared" si="52"/>
        <v>0</v>
      </c>
      <c r="Q109" s="290">
        <f t="shared" si="52"/>
        <v>0</v>
      </c>
      <c r="R109" s="290">
        <f t="shared" si="52"/>
        <v>0</v>
      </c>
      <c r="S109" s="290">
        <f t="shared" si="52"/>
        <v>0</v>
      </c>
      <c r="T109" s="290">
        <f t="shared" si="52"/>
        <v>0</v>
      </c>
      <c r="U109" s="291">
        <f t="shared" si="52"/>
        <v>0</v>
      </c>
      <c r="V109" s="630">
        <f t="shared" si="52"/>
        <v>0</v>
      </c>
      <c r="W109" s="631">
        <f t="shared" si="52"/>
        <v>0</v>
      </c>
      <c r="X109" s="631">
        <f t="shared" si="52"/>
        <v>0</v>
      </c>
      <c r="Y109" s="632">
        <f t="shared" si="52"/>
        <v>0</v>
      </c>
      <c r="Z109" s="586">
        <f t="shared" si="8"/>
        <v>0</v>
      </c>
      <c r="AB109" s="635">
        <f t="shared" si="48"/>
        <v>0</v>
      </c>
      <c r="AC109" s="635">
        <f t="shared" si="48"/>
        <v>0</v>
      </c>
      <c r="AD109" s="635">
        <f t="shared" si="10"/>
        <v>0</v>
      </c>
      <c r="AE109" s="634">
        <f>IF('[1]Pricing Summary'!$B$31="T&amp;M",AB109,AD109)</f>
        <v>0</v>
      </c>
    </row>
    <row r="110" spans="1:31" ht="15.75" hidden="1" customHeight="1" outlineLevel="1" x14ac:dyDescent="0.2">
      <c r="A110" s="242">
        <v>40</v>
      </c>
      <c r="B110" s="636" t="str">
        <f t="shared" si="44"/>
        <v/>
      </c>
      <c r="C110" s="593" t="str">
        <f t="shared" si="44"/>
        <v/>
      </c>
      <c r="D110" s="245" t="s">
        <v>11</v>
      </c>
      <c r="E110" s="328">
        <f t="shared" ref="E110:Y110" si="53">E58+IF(SUM($Z$19:$Z$58)=0,0,E$62*$Z58/SUM($Z$19:$Z$58))</f>
        <v>0</v>
      </c>
      <c r="F110" s="329">
        <f t="shared" si="53"/>
        <v>0</v>
      </c>
      <c r="G110" s="329">
        <f t="shared" si="53"/>
        <v>0</v>
      </c>
      <c r="H110" s="329">
        <f t="shared" si="53"/>
        <v>0</v>
      </c>
      <c r="I110" s="329">
        <f t="shared" si="53"/>
        <v>0</v>
      </c>
      <c r="J110" s="329">
        <f t="shared" si="53"/>
        <v>0</v>
      </c>
      <c r="K110" s="329">
        <f t="shared" si="53"/>
        <v>0</v>
      </c>
      <c r="L110" s="329">
        <f t="shared" si="53"/>
        <v>0</v>
      </c>
      <c r="M110" s="329">
        <f t="shared" si="53"/>
        <v>0</v>
      </c>
      <c r="N110" s="329">
        <f t="shared" si="53"/>
        <v>0</v>
      </c>
      <c r="O110" s="328">
        <f t="shared" si="53"/>
        <v>0</v>
      </c>
      <c r="P110" s="329">
        <f t="shared" si="53"/>
        <v>0</v>
      </c>
      <c r="Q110" s="329">
        <f t="shared" si="53"/>
        <v>0</v>
      </c>
      <c r="R110" s="329">
        <f t="shared" si="53"/>
        <v>0</v>
      </c>
      <c r="S110" s="329">
        <f t="shared" si="53"/>
        <v>0</v>
      </c>
      <c r="T110" s="329">
        <f t="shared" si="53"/>
        <v>0</v>
      </c>
      <c r="U110" s="330">
        <f t="shared" si="53"/>
        <v>0</v>
      </c>
      <c r="V110" s="637">
        <f t="shared" si="53"/>
        <v>0</v>
      </c>
      <c r="W110" s="638">
        <f t="shared" si="53"/>
        <v>0</v>
      </c>
      <c r="X110" s="638">
        <f t="shared" si="53"/>
        <v>0</v>
      </c>
      <c r="Y110" s="639">
        <f t="shared" si="53"/>
        <v>0</v>
      </c>
      <c r="Z110" s="599">
        <f t="shared" si="8"/>
        <v>0</v>
      </c>
      <c r="AB110" s="640">
        <f t="shared" si="48"/>
        <v>0</v>
      </c>
      <c r="AC110" s="640">
        <f t="shared" si="48"/>
        <v>0</v>
      </c>
      <c r="AD110" s="640">
        <f>AC110/AC$66*AD$66</f>
        <v>0</v>
      </c>
      <c r="AE110" s="641">
        <f>IF('[1]Pricing Summary'!$B$31="T&amp;M",AB110,AD110)</f>
        <v>0</v>
      </c>
    </row>
    <row r="111" spans="1:31" ht="16" collapsed="1" thickBot="1" x14ac:dyDescent="0.25">
      <c r="A111" s="39" t="s">
        <v>48</v>
      </c>
      <c r="B111" s="40"/>
      <c r="C111" s="40"/>
      <c r="D111" s="355" t="s">
        <v>11</v>
      </c>
      <c r="E111" s="357"/>
      <c r="F111" s="357"/>
      <c r="G111" s="357"/>
      <c r="H111" s="357"/>
      <c r="I111" s="357"/>
      <c r="J111" s="357"/>
      <c r="K111" s="357"/>
      <c r="L111" s="357"/>
      <c r="M111" s="357"/>
      <c r="N111" s="357"/>
      <c r="O111" s="357"/>
      <c r="P111" s="357"/>
      <c r="Q111" s="357"/>
      <c r="R111" s="357"/>
      <c r="S111" s="357"/>
      <c r="T111" s="357"/>
      <c r="U111" s="357"/>
      <c r="V111" s="357"/>
      <c r="W111" s="357"/>
      <c r="X111" s="357"/>
      <c r="Y111" s="357"/>
      <c r="Z111" s="357"/>
      <c r="AB111" s="642"/>
      <c r="AC111" s="642"/>
      <c r="AD111" s="642"/>
      <c r="AE111" s="642"/>
    </row>
    <row r="112" spans="1:31" ht="15.75" customHeight="1" thickBot="1" x14ac:dyDescent="0.25">
      <c r="A112" s="242"/>
      <c r="B112" s="606" t="s">
        <v>232</v>
      </c>
      <c r="C112" s="607" t="str">
        <f>IF('[1]Core Assumptions'!D117="","",'[1]Core Assumptions'!D117)</f>
        <v/>
      </c>
      <c r="D112" s="245" t="s">
        <v>11</v>
      </c>
      <c r="E112" s="318">
        <f t="shared" ref="E112:Z112" si="54">SUM(E71:E110)</f>
        <v>0</v>
      </c>
      <c r="F112" s="608">
        <f t="shared" si="54"/>
        <v>0</v>
      </c>
      <c r="G112" s="609">
        <f t="shared" si="54"/>
        <v>0</v>
      </c>
      <c r="H112" s="609">
        <f t="shared" si="54"/>
        <v>0</v>
      </c>
      <c r="I112" s="609">
        <f t="shared" si="54"/>
        <v>0</v>
      </c>
      <c r="J112" s="609">
        <f t="shared" si="54"/>
        <v>0</v>
      </c>
      <c r="K112" s="609">
        <f t="shared" si="54"/>
        <v>0</v>
      </c>
      <c r="L112" s="609">
        <f t="shared" si="54"/>
        <v>40</v>
      </c>
      <c r="M112" s="609">
        <f t="shared" si="54"/>
        <v>0</v>
      </c>
      <c r="N112" s="609">
        <f t="shared" si="54"/>
        <v>0</v>
      </c>
      <c r="O112" s="610">
        <f t="shared" si="54"/>
        <v>0</v>
      </c>
      <c r="P112" s="609">
        <f t="shared" si="54"/>
        <v>0</v>
      </c>
      <c r="Q112" s="609">
        <f t="shared" si="54"/>
        <v>0</v>
      </c>
      <c r="R112" s="609">
        <f t="shared" si="54"/>
        <v>0</v>
      </c>
      <c r="S112" s="609">
        <f t="shared" si="54"/>
        <v>0</v>
      </c>
      <c r="T112" s="609">
        <f t="shared" si="54"/>
        <v>0</v>
      </c>
      <c r="U112" s="609">
        <f t="shared" si="54"/>
        <v>0</v>
      </c>
      <c r="V112" s="610">
        <f t="shared" si="54"/>
        <v>0</v>
      </c>
      <c r="W112" s="609">
        <f t="shared" si="54"/>
        <v>0</v>
      </c>
      <c r="X112" s="609">
        <f t="shared" si="54"/>
        <v>0</v>
      </c>
      <c r="Y112" s="609">
        <f t="shared" si="54"/>
        <v>0</v>
      </c>
      <c r="Z112" s="611">
        <f t="shared" si="54"/>
        <v>40</v>
      </c>
      <c r="AB112" s="612">
        <f>SUM(AB71:AB110)</f>
        <v>23000</v>
      </c>
      <c r="AC112" s="613">
        <f>SUM(AC71:AC110)</f>
        <v>23100</v>
      </c>
      <c r="AD112" s="613">
        <f>SUM(AD71:AD110)</f>
        <v>22999.999999999996</v>
      </c>
      <c r="AE112" s="614">
        <f>SUM(AE71:AE110)</f>
        <v>22999.999999999996</v>
      </c>
    </row>
    <row r="113" spans="28:30" x14ac:dyDescent="0.2">
      <c r="AB113" s="574"/>
      <c r="AC113" s="574"/>
      <c r="AD113" s="574"/>
    </row>
    <row r="114" spans="28:30" x14ac:dyDescent="0.2">
      <c r="AB114" s="574"/>
      <c r="AC114" s="574"/>
      <c r="AD114" s="574"/>
    </row>
    <row r="115" spans="28:30" x14ac:dyDescent="0.2">
      <c r="AB115" s="574"/>
      <c r="AC115" s="574"/>
      <c r="AD115" s="574"/>
    </row>
    <row r="116" spans="28:30" x14ac:dyDescent="0.2">
      <c r="AB116" s="574"/>
      <c r="AC116" s="574"/>
      <c r="AD116" s="574"/>
    </row>
    <row r="117" spans="28:30" x14ac:dyDescent="0.2">
      <c r="AB117" s="574"/>
      <c r="AC117" s="574"/>
      <c r="AD117" s="574"/>
    </row>
    <row r="118" spans="28:30" x14ac:dyDescent="0.2">
      <c r="AB118" s="574"/>
      <c r="AC118" s="574"/>
      <c r="AD118" s="574"/>
    </row>
    <row r="119" spans="28:30" x14ac:dyDescent="0.2">
      <c r="AB119" s="574"/>
      <c r="AC119" s="574"/>
      <c r="AD119" s="574"/>
    </row>
    <row r="120" spans="28:30" x14ac:dyDescent="0.2">
      <c r="AB120" s="574"/>
      <c r="AC120" s="574"/>
      <c r="AD120" s="574"/>
    </row>
    <row r="121" spans="28:30" x14ac:dyDescent="0.2">
      <c r="AB121" s="574"/>
      <c r="AC121" s="574"/>
      <c r="AD121" s="574"/>
    </row>
    <row r="122" spans="28:30" x14ac:dyDescent="0.2">
      <c r="AB122" s="574"/>
      <c r="AC122" s="574"/>
      <c r="AD122" s="574"/>
    </row>
    <row r="123" spans="28:30" x14ac:dyDescent="0.2">
      <c r="AB123" s="574"/>
      <c r="AC123" s="574"/>
      <c r="AD123" s="574"/>
    </row>
    <row r="124" spans="28:30" x14ac:dyDescent="0.2">
      <c r="AB124" s="574"/>
      <c r="AC124" s="574"/>
      <c r="AD124" s="574"/>
    </row>
    <row r="125" spans="28:30" x14ac:dyDescent="0.2">
      <c r="AB125" s="574"/>
      <c r="AC125" s="574"/>
      <c r="AD125" s="574"/>
    </row>
    <row r="126" spans="28:30" x14ac:dyDescent="0.2">
      <c r="AB126" s="574"/>
      <c r="AC126" s="574"/>
      <c r="AD126" s="574"/>
    </row>
    <row r="127" spans="28:30" x14ac:dyDescent="0.2">
      <c r="AB127" s="574"/>
      <c r="AC127" s="574"/>
      <c r="AD127" s="574"/>
    </row>
    <row r="128" spans="28:30" x14ac:dyDescent="0.2">
      <c r="AB128" s="574"/>
      <c r="AC128" s="574"/>
      <c r="AD128" s="574"/>
    </row>
    <row r="129" spans="28:30" x14ac:dyDescent="0.2">
      <c r="AB129" s="574"/>
      <c r="AC129" s="574"/>
      <c r="AD129" s="574"/>
    </row>
    <row r="130" spans="28:30" x14ac:dyDescent="0.2">
      <c r="AB130" s="574"/>
      <c r="AC130" s="574"/>
      <c r="AD130" s="574"/>
    </row>
    <row r="131" spans="28:30" x14ac:dyDescent="0.2">
      <c r="AB131" s="574"/>
      <c r="AC131" s="574"/>
      <c r="AD131" s="574"/>
    </row>
    <row r="132" spans="28:30" x14ac:dyDescent="0.2">
      <c r="AB132" s="574"/>
      <c r="AC132" s="574"/>
      <c r="AD132" s="574"/>
    </row>
    <row r="133" spans="28:30" x14ac:dyDescent="0.2">
      <c r="AB133" s="574"/>
      <c r="AC133" s="574"/>
      <c r="AD133" s="574"/>
    </row>
    <row r="134" spans="28:30" x14ac:dyDescent="0.2">
      <c r="AB134" s="574"/>
      <c r="AC134" s="574"/>
      <c r="AD134" s="574"/>
    </row>
    <row r="135" spans="28:30" x14ac:dyDescent="0.2">
      <c r="AB135" s="574"/>
      <c r="AC135" s="574"/>
      <c r="AD135" s="574"/>
    </row>
    <row r="136" spans="28:30" x14ac:dyDescent="0.2">
      <c r="AB136" s="574"/>
      <c r="AC136" s="574"/>
      <c r="AD136" s="574"/>
    </row>
    <row r="137" spans="28:30" x14ac:dyDescent="0.2">
      <c r="AB137" s="574"/>
      <c r="AC137" s="574"/>
      <c r="AD137" s="574"/>
    </row>
    <row r="138" spans="28:30" x14ac:dyDescent="0.2">
      <c r="AB138" s="574"/>
      <c r="AC138" s="574"/>
      <c r="AD138" s="574"/>
    </row>
    <row r="139" spans="28:30" x14ac:dyDescent="0.2">
      <c r="AB139" s="574"/>
      <c r="AC139" s="574"/>
      <c r="AD139" s="574"/>
    </row>
    <row r="140" spans="28:30" x14ac:dyDescent="0.2">
      <c r="AB140" s="574"/>
      <c r="AC140" s="574"/>
      <c r="AD140" s="574"/>
    </row>
    <row r="141" spans="28:30" x14ac:dyDescent="0.2">
      <c r="AB141" s="574"/>
      <c r="AC141" s="574"/>
      <c r="AD141" s="574"/>
    </row>
    <row r="142" spans="28:30" x14ac:dyDescent="0.2">
      <c r="AB142" s="574"/>
      <c r="AC142" s="574"/>
      <c r="AD142" s="574"/>
    </row>
    <row r="143" spans="28:30" x14ac:dyDescent="0.2">
      <c r="AB143" s="574"/>
      <c r="AC143" s="574"/>
      <c r="AD143" s="574"/>
    </row>
    <row r="144" spans="28:30" x14ac:dyDescent="0.2">
      <c r="AB144" s="574"/>
      <c r="AC144" s="574"/>
      <c r="AD144" s="574"/>
    </row>
    <row r="145" spans="28:30" x14ac:dyDescent="0.2">
      <c r="AB145" s="574"/>
      <c r="AC145" s="574"/>
      <c r="AD145" s="574"/>
    </row>
    <row r="146" spans="28:30" x14ac:dyDescent="0.2">
      <c r="AB146" s="574"/>
      <c r="AC146" s="574"/>
      <c r="AD146" s="574"/>
    </row>
    <row r="147" spans="28:30" x14ac:dyDescent="0.2">
      <c r="AB147" s="574"/>
      <c r="AC147" s="574"/>
      <c r="AD147" s="574"/>
    </row>
    <row r="148" spans="28:30" x14ac:dyDescent="0.2">
      <c r="AB148" s="574"/>
      <c r="AC148" s="574"/>
      <c r="AD148" s="574"/>
    </row>
    <row r="149" spans="28:30" x14ac:dyDescent="0.2">
      <c r="AB149" s="574"/>
      <c r="AC149" s="574"/>
      <c r="AD149" s="574"/>
    </row>
    <row r="150" spans="28:30" x14ac:dyDescent="0.2">
      <c r="AB150" s="574"/>
      <c r="AC150" s="574"/>
      <c r="AD150" s="574"/>
    </row>
    <row r="151" spans="28:30" x14ac:dyDescent="0.2">
      <c r="AB151" s="574"/>
      <c r="AC151" s="574"/>
      <c r="AD151" s="574"/>
    </row>
    <row r="152" spans="28:30" x14ac:dyDescent="0.2">
      <c r="AB152" s="574"/>
      <c r="AC152" s="574"/>
      <c r="AD152" s="574"/>
    </row>
    <row r="153" spans="28:30" x14ac:dyDescent="0.2">
      <c r="AB153" s="574"/>
      <c r="AC153" s="574"/>
      <c r="AD153" s="574"/>
    </row>
    <row r="154" spans="28:30" x14ac:dyDescent="0.2">
      <c r="AB154" s="574"/>
      <c r="AC154" s="574"/>
      <c r="AD154" s="574"/>
    </row>
  </sheetData>
  <mergeCells count="27">
    <mergeCell ref="AC2:AC3"/>
    <mergeCell ref="AD2:AD3"/>
    <mergeCell ref="AE2:AE3"/>
    <mergeCell ref="V2:V3"/>
    <mergeCell ref="W2:W3"/>
    <mergeCell ref="X2:X3"/>
    <mergeCell ref="Y2:Y3"/>
    <mergeCell ref="Z2:Z3"/>
    <mergeCell ref="AB2:AB3"/>
    <mergeCell ref="P2:P3"/>
    <mergeCell ref="Q2:Q3"/>
    <mergeCell ref="R2:R3"/>
    <mergeCell ref="S2:S3"/>
    <mergeCell ref="T2:T3"/>
    <mergeCell ref="U2:U3"/>
    <mergeCell ref="J2:J3"/>
    <mergeCell ref="K2:K3"/>
    <mergeCell ref="L2:L3"/>
    <mergeCell ref="M2:M3"/>
    <mergeCell ref="N2:N3"/>
    <mergeCell ref="O2:O3"/>
    <mergeCell ref="D1:D4"/>
    <mergeCell ref="E2:E3"/>
    <mergeCell ref="F2:F3"/>
    <mergeCell ref="G2:G3"/>
    <mergeCell ref="H2:H3"/>
    <mergeCell ref="I2:I3"/>
  </mergeCells>
  <conditionalFormatting sqref="E68:Y68">
    <cfRule type="expression" dxfId="100" priority="2">
      <formula>E68&lt;&gt;0</formula>
    </cfRule>
  </conditionalFormatting>
  <conditionalFormatting sqref="AB68:AE68">
    <cfRule type="expression" dxfId="99" priority="1">
      <formula>AB68&lt;&gt;0</formula>
    </cfRule>
  </conditionalFormatting>
  <dataValidations count="1">
    <dataValidation type="decimal" operator="greaterThanOrEqual" allowBlank="1" showInputMessage="1" showErrorMessage="1" sqref="V4:Z4" xr:uid="{C9277524-D4D6-4A40-B937-68E345346F4C}">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AE1E-B0DE-7C49-B251-A0BFA1EBF912}">
  <dimension ref="A1:I201"/>
  <sheetViews>
    <sheetView workbookViewId="0">
      <selection activeCell="K16" sqref="K16"/>
    </sheetView>
  </sheetViews>
  <sheetFormatPr baseColWidth="10" defaultColWidth="6.6640625" defaultRowHeight="16" outlineLevelRow="1" outlineLevelCol="1" x14ac:dyDescent="0.2"/>
  <cols>
    <col min="1" max="1" width="3.33203125" style="2" customWidth="1"/>
    <col min="2" max="2" width="56.83203125" style="2" customWidth="1"/>
    <col min="3" max="3" width="2.6640625" style="512" customWidth="1"/>
    <col min="4" max="4" width="11.83203125" style="2" customWidth="1"/>
    <col min="5" max="5" width="1.5" style="2" customWidth="1" outlineLevel="1"/>
    <col min="6" max="6" width="11.83203125" style="2" customWidth="1" outlineLevel="1"/>
    <col min="7" max="7" width="1.5" style="2" customWidth="1" outlineLevel="1"/>
    <col min="8" max="8" width="11.83203125" style="2" customWidth="1" outlineLevel="1"/>
    <col min="9" max="11" width="6.6640625" style="2"/>
    <col min="12" max="12" width="0" style="2" hidden="1" customWidth="1"/>
    <col min="13" max="16384" width="6.6640625" style="2"/>
  </cols>
  <sheetData>
    <row r="1" spans="1:9" s="65" customFormat="1" ht="21.75" customHeight="1" x14ac:dyDescent="0.3">
      <c r="A1" s="514"/>
      <c r="B1" s="509"/>
      <c r="D1" s="513" t="s">
        <v>73</v>
      </c>
      <c r="E1" s="514"/>
      <c r="F1" s="515" t="s">
        <v>74</v>
      </c>
      <c r="G1" s="514"/>
      <c r="H1" s="516" t="s">
        <v>75</v>
      </c>
      <c r="I1" s="643" t="s">
        <v>236</v>
      </c>
    </row>
    <row r="2" spans="1:9" ht="47.25" customHeight="1" thickBot="1" x14ac:dyDescent="0.3">
      <c r="A2" s="121"/>
      <c r="B2" s="511" t="str">
        <f>CONCATENATE('[1]Core Assumptions'!D7," Service Recap - ",'[1]Core Assumptions'!D5)</f>
        <v>PHB Service Recap - Ted Black Tax Return</v>
      </c>
      <c r="D2" s="644" t="s">
        <v>237</v>
      </c>
      <c r="E2" s="645"/>
      <c r="F2" s="646" t="s">
        <v>237</v>
      </c>
      <c r="G2" s="645"/>
      <c r="H2" s="647" t="s">
        <v>237</v>
      </c>
      <c r="I2" s="643"/>
    </row>
    <row r="3" spans="1:9" ht="8.25" customHeight="1" x14ac:dyDescent="0.2"/>
    <row r="4" spans="1:9" x14ac:dyDescent="0.2">
      <c r="A4" s="249"/>
      <c r="B4" s="648" t="s">
        <v>238</v>
      </c>
      <c r="D4" s="649">
        <f>'[1]Core Assumptions'!D13</f>
        <v>46023</v>
      </c>
      <c r="E4" s="11"/>
      <c r="F4" s="11"/>
      <c r="G4" s="11"/>
      <c r="H4" s="11"/>
    </row>
    <row r="5" spans="1:9" x14ac:dyDescent="0.2">
      <c r="A5" s="249"/>
      <c r="B5" s="648" t="s">
        <v>239</v>
      </c>
      <c r="D5" s="649">
        <f>'[1]Core Assumptions'!D14</f>
        <v>46310</v>
      </c>
      <c r="E5" s="11"/>
      <c r="F5" s="11"/>
      <c r="G5" s="11"/>
      <c r="H5" s="11"/>
    </row>
    <row r="6" spans="1:9" ht="8.25" customHeight="1" x14ac:dyDescent="0.2"/>
    <row r="7" spans="1:9" ht="20" thickBot="1" x14ac:dyDescent="0.3">
      <c r="A7" s="162"/>
      <c r="B7" s="525" t="s">
        <v>240</v>
      </c>
      <c r="D7" s="162"/>
      <c r="E7" s="162"/>
      <c r="F7" s="162"/>
      <c r="G7" s="162"/>
      <c r="H7" s="162"/>
    </row>
    <row r="8" spans="1:9" ht="17" x14ac:dyDescent="0.2">
      <c r="A8" s="650">
        <v>1</v>
      </c>
      <c r="B8" s="651" t="str">
        <f>IFERROR(VLOOKUP($A8,'[1]Pricing Calculator'!$A$17:$G$187,2,FALSE),"")</f>
        <v>A Business - Federal &amp; State Tax Returns</v>
      </c>
      <c r="C8" s="652" t="s">
        <v>11</v>
      </c>
      <c r="D8" s="653" t="str">
        <f>IF(IFERROR(VLOOKUP($A8,'[1]Pricing Calculator'!$A$17:$G$187,5,FALSE),"")=TRUE,"P","")</f>
        <v>P</v>
      </c>
      <c r="E8" s="654"/>
      <c r="F8" s="655" t="str">
        <f>IF(IFERROR(VLOOKUP($A8,'[1]Pricing Calculator'!$A$17:$G$187,6,FALSE),"")=TRUE,"P","")</f>
        <v>P</v>
      </c>
      <c r="G8" s="654"/>
      <c r="H8" s="656" t="str">
        <f>IF(IFERROR(VLOOKUP($A8,'[1]Pricing Calculator'!$A$17:$G$187,7,FALSE),"")=TRUE,"P","")</f>
        <v>P</v>
      </c>
    </row>
    <row r="9" spans="1:9" ht="17" x14ac:dyDescent="0.2">
      <c r="A9" s="650">
        <v>2</v>
      </c>
      <c r="B9" s="657" t="str">
        <f>IFERROR(VLOOKUP($A9,'[1]Pricing Calculator'!$A$17:$G$187,2,FALSE),"")</f>
        <v>B Corp - Federal &amp; State Tax Returns</v>
      </c>
      <c r="C9" s="652" t="s">
        <v>11</v>
      </c>
      <c r="D9" s="658" t="str">
        <f>IF(IFERROR(VLOOKUP($A9,'[1]Pricing Calculator'!$A$17:$G$187,5,FALSE),"")=TRUE,"P","")</f>
        <v>P</v>
      </c>
      <c r="E9" s="654"/>
      <c r="F9" s="659" t="str">
        <f>IF(IFERROR(VLOOKUP($A9,'[1]Pricing Calculator'!$A$17:$G$187,6,FALSE),"")=TRUE,"P","")</f>
        <v>P</v>
      </c>
      <c r="G9" s="654"/>
      <c r="H9" s="660" t="str">
        <f>IF(IFERROR(VLOOKUP($A9,'[1]Pricing Calculator'!$A$17:$G$187,7,FALSE),"")=TRUE,"P","")</f>
        <v>P</v>
      </c>
    </row>
    <row r="10" spans="1:9" ht="17" x14ac:dyDescent="0.2">
      <c r="A10" s="650">
        <v>3</v>
      </c>
      <c r="B10" s="657" t="str">
        <f>IFERROR(VLOOKUP($A10,'[1]Pricing Calculator'!$A$17:$G$187,2,FALSE),"")</f>
        <v>C LLC - Federal &amp; State Tax Returns</v>
      </c>
      <c r="C10" s="652" t="s">
        <v>11</v>
      </c>
      <c r="D10" s="658" t="str">
        <f>IF(IFERROR(VLOOKUP($A10,'[1]Pricing Calculator'!$A$17:$G$187,5,FALSE),"")=TRUE,"P","")</f>
        <v>P</v>
      </c>
      <c r="E10" s="654"/>
      <c r="F10" s="659" t="str">
        <f>IF(IFERROR(VLOOKUP($A10,'[1]Pricing Calculator'!$A$17:$G$187,6,FALSE),"")=TRUE,"P","")</f>
        <v>P</v>
      </c>
      <c r="G10" s="654"/>
      <c r="H10" s="660" t="str">
        <f>IF(IFERROR(VLOOKUP($A10,'[1]Pricing Calculator'!$A$17:$G$187,7,FALSE),"")=TRUE,"P","")</f>
        <v>P</v>
      </c>
    </row>
    <row r="11" spans="1:9" ht="17" x14ac:dyDescent="0.2">
      <c r="A11" s="650">
        <v>4</v>
      </c>
      <c r="B11" s="657" t="str">
        <f>IFERROR(VLOOKUP($A11,'[1]Pricing Calculator'!$A$17:$G$187,2,FALSE),"")</f>
        <v>D Demo Corp - Federal &amp; State Tax Returns</v>
      </c>
      <c r="C11" s="652" t="s">
        <v>11</v>
      </c>
      <c r="D11" s="658" t="str">
        <f>IF(IFERROR(VLOOKUP($A11,'[1]Pricing Calculator'!$A$17:$G$187,5,FALSE),"")=TRUE,"P","")</f>
        <v>P</v>
      </c>
      <c r="E11" s="654"/>
      <c r="F11" s="659" t="str">
        <f>IF(IFERROR(VLOOKUP($A11,'[1]Pricing Calculator'!$A$17:$G$187,6,FALSE),"")=TRUE,"P","")</f>
        <v>P</v>
      </c>
      <c r="G11" s="654"/>
      <c r="H11" s="660" t="str">
        <f>IF(IFERROR(VLOOKUP($A11,'[1]Pricing Calculator'!$A$17:$G$187,7,FALSE),"")=TRUE,"P","")</f>
        <v>P</v>
      </c>
    </row>
    <row r="12" spans="1:9" ht="17" x14ac:dyDescent="0.2">
      <c r="A12" s="650">
        <v>5</v>
      </c>
      <c r="B12" s="657" t="str">
        <f>IFERROR(VLOOKUP($A12,'[1]Pricing Calculator'!$A$17:$G$187,2,FALSE),"")</f>
        <v/>
      </c>
      <c r="C12" s="652" t="s">
        <v>11</v>
      </c>
      <c r="D12" s="658" t="str">
        <f>IF(IFERROR(VLOOKUP($A12,'[1]Pricing Calculator'!$A$17:$G$187,5,FALSE),"")=TRUE,"P","")</f>
        <v/>
      </c>
      <c r="E12" s="654"/>
      <c r="F12" s="659" t="str">
        <f>IF(IFERROR(VLOOKUP($A12,'[1]Pricing Calculator'!$A$17:$G$187,6,FALSE),"")=TRUE,"P","")</f>
        <v/>
      </c>
      <c r="G12" s="654"/>
      <c r="H12" s="660" t="str">
        <f>IF(IFERROR(VLOOKUP($A12,'[1]Pricing Calculator'!$A$17:$G$187,7,FALSE),"")=TRUE,"P","")</f>
        <v/>
      </c>
    </row>
    <row r="13" spans="1:9" ht="17" x14ac:dyDescent="0.2">
      <c r="A13" s="650">
        <v>6</v>
      </c>
      <c r="B13" s="657" t="str">
        <f>IFERROR(VLOOKUP($A13,'[1]Pricing Calculator'!$A$17:$G$187,2,FALSE),"")</f>
        <v/>
      </c>
      <c r="C13" s="652" t="s">
        <v>11</v>
      </c>
      <c r="D13" s="658" t="str">
        <f>IF(IFERROR(VLOOKUP($A13,'[1]Pricing Calculator'!$A$17:$G$187,5,FALSE),"")=TRUE,"P","")</f>
        <v/>
      </c>
      <c r="E13" s="654"/>
      <c r="F13" s="659" t="str">
        <f>IF(IFERROR(VLOOKUP($A13,'[1]Pricing Calculator'!$A$17:$G$187,6,FALSE),"")=TRUE,"P","")</f>
        <v/>
      </c>
      <c r="G13" s="654"/>
      <c r="H13" s="660" t="str">
        <f>IF(IFERROR(VLOOKUP($A13,'[1]Pricing Calculator'!$A$17:$G$187,7,FALSE),"")=TRUE,"P","")</f>
        <v/>
      </c>
    </row>
    <row r="14" spans="1:9" ht="17" x14ac:dyDescent="0.2">
      <c r="A14" s="650">
        <v>7</v>
      </c>
      <c r="B14" s="657" t="str">
        <f>IFERROR(VLOOKUP($A14,'[1]Pricing Calculator'!$A$17:$G$187,2,FALSE),"")</f>
        <v/>
      </c>
      <c r="C14" s="652" t="s">
        <v>11</v>
      </c>
      <c r="D14" s="658" t="str">
        <f>IF(IFERROR(VLOOKUP($A14,'[1]Pricing Calculator'!$A$17:$G$187,5,FALSE),"")=TRUE,"P","")</f>
        <v/>
      </c>
      <c r="E14" s="654"/>
      <c r="F14" s="659" t="str">
        <f>IF(IFERROR(VLOOKUP($A14,'[1]Pricing Calculator'!$A$17:$G$187,6,FALSE),"")=TRUE,"P","")</f>
        <v/>
      </c>
      <c r="G14" s="654"/>
      <c r="H14" s="660" t="str">
        <f>IF(IFERROR(VLOOKUP($A14,'[1]Pricing Calculator'!$A$17:$G$187,7,FALSE),"")=TRUE,"P","")</f>
        <v/>
      </c>
    </row>
    <row r="15" spans="1:9" ht="17" x14ac:dyDescent="0.2">
      <c r="A15" s="650">
        <v>8</v>
      </c>
      <c r="B15" s="657" t="str">
        <f>IFERROR(VLOOKUP($A15,'[1]Pricing Calculator'!$A$17:$G$187,2,FALSE),"")</f>
        <v/>
      </c>
      <c r="C15" s="652" t="s">
        <v>11</v>
      </c>
      <c r="D15" s="658" t="str">
        <f>IF(IFERROR(VLOOKUP($A15,'[1]Pricing Calculator'!$A$17:$G$187,5,FALSE),"")=TRUE,"P","")</f>
        <v/>
      </c>
      <c r="E15" s="654"/>
      <c r="F15" s="659" t="str">
        <f>IF(IFERROR(VLOOKUP($A15,'[1]Pricing Calculator'!$A$17:$G$187,6,FALSE),"")=TRUE,"P","")</f>
        <v/>
      </c>
      <c r="G15" s="654"/>
      <c r="H15" s="660" t="str">
        <f>IF(IFERROR(VLOOKUP($A15,'[1]Pricing Calculator'!$A$17:$G$187,7,FALSE),"")=TRUE,"P","")</f>
        <v/>
      </c>
    </row>
    <row r="16" spans="1:9" ht="17" x14ac:dyDescent="0.2">
      <c r="A16" s="650">
        <v>9</v>
      </c>
      <c r="B16" s="657" t="str">
        <f>IFERROR(VLOOKUP($A16,'[1]Pricing Calculator'!$A$17:$G$187,2,FALSE),"")</f>
        <v/>
      </c>
      <c r="C16" s="652" t="s">
        <v>11</v>
      </c>
      <c r="D16" s="658" t="str">
        <f>IF(IFERROR(VLOOKUP($A16,'[1]Pricing Calculator'!$A$17:$G$187,5,FALSE),"")=TRUE,"P","")</f>
        <v/>
      </c>
      <c r="E16" s="654"/>
      <c r="F16" s="659" t="str">
        <f>IF(IFERROR(VLOOKUP($A16,'[1]Pricing Calculator'!$A$17:$G$187,6,FALSE),"")=TRUE,"P","")</f>
        <v/>
      </c>
      <c r="G16" s="654"/>
      <c r="H16" s="660" t="str">
        <f>IF(IFERROR(VLOOKUP($A16,'[1]Pricing Calculator'!$A$17:$G$187,7,FALSE),"")=TRUE,"P","")</f>
        <v/>
      </c>
    </row>
    <row r="17" spans="1:8" ht="17" x14ac:dyDescent="0.2">
      <c r="A17" s="650">
        <v>10</v>
      </c>
      <c r="B17" s="657" t="str">
        <f>IFERROR(VLOOKUP($A17,'[1]Pricing Calculator'!$A$17:$G$187,2,FALSE),"")</f>
        <v/>
      </c>
      <c r="C17" s="652" t="s">
        <v>11</v>
      </c>
      <c r="D17" s="658" t="str">
        <f>IF(IFERROR(VLOOKUP($A17,'[1]Pricing Calculator'!$A$17:$G$187,5,FALSE),"")=TRUE,"P","")</f>
        <v/>
      </c>
      <c r="E17" s="654"/>
      <c r="F17" s="659" t="str">
        <f>IF(IFERROR(VLOOKUP($A17,'[1]Pricing Calculator'!$A$17:$G$187,6,FALSE),"")=TRUE,"P","")</f>
        <v/>
      </c>
      <c r="G17" s="654"/>
      <c r="H17" s="660" t="str">
        <f>IF(IFERROR(VLOOKUP($A17,'[1]Pricing Calculator'!$A$17:$G$187,7,FALSE),"")=TRUE,"P","")</f>
        <v/>
      </c>
    </row>
    <row r="18" spans="1:8" ht="17" x14ac:dyDescent="0.2">
      <c r="A18" s="650">
        <v>11</v>
      </c>
      <c r="B18" s="657" t="str">
        <f>IFERROR(VLOOKUP($A18,'[1]Pricing Calculator'!$A$17:$G$187,2,FALSE),"")</f>
        <v/>
      </c>
      <c r="C18" s="652" t="s">
        <v>11</v>
      </c>
      <c r="D18" s="658" t="str">
        <f>IF(IFERROR(VLOOKUP($A18,'[1]Pricing Calculator'!$A$17:$G$187,5,FALSE),"")=TRUE,"P","")</f>
        <v/>
      </c>
      <c r="E18" s="654"/>
      <c r="F18" s="659" t="str">
        <f>IF(IFERROR(VLOOKUP($A18,'[1]Pricing Calculator'!$A$17:$G$187,6,FALSE),"")=TRUE,"P","")</f>
        <v/>
      </c>
      <c r="G18" s="654"/>
      <c r="H18" s="660" t="str">
        <f>IF(IFERROR(VLOOKUP($A18,'[1]Pricing Calculator'!$A$17:$G$187,7,FALSE),"")=TRUE,"P","")</f>
        <v/>
      </c>
    </row>
    <row r="19" spans="1:8" ht="17" x14ac:dyDescent="0.2">
      <c r="A19" s="650">
        <v>12</v>
      </c>
      <c r="B19" s="657" t="str">
        <f>IFERROR(VLOOKUP($A19,'[1]Pricing Calculator'!$A$17:$G$187,2,FALSE),"")</f>
        <v/>
      </c>
      <c r="C19" s="652" t="s">
        <v>11</v>
      </c>
      <c r="D19" s="658" t="str">
        <f>IF(IFERROR(VLOOKUP($A19,'[1]Pricing Calculator'!$A$17:$G$187,5,FALSE),"")=TRUE,"P","")</f>
        <v/>
      </c>
      <c r="E19" s="654"/>
      <c r="F19" s="659" t="str">
        <f>IF(IFERROR(VLOOKUP($A19,'[1]Pricing Calculator'!$A$17:$G$187,6,FALSE),"")=TRUE,"P","")</f>
        <v/>
      </c>
      <c r="G19" s="654"/>
      <c r="H19" s="660" t="str">
        <f>IF(IFERROR(VLOOKUP($A19,'[1]Pricing Calculator'!$A$17:$G$187,7,FALSE),"")=TRUE,"P","")</f>
        <v/>
      </c>
    </row>
    <row r="20" spans="1:8" ht="17" x14ac:dyDescent="0.2">
      <c r="A20" s="650">
        <v>13</v>
      </c>
      <c r="B20" s="657" t="str">
        <f>IFERROR(VLOOKUP($A20,'[1]Pricing Calculator'!$A$17:$G$187,2,FALSE),"")</f>
        <v/>
      </c>
      <c r="C20" s="652" t="s">
        <v>11</v>
      </c>
      <c r="D20" s="658" t="str">
        <f>IF(IFERROR(VLOOKUP($A20,'[1]Pricing Calculator'!$A$17:$G$187,5,FALSE),"")=TRUE,"P","")</f>
        <v/>
      </c>
      <c r="E20" s="654"/>
      <c r="F20" s="659" t="str">
        <f>IF(IFERROR(VLOOKUP($A20,'[1]Pricing Calculator'!$A$17:$G$187,6,FALSE),"")=TRUE,"P","")</f>
        <v/>
      </c>
      <c r="G20" s="654"/>
      <c r="H20" s="660" t="str">
        <f>IF(IFERROR(VLOOKUP($A20,'[1]Pricing Calculator'!$A$17:$G$187,7,FALSE),"")=TRUE,"P","")</f>
        <v/>
      </c>
    </row>
    <row r="21" spans="1:8" ht="17" x14ac:dyDescent="0.2">
      <c r="A21" s="650">
        <v>14</v>
      </c>
      <c r="B21" s="657" t="str">
        <f>IFERROR(VLOOKUP($A21,'[1]Pricing Calculator'!$A$17:$G$187,2,FALSE),"")</f>
        <v/>
      </c>
      <c r="C21" s="652" t="s">
        <v>11</v>
      </c>
      <c r="D21" s="658" t="str">
        <f>IF(IFERROR(VLOOKUP($A21,'[1]Pricing Calculator'!$A$17:$G$187,5,FALSE),"")=TRUE,"P","")</f>
        <v/>
      </c>
      <c r="E21" s="654"/>
      <c r="F21" s="659" t="str">
        <f>IF(IFERROR(VLOOKUP($A21,'[1]Pricing Calculator'!$A$17:$G$187,6,FALSE),"")=TRUE,"P","")</f>
        <v/>
      </c>
      <c r="G21" s="654"/>
      <c r="H21" s="660" t="str">
        <f>IF(IFERROR(VLOOKUP($A21,'[1]Pricing Calculator'!$A$17:$G$187,7,FALSE),"")=TRUE,"P","")</f>
        <v/>
      </c>
    </row>
    <row r="22" spans="1:8" ht="17" x14ac:dyDescent="0.2">
      <c r="A22" s="650">
        <v>15</v>
      </c>
      <c r="B22" s="657" t="str">
        <f>IFERROR(VLOOKUP($A22,'[1]Pricing Calculator'!$A$17:$G$187,2,FALSE),"")</f>
        <v/>
      </c>
      <c r="C22" s="652" t="s">
        <v>11</v>
      </c>
      <c r="D22" s="658" t="str">
        <f>IF(IFERROR(VLOOKUP($A22,'[1]Pricing Calculator'!$A$17:$G$187,5,FALSE),"")=TRUE,"P","")</f>
        <v/>
      </c>
      <c r="E22" s="654"/>
      <c r="F22" s="659" t="str">
        <f>IF(IFERROR(VLOOKUP($A22,'[1]Pricing Calculator'!$A$17:$G$187,6,FALSE),"")=TRUE,"P","")</f>
        <v/>
      </c>
      <c r="G22" s="654"/>
      <c r="H22" s="660" t="str">
        <f>IF(IFERROR(VLOOKUP($A22,'[1]Pricing Calculator'!$A$17:$G$187,7,FALSE),"")=TRUE,"P","")</f>
        <v/>
      </c>
    </row>
    <row r="23" spans="1:8" ht="17" x14ac:dyDescent="0.2">
      <c r="A23" s="650">
        <v>16</v>
      </c>
      <c r="B23" s="657" t="str">
        <f>IFERROR(VLOOKUP($A23,'[1]Pricing Calculator'!$A$17:$G$187,2,FALSE),"")</f>
        <v/>
      </c>
      <c r="C23" s="652" t="s">
        <v>11</v>
      </c>
      <c r="D23" s="658" t="str">
        <f>IF(IFERROR(VLOOKUP($A23,'[1]Pricing Calculator'!$A$17:$G$187,5,FALSE),"")=TRUE,"P","")</f>
        <v/>
      </c>
      <c r="E23" s="654"/>
      <c r="F23" s="659" t="str">
        <f>IF(IFERROR(VLOOKUP($A23,'[1]Pricing Calculator'!$A$17:$G$187,6,FALSE),"")=TRUE,"P","")</f>
        <v/>
      </c>
      <c r="G23" s="654"/>
      <c r="H23" s="660" t="str">
        <f>IF(IFERROR(VLOOKUP($A23,'[1]Pricing Calculator'!$A$17:$G$187,7,FALSE),"")=TRUE,"P","")</f>
        <v/>
      </c>
    </row>
    <row r="24" spans="1:8" ht="17" x14ac:dyDescent="0.2">
      <c r="A24" s="650">
        <v>17</v>
      </c>
      <c r="B24" s="657" t="str">
        <f>IFERROR(VLOOKUP($A24,'[1]Pricing Calculator'!$A$17:$G$187,2,FALSE),"")</f>
        <v/>
      </c>
      <c r="C24" s="652" t="s">
        <v>11</v>
      </c>
      <c r="D24" s="658" t="str">
        <f>IF(IFERROR(VLOOKUP($A24,'[1]Pricing Calculator'!$A$17:$G$187,5,FALSE),"")=TRUE,"P","")</f>
        <v/>
      </c>
      <c r="E24" s="654"/>
      <c r="F24" s="659" t="str">
        <f>IF(IFERROR(VLOOKUP($A24,'[1]Pricing Calculator'!$A$17:$G$187,6,FALSE),"")=TRUE,"P","")</f>
        <v/>
      </c>
      <c r="G24" s="654"/>
      <c r="H24" s="660" t="str">
        <f>IF(IFERROR(VLOOKUP($A24,'[1]Pricing Calculator'!$A$17:$G$187,7,FALSE),"")=TRUE,"P","")</f>
        <v/>
      </c>
    </row>
    <row r="25" spans="1:8" ht="17" x14ac:dyDescent="0.2">
      <c r="A25" s="650">
        <v>18</v>
      </c>
      <c r="B25" s="657" t="str">
        <f>IFERROR(VLOOKUP($A25,'[1]Pricing Calculator'!$A$17:$G$187,2,FALSE),"")</f>
        <v/>
      </c>
      <c r="C25" s="652" t="s">
        <v>11</v>
      </c>
      <c r="D25" s="658" t="str">
        <f>IF(IFERROR(VLOOKUP($A25,'[1]Pricing Calculator'!$A$17:$G$187,5,FALSE),"")=TRUE,"P","")</f>
        <v/>
      </c>
      <c r="E25" s="654"/>
      <c r="F25" s="659" t="str">
        <f>IF(IFERROR(VLOOKUP($A25,'[1]Pricing Calculator'!$A$17:$G$187,6,FALSE),"")=TRUE,"P","")</f>
        <v/>
      </c>
      <c r="G25" s="654"/>
      <c r="H25" s="660" t="str">
        <f>IF(IFERROR(VLOOKUP($A25,'[1]Pricing Calculator'!$A$17:$G$187,7,FALSE),"")=TRUE,"P","")</f>
        <v/>
      </c>
    </row>
    <row r="26" spans="1:8" ht="17" x14ac:dyDescent="0.2">
      <c r="A26" s="650">
        <v>19</v>
      </c>
      <c r="B26" s="657" t="str">
        <f>IFERROR(VLOOKUP($A26,'[1]Pricing Calculator'!$A$17:$G$187,2,FALSE),"")</f>
        <v/>
      </c>
      <c r="C26" s="652" t="s">
        <v>11</v>
      </c>
      <c r="D26" s="658" t="str">
        <f>IF(IFERROR(VLOOKUP($A26,'[1]Pricing Calculator'!$A$17:$G$187,5,FALSE),"")=TRUE,"P","")</f>
        <v/>
      </c>
      <c r="E26" s="654"/>
      <c r="F26" s="659" t="str">
        <f>IF(IFERROR(VLOOKUP($A26,'[1]Pricing Calculator'!$A$17:$G$187,6,FALSE),"")=TRUE,"P","")</f>
        <v/>
      </c>
      <c r="G26" s="654"/>
      <c r="H26" s="660" t="str">
        <f>IF(IFERROR(VLOOKUP($A26,'[1]Pricing Calculator'!$A$17:$G$187,7,FALSE),"")=TRUE,"P","")</f>
        <v/>
      </c>
    </row>
    <row r="27" spans="1:8" ht="17" x14ac:dyDescent="0.2">
      <c r="A27" s="650">
        <v>20</v>
      </c>
      <c r="B27" s="657" t="str">
        <f>IFERROR(VLOOKUP($A27,'[1]Pricing Calculator'!$A$17:$G$187,2,FALSE),"")</f>
        <v/>
      </c>
      <c r="C27" s="652" t="s">
        <v>11</v>
      </c>
      <c r="D27" s="658" t="str">
        <f>IF(IFERROR(VLOOKUP($A27,'[1]Pricing Calculator'!$A$17:$G$187,5,FALSE),"")=TRUE,"P","")</f>
        <v/>
      </c>
      <c r="E27" s="654"/>
      <c r="F27" s="659" t="str">
        <f>IF(IFERROR(VLOOKUP($A27,'[1]Pricing Calculator'!$A$17:$G$187,6,FALSE),"")=TRUE,"P","")</f>
        <v/>
      </c>
      <c r="G27" s="654"/>
      <c r="H27" s="660" t="str">
        <f>IF(IFERROR(VLOOKUP($A27,'[1]Pricing Calculator'!$A$17:$G$187,7,FALSE),"")=TRUE,"P","")</f>
        <v/>
      </c>
    </row>
    <row r="28" spans="1:8" ht="17" x14ac:dyDescent="0.2">
      <c r="A28" s="650">
        <v>21</v>
      </c>
      <c r="B28" s="657" t="str">
        <f>IFERROR(VLOOKUP($A28,'[1]Pricing Calculator'!$A$17:$G$187,2,FALSE),"")</f>
        <v/>
      </c>
      <c r="C28" s="652" t="s">
        <v>11</v>
      </c>
      <c r="D28" s="658" t="str">
        <f>IF(IFERROR(VLOOKUP($A28,'[1]Pricing Calculator'!$A$17:$G$187,5,FALSE),"")=TRUE,"P","")</f>
        <v/>
      </c>
      <c r="E28" s="654"/>
      <c r="F28" s="659" t="str">
        <f>IF(IFERROR(VLOOKUP($A28,'[1]Pricing Calculator'!$A$17:$G$187,6,FALSE),"")=TRUE,"P","")</f>
        <v/>
      </c>
      <c r="G28" s="654"/>
      <c r="H28" s="660" t="str">
        <f>IF(IFERROR(VLOOKUP($A28,'[1]Pricing Calculator'!$A$17:$G$187,7,FALSE),"")=TRUE,"P","")</f>
        <v/>
      </c>
    </row>
    <row r="29" spans="1:8" ht="17" x14ac:dyDescent="0.2">
      <c r="A29" s="650">
        <v>22</v>
      </c>
      <c r="B29" s="657" t="str">
        <f>IFERROR(VLOOKUP($A29,'[1]Pricing Calculator'!$A$17:$G$187,2,FALSE),"")</f>
        <v/>
      </c>
      <c r="C29" s="652" t="s">
        <v>11</v>
      </c>
      <c r="D29" s="658" t="str">
        <f>IF(IFERROR(VLOOKUP($A29,'[1]Pricing Calculator'!$A$17:$G$187,5,FALSE),"")=TRUE,"P","")</f>
        <v/>
      </c>
      <c r="E29" s="654"/>
      <c r="F29" s="659" t="str">
        <f>IF(IFERROR(VLOOKUP($A29,'[1]Pricing Calculator'!$A$17:$G$187,6,FALSE),"")=TRUE,"P","")</f>
        <v/>
      </c>
      <c r="G29" s="654"/>
      <c r="H29" s="660" t="str">
        <f>IF(IFERROR(VLOOKUP($A29,'[1]Pricing Calculator'!$A$17:$G$187,7,FALSE),"")=TRUE,"P","")</f>
        <v/>
      </c>
    </row>
    <row r="30" spans="1:8" ht="17" x14ac:dyDescent="0.2">
      <c r="A30" s="650">
        <v>23</v>
      </c>
      <c r="B30" s="657" t="str">
        <f>IFERROR(VLOOKUP($A30,'[1]Pricing Calculator'!$A$17:$G$187,2,FALSE),"")</f>
        <v/>
      </c>
      <c r="C30" s="652" t="s">
        <v>11</v>
      </c>
      <c r="D30" s="658" t="str">
        <f>IF(IFERROR(VLOOKUP($A30,'[1]Pricing Calculator'!$A$17:$G$187,5,FALSE),"")=TRUE,"P","")</f>
        <v/>
      </c>
      <c r="E30" s="654"/>
      <c r="F30" s="659" t="str">
        <f>IF(IFERROR(VLOOKUP($A30,'[1]Pricing Calculator'!$A$17:$G$187,6,FALSE),"")=TRUE,"P","")</f>
        <v/>
      </c>
      <c r="G30" s="654"/>
      <c r="H30" s="660" t="str">
        <f>IF(IFERROR(VLOOKUP($A30,'[1]Pricing Calculator'!$A$17:$G$187,7,FALSE),"")=TRUE,"P","")</f>
        <v/>
      </c>
    </row>
    <row r="31" spans="1:8" ht="17" x14ac:dyDescent="0.2">
      <c r="A31" s="650">
        <v>24</v>
      </c>
      <c r="B31" s="657" t="str">
        <f>IFERROR(VLOOKUP($A31,'[1]Pricing Calculator'!$A$17:$G$187,2,FALSE),"")</f>
        <v/>
      </c>
      <c r="C31" s="652" t="s">
        <v>11</v>
      </c>
      <c r="D31" s="658" t="str">
        <f>IF(IFERROR(VLOOKUP($A31,'[1]Pricing Calculator'!$A$17:$G$187,5,FALSE),"")=TRUE,"P","")</f>
        <v/>
      </c>
      <c r="E31" s="654"/>
      <c r="F31" s="659" t="str">
        <f>IF(IFERROR(VLOOKUP($A31,'[1]Pricing Calculator'!$A$17:$G$187,6,FALSE),"")=TRUE,"P","")</f>
        <v/>
      </c>
      <c r="G31" s="654"/>
      <c r="H31" s="660" t="str">
        <f>IF(IFERROR(VLOOKUP($A31,'[1]Pricing Calculator'!$A$17:$G$187,7,FALSE),"")=TRUE,"P","")</f>
        <v/>
      </c>
    </row>
    <row r="32" spans="1:8" ht="18" thickBot="1" x14ac:dyDescent="0.25">
      <c r="A32" s="650">
        <v>25</v>
      </c>
      <c r="B32" s="657" t="str">
        <f>IFERROR(VLOOKUP($A32,'[1]Pricing Calculator'!$A$17:$G$187,2,FALSE),"")</f>
        <v/>
      </c>
      <c r="C32" s="652" t="s">
        <v>11</v>
      </c>
      <c r="D32" s="658" t="str">
        <f>IF(IFERROR(VLOOKUP($A32,'[1]Pricing Calculator'!$A$17:$G$187,5,FALSE),"")=TRUE,"P","")</f>
        <v/>
      </c>
      <c r="E32" s="654"/>
      <c r="F32" s="659" t="str">
        <f>IF(IFERROR(VLOOKUP($A32,'[1]Pricing Calculator'!$A$17:$G$187,6,FALSE),"")=TRUE,"P","")</f>
        <v/>
      </c>
      <c r="G32" s="654"/>
      <c r="H32" s="660" t="str">
        <f>IF(IFERROR(VLOOKUP($A32,'[1]Pricing Calculator'!$A$17:$G$187,7,FALSE),"")=TRUE,"P","")</f>
        <v/>
      </c>
    </row>
    <row r="33" spans="1:8" ht="18" hidden="1" outlineLevel="1" thickBot="1" x14ac:dyDescent="0.25">
      <c r="A33" s="650">
        <v>26</v>
      </c>
      <c r="B33" s="657" t="str">
        <f>IFERROR(VLOOKUP($A33,'[1]Pricing Calculator'!$A$17:$G$187,2,FALSE),"")</f>
        <v/>
      </c>
      <c r="C33" s="652" t="s">
        <v>11</v>
      </c>
      <c r="D33" s="658" t="str">
        <f>IF(IFERROR(VLOOKUP($A33,'[1]Pricing Calculator'!$A$17:$G$187,5,FALSE),"")=TRUE,"P","")</f>
        <v/>
      </c>
      <c r="E33" s="654"/>
      <c r="F33" s="659" t="str">
        <f>IF(IFERROR(VLOOKUP($A33,'[1]Pricing Calculator'!$A$17:$G$187,6,FALSE),"")=TRUE,"P","")</f>
        <v/>
      </c>
      <c r="G33" s="654"/>
      <c r="H33" s="660" t="str">
        <f>IF(IFERROR(VLOOKUP($A33,'[1]Pricing Calculator'!$A$17:$G$187,7,FALSE),"")=TRUE,"P","")</f>
        <v/>
      </c>
    </row>
    <row r="34" spans="1:8" ht="18" hidden="1" outlineLevel="1" thickBot="1" x14ac:dyDescent="0.25">
      <c r="A34" s="650">
        <v>27</v>
      </c>
      <c r="B34" s="657" t="str">
        <f>IFERROR(VLOOKUP($A34,'[1]Pricing Calculator'!$A$17:$G$187,2,FALSE),"")</f>
        <v/>
      </c>
      <c r="C34" s="652" t="s">
        <v>11</v>
      </c>
      <c r="D34" s="658" t="str">
        <f>IF(IFERROR(VLOOKUP($A34,'[1]Pricing Calculator'!$A$17:$G$187,5,FALSE),"")=TRUE,"P","")</f>
        <v/>
      </c>
      <c r="E34" s="654"/>
      <c r="F34" s="659" t="str">
        <f>IF(IFERROR(VLOOKUP($A34,'[1]Pricing Calculator'!$A$17:$G$187,6,FALSE),"")=TRUE,"P","")</f>
        <v/>
      </c>
      <c r="G34" s="654"/>
      <c r="H34" s="660" t="str">
        <f>IF(IFERROR(VLOOKUP($A34,'[1]Pricing Calculator'!$A$17:$G$187,7,FALSE),"")=TRUE,"P","")</f>
        <v/>
      </c>
    </row>
    <row r="35" spans="1:8" ht="18" hidden="1" outlineLevel="1" thickBot="1" x14ac:dyDescent="0.25">
      <c r="A35" s="650">
        <v>28</v>
      </c>
      <c r="B35" s="657" t="str">
        <f>IFERROR(VLOOKUP($A35,'[1]Pricing Calculator'!$A$17:$G$187,2,FALSE),"")</f>
        <v/>
      </c>
      <c r="C35" s="652" t="s">
        <v>11</v>
      </c>
      <c r="D35" s="658" t="str">
        <f>IF(IFERROR(VLOOKUP($A35,'[1]Pricing Calculator'!$A$17:$G$187,5,FALSE),"")=TRUE,"P","")</f>
        <v/>
      </c>
      <c r="E35" s="654"/>
      <c r="F35" s="659" t="str">
        <f>IF(IFERROR(VLOOKUP($A35,'[1]Pricing Calculator'!$A$17:$G$187,6,FALSE),"")=TRUE,"P","")</f>
        <v/>
      </c>
      <c r="G35" s="654"/>
      <c r="H35" s="660" t="str">
        <f>IF(IFERROR(VLOOKUP($A35,'[1]Pricing Calculator'!$A$17:$G$187,7,FALSE),"")=TRUE,"P","")</f>
        <v/>
      </c>
    </row>
    <row r="36" spans="1:8" ht="18" hidden="1" outlineLevel="1" thickBot="1" x14ac:dyDescent="0.25">
      <c r="A36" s="650">
        <v>29</v>
      </c>
      <c r="B36" s="657" t="str">
        <f>IFERROR(VLOOKUP($A36,'[1]Pricing Calculator'!$A$17:$G$187,2,FALSE),"")</f>
        <v/>
      </c>
      <c r="C36" s="652" t="s">
        <v>11</v>
      </c>
      <c r="D36" s="658" t="str">
        <f>IF(IFERROR(VLOOKUP($A36,'[1]Pricing Calculator'!$A$17:$G$187,5,FALSE),"")=TRUE,"P","")</f>
        <v/>
      </c>
      <c r="E36" s="654"/>
      <c r="F36" s="659" t="str">
        <f>IF(IFERROR(VLOOKUP($A36,'[1]Pricing Calculator'!$A$17:$G$187,6,FALSE),"")=TRUE,"P","")</f>
        <v/>
      </c>
      <c r="G36" s="654"/>
      <c r="H36" s="660" t="str">
        <f>IF(IFERROR(VLOOKUP($A36,'[1]Pricing Calculator'!$A$17:$G$187,7,FALSE),"")=TRUE,"P","")</f>
        <v/>
      </c>
    </row>
    <row r="37" spans="1:8" ht="18" hidden="1" outlineLevel="1" thickBot="1" x14ac:dyDescent="0.25">
      <c r="A37" s="650">
        <v>30</v>
      </c>
      <c r="B37" s="657" t="str">
        <f>IFERROR(VLOOKUP($A37,'[1]Pricing Calculator'!$A$17:$G$187,2,FALSE),"")</f>
        <v/>
      </c>
      <c r="C37" s="652" t="s">
        <v>11</v>
      </c>
      <c r="D37" s="658" t="str">
        <f>IF(IFERROR(VLOOKUP($A37,'[1]Pricing Calculator'!$A$17:$G$187,5,FALSE),"")=TRUE,"P","")</f>
        <v/>
      </c>
      <c r="E37" s="654"/>
      <c r="F37" s="659" t="str">
        <f>IF(IFERROR(VLOOKUP($A37,'[1]Pricing Calculator'!$A$17:$G$187,6,FALSE),"")=TRUE,"P","")</f>
        <v/>
      </c>
      <c r="G37" s="654"/>
      <c r="H37" s="660" t="str">
        <f>IF(IFERROR(VLOOKUP($A37,'[1]Pricing Calculator'!$A$17:$G$187,7,FALSE),"")=TRUE,"P","")</f>
        <v/>
      </c>
    </row>
    <row r="38" spans="1:8" ht="18" hidden="1" outlineLevel="1" thickBot="1" x14ac:dyDescent="0.25">
      <c r="A38" s="650">
        <v>31</v>
      </c>
      <c r="B38" s="657" t="str">
        <f>IFERROR(VLOOKUP($A38,'[1]Pricing Calculator'!$A$17:$G$187,2,FALSE),"")</f>
        <v/>
      </c>
      <c r="C38" s="652" t="s">
        <v>11</v>
      </c>
      <c r="D38" s="658" t="str">
        <f>IF(IFERROR(VLOOKUP($A38,'[1]Pricing Calculator'!$A$17:$G$187,5,FALSE),"")=TRUE,"P","")</f>
        <v/>
      </c>
      <c r="E38" s="654"/>
      <c r="F38" s="659" t="str">
        <f>IF(IFERROR(VLOOKUP($A38,'[1]Pricing Calculator'!$A$17:$G$187,6,FALSE),"")=TRUE,"P","")</f>
        <v/>
      </c>
      <c r="G38" s="654"/>
      <c r="H38" s="660" t="str">
        <f>IF(IFERROR(VLOOKUP($A38,'[1]Pricing Calculator'!$A$17:$G$187,7,FALSE),"")=TRUE,"P","")</f>
        <v/>
      </c>
    </row>
    <row r="39" spans="1:8" ht="18" hidden="1" outlineLevel="1" thickBot="1" x14ac:dyDescent="0.25">
      <c r="A39" s="650">
        <v>32</v>
      </c>
      <c r="B39" s="657" t="str">
        <f>IFERROR(VLOOKUP($A39,'[1]Pricing Calculator'!$A$17:$G$187,2,FALSE),"")</f>
        <v/>
      </c>
      <c r="C39" s="652" t="s">
        <v>11</v>
      </c>
      <c r="D39" s="658" t="str">
        <f>IF(IFERROR(VLOOKUP($A39,'[1]Pricing Calculator'!$A$17:$G$187,5,FALSE),"")=TRUE,"P","")</f>
        <v/>
      </c>
      <c r="E39" s="654"/>
      <c r="F39" s="659" t="str">
        <f>IF(IFERROR(VLOOKUP($A39,'[1]Pricing Calculator'!$A$17:$G$187,6,FALSE),"")=TRUE,"P","")</f>
        <v/>
      </c>
      <c r="G39" s="654"/>
      <c r="H39" s="660" t="str">
        <f>IF(IFERROR(VLOOKUP($A39,'[1]Pricing Calculator'!$A$17:$G$187,7,FALSE),"")=TRUE,"P","")</f>
        <v/>
      </c>
    </row>
    <row r="40" spans="1:8" ht="18" hidden="1" outlineLevel="1" thickBot="1" x14ac:dyDescent="0.25">
      <c r="A40" s="650">
        <v>33</v>
      </c>
      <c r="B40" s="657" t="str">
        <f>IFERROR(VLOOKUP($A40,'[1]Pricing Calculator'!$A$17:$G$187,2,FALSE),"")</f>
        <v/>
      </c>
      <c r="C40" s="652" t="s">
        <v>11</v>
      </c>
      <c r="D40" s="658" t="str">
        <f>IF(IFERROR(VLOOKUP($A40,'[1]Pricing Calculator'!$A$17:$G$187,5,FALSE),"")=TRUE,"P","")</f>
        <v/>
      </c>
      <c r="E40" s="654"/>
      <c r="F40" s="659" t="str">
        <f>IF(IFERROR(VLOOKUP($A40,'[1]Pricing Calculator'!$A$17:$G$187,6,FALSE),"")=TRUE,"P","")</f>
        <v/>
      </c>
      <c r="G40" s="654"/>
      <c r="H40" s="660" t="str">
        <f>IF(IFERROR(VLOOKUP($A40,'[1]Pricing Calculator'!$A$17:$G$187,7,FALSE),"")=TRUE,"P","")</f>
        <v/>
      </c>
    </row>
    <row r="41" spans="1:8" ht="18" hidden="1" outlineLevel="1" thickBot="1" x14ac:dyDescent="0.25">
      <c r="A41" s="650">
        <v>34</v>
      </c>
      <c r="B41" s="657" t="str">
        <f>IFERROR(VLOOKUP($A41,'[1]Pricing Calculator'!$A$17:$G$187,2,FALSE),"")</f>
        <v/>
      </c>
      <c r="C41" s="652" t="s">
        <v>11</v>
      </c>
      <c r="D41" s="658" t="str">
        <f>IF(IFERROR(VLOOKUP($A41,'[1]Pricing Calculator'!$A$17:$G$187,5,FALSE),"")=TRUE,"P","")</f>
        <v/>
      </c>
      <c r="E41" s="654"/>
      <c r="F41" s="659" t="str">
        <f>IF(IFERROR(VLOOKUP($A41,'[1]Pricing Calculator'!$A$17:$G$187,6,FALSE),"")=TRUE,"P","")</f>
        <v/>
      </c>
      <c r="G41" s="654"/>
      <c r="H41" s="660" t="str">
        <f>IF(IFERROR(VLOOKUP($A41,'[1]Pricing Calculator'!$A$17:$G$187,7,FALSE),"")=TRUE,"P","")</f>
        <v/>
      </c>
    </row>
    <row r="42" spans="1:8" ht="18" hidden="1" outlineLevel="1" thickBot="1" x14ac:dyDescent="0.25">
      <c r="A42" s="650">
        <v>35</v>
      </c>
      <c r="B42" s="657" t="str">
        <f>IFERROR(VLOOKUP($A42,'[1]Pricing Calculator'!$A$17:$G$187,2,FALSE),"")</f>
        <v/>
      </c>
      <c r="C42" s="652" t="s">
        <v>11</v>
      </c>
      <c r="D42" s="658" t="str">
        <f>IF(IFERROR(VLOOKUP($A42,'[1]Pricing Calculator'!$A$17:$G$187,5,FALSE),"")=TRUE,"P","")</f>
        <v/>
      </c>
      <c r="E42" s="654"/>
      <c r="F42" s="659" t="str">
        <f>IF(IFERROR(VLOOKUP($A42,'[1]Pricing Calculator'!$A$17:$G$187,6,FALSE),"")=TRUE,"P","")</f>
        <v/>
      </c>
      <c r="G42" s="654"/>
      <c r="H42" s="660" t="str">
        <f>IF(IFERROR(VLOOKUP($A42,'[1]Pricing Calculator'!$A$17:$G$187,7,FALSE),"")=TRUE,"P","")</f>
        <v/>
      </c>
    </row>
    <row r="43" spans="1:8" ht="18" hidden="1" outlineLevel="1" thickBot="1" x14ac:dyDescent="0.25">
      <c r="A43" s="650">
        <v>36</v>
      </c>
      <c r="B43" s="657" t="str">
        <f>IFERROR(VLOOKUP($A43,'[1]Pricing Calculator'!$A$17:$G$187,2,FALSE),"")</f>
        <v/>
      </c>
      <c r="C43" s="652" t="s">
        <v>11</v>
      </c>
      <c r="D43" s="658" t="str">
        <f>IF(IFERROR(VLOOKUP($A43,'[1]Pricing Calculator'!$A$17:$G$187,5,FALSE),"")=TRUE,"P","")</f>
        <v/>
      </c>
      <c r="E43" s="654"/>
      <c r="F43" s="659" t="str">
        <f>IF(IFERROR(VLOOKUP($A43,'[1]Pricing Calculator'!$A$17:$G$187,6,FALSE),"")=TRUE,"P","")</f>
        <v/>
      </c>
      <c r="G43" s="654"/>
      <c r="H43" s="660" t="str">
        <f>IF(IFERROR(VLOOKUP($A43,'[1]Pricing Calculator'!$A$17:$G$187,7,FALSE),"")=TRUE,"P","")</f>
        <v/>
      </c>
    </row>
    <row r="44" spans="1:8" ht="18" hidden="1" outlineLevel="1" thickBot="1" x14ac:dyDescent="0.25">
      <c r="A44" s="650">
        <v>37</v>
      </c>
      <c r="B44" s="657" t="str">
        <f>IFERROR(VLOOKUP($A44,'[1]Pricing Calculator'!$A$17:$G$187,2,FALSE),"")</f>
        <v/>
      </c>
      <c r="C44" s="652" t="s">
        <v>11</v>
      </c>
      <c r="D44" s="658" t="str">
        <f>IF(IFERROR(VLOOKUP($A44,'[1]Pricing Calculator'!$A$17:$G$187,5,FALSE),"")=TRUE,"P","")</f>
        <v/>
      </c>
      <c r="E44" s="654"/>
      <c r="F44" s="659" t="str">
        <f>IF(IFERROR(VLOOKUP($A44,'[1]Pricing Calculator'!$A$17:$G$187,6,FALSE),"")=TRUE,"P","")</f>
        <v/>
      </c>
      <c r="G44" s="654"/>
      <c r="H44" s="660" t="str">
        <f>IF(IFERROR(VLOOKUP($A44,'[1]Pricing Calculator'!$A$17:$G$187,7,FALSE),"")=TRUE,"P","")</f>
        <v/>
      </c>
    </row>
    <row r="45" spans="1:8" ht="18" hidden="1" outlineLevel="1" thickBot="1" x14ac:dyDescent="0.25">
      <c r="A45" s="650">
        <v>38</v>
      </c>
      <c r="B45" s="657" t="str">
        <f>IFERROR(VLOOKUP($A45,'[1]Pricing Calculator'!$A$17:$G$187,2,FALSE),"")</f>
        <v/>
      </c>
      <c r="C45" s="652" t="s">
        <v>11</v>
      </c>
      <c r="D45" s="658" t="str">
        <f>IF(IFERROR(VLOOKUP($A45,'[1]Pricing Calculator'!$A$17:$G$187,5,FALSE),"")=TRUE,"P","")</f>
        <v/>
      </c>
      <c r="E45" s="654"/>
      <c r="F45" s="659" t="str">
        <f>IF(IFERROR(VLOOKUP($A45,'[1]Pricing Calculator'!$A$17:$G$187,6,FALSE),"")=TRUE,"P","")</f>
        <v/>
      </c>
      <c r="G45" s="654"/>
      <c r="H45" s="660" t="str">
        <f>IF(IFERROR(VLOOKUP($A45,'[1]Pricing Calculator'!$A$17:$G$187,7,FALSE),"")=TRUE,"P","")</f>
        <v/>
      </c>
    </row>
    <row r="46" spans="1:8" ht="18" hidden="1" outlineLevel="1" thickBot="1" x14ac:dyDescent="0.25">
      <c r="A46" s="650">
        <v>39</v>
      </c>
      <c r="B46" s="657" t="str">
        <f>IFERROR(VLOOKUP($A46,'[1]Pricing Calculator'!$A$17:$G$187,2,FALSE),"")</f>
        <v/>
      </c>
      <c r="C46" s="652" t="s">
        <v>11</v>
      </c>
      <c r="D46" s="658" t="str">
        <f>IF(IFERROR(VLOOKUP($A46,'[1]Pricing Calculator'!$A$17:$G$187,5,FALSE),"")=TRUE,"P","")</f>
        <v/>
      </c>
      <c r="E46" s="654"/>
      <c r="F46" s="659" t="str">
        <f>IF(IFERROR(VLOOKUP($A46,'[1]Pricing Calculator'!$A$17:$G$187,6,FALSE),"")=TRUE,"P","")</f>
        <v/>
      </c>
      <c r="G46" s="654"/>
      <c r="H46" s="660" t="str">
        <f>IF(IFERROR(VLOOKUP($A46,'[1]Pricing Calculator'!$A$17:$G$187,7,FALSE),"")=TRUE,"P","")</f>
        <v/>
      </c>
    </row>
    <row r="47" spans="1:8" ht="18" hidden="1" outlineLevel="1" thickBot="1" x14ac:dyDescent="0.25">
      <c r="A47" s="650">
        <v>40</v>
      </c>
      <c r="B47" s="657" t="str">
        <f>IFERROR(VLOOKUP($A47,'[1]Pricing Calculator'!$A$17:$G$187,2,FALSE),"")</f>
        <v/>
      </c>
      <c r="C47" s="652" t="s">
        <v>11</v>
      </c>
      <c r="D47" s="658" t="str">
        <f>IF(IFERROR(VLOOKUP($A47,'[1]Pricing Calculator'!$A$17:$G$187,5,FALSE),"")=TRUE,"P","")</f>
        <v/>
      </c>
      <c r="E47" s="654"/>
      <c r="F47" s="659" t="str">
        <f>IF(IFERROR(VLOOKUP($A47,'[1]Pricing Calculator'!$A$17:$G$187,6,FALSE),"")=TRUE,"P","")</f>
        <v/>
      </c>
      <c r="G47" s="654"/>
      <c r="H47" s="660" t="str">
        <f>IF(IFERROR(VLOOKUP($A47,'[1]Pricing Calculator'!$A$17:$G$187,7,FALSE),"")=TRUE,"P","")</f>
        <v/>
      </c>
    </row>
    <row r="48" spans="1:8" ht="18" hidden="1" outlineLevel="1" thickBot="1" x14ac:dyDescent="0.25">
      <c r="A48" s="650">
        <v>41</v>
      </c>
      <c r="B48" s="657" t="str">
        <f>IFERROR(VLOOKUP($A48,'[1]Pricing Calculator'!$A$17:$G$187,2,FALSE),"")</f>
        <v/>
      </c>
      <c r="C48" s="652" t="s">
        <v>11</v>
      </c>
      <c r="D48" s="658" t="str">
        <f>IF(IFERROR(VLOOKUP($A48,'[1]Pricing Calculator'!$A$17:$G$187,5,FALSE),"")=TRUE,"P","")</f>
        <v/>
      </c>
      <c r="E48" s="654"/>
      <c r="F48" s="659" t="str">
        <f>IF(IFERROR(VLOOKUP($A48,'[1]Pricing Calculator'!$A$17:$G$187,6,FALSE),"")=TRUE,"P","")</f>
        <v/>
      </c>
      <c r="G48" s="654"/>
      <c r="H48" s="660" t="str">
        <f>IF(IFERROR(VLOOKUP($A48,'[1]Pricing Calculator'!$A$17:$G$187,7,FALSE),"")=TRUE,"P","")</f>
        <v/>
      </c>
    </row>
    <row r="49" spans="1:8" ht="18" hidden="1" outlineLevel="1" thickBot="1" x14ac:dyDescent="0.25">
      <c r="A49" s="650">
        <v>42</v>
      </c>
      <c r="B49" s="657" t="str">
        <f>IFERROR(VLOOKUP($A49,'[1]Pricing Calculator'!$A$17:$G$187,2,FALSE),"")</f>
        <v/>
      </c>
      <c r="C49" s="652" t="s">
        <v>11</v>
      </c>
      <c r="D49" s="658" t="str">
        <f>IF(IFERROR(VLOOKUP($A49,'[1]Pricing Calculator'!$A$17:$G$187,5,FALSE),"")=TRUE,"P","")</f>
        <v/>
      </c>
      <c r="E49" s="654"/>
      <c r="F49" s="659" t="str">
        <f>IF(IFERROR(VLOOKUP($A49,'[1]Pricing Calculator'!$A$17:$G$187,6,FALSE),"")=TRUE,"P","")</f>
        <v/>
      </c>
      <c r="G49" s="654"/>
      <c r="H49" s="660" t="str">
        <f>IF(IFERROR(VLOOKUP($A49,'[1]Pricing Calculator'!$A$17:$G$187,7,FALSE),"")=TRUE,"P","")</f>
        <v/>
      </c>
    </row>
    <row r="50" spans="1:8" ht="18" hidden="1" outlineLevel="1" thickBot="1" x14ac:dyDescent="0.25">
      <c r="A50" s="650">
        <v>43</v>
      </c>
      <c r="B50" s="657" t="str">
        <f>IFERROR(VLOOKUP($A50,'[1]Pricing Calculator'!$A$17:$G$187,2,FALSE),"")</f>
        <v/>
      </c>
      <c r="C50" s="652" t="s">
        <v>11</v>
      </c>
      <c r="D50" s="658" t="str">
        <f>IF(IFERROR(VLOOKUP($A50,'[1]Pricing Calculator'!$A$17:$G$187,5,FALSE),"")=TRUE,"P","")</f>
        <v/>
      </c>
      <c r="E50" s="654"/>
      <c r="F50" s="659" t="str">
        <f>IF(IFERROR(VLOOKUP($A50,'[1]Pricing Calculator'!$A$17:$G$187,6,FALSE),"")=TRUE,"P","")</f>
        <v/>
      </c>
      <c r="G50" s="654"/>
      <c r="H50" s="660" t="str">
        <f>IF(IFERROR(VLOOKUP($A50,'[1]Pricing Calculator'!$A$17:$G$187,7,FALSE),"")=TRUE,"P","")</f>
        <v/>
      </c>
    </row>
    <row r="51" spans="1:8" ht="18" hidden="1" outlineLevel="1" thickBot="1" x14ac:dyDescent="0.25">
      <c r="A51" s="650">
        <v>44</v>
      </c>
      <c r="B51" s="657" t="str">
        <f>IFERROR(VLOOKUP($A51,'[1]Pricing Calculator'!$A$17:$G$187,2,FALSE),"")</f>
        <v/>
      </c>
      <c r="C51" s="652" t="s">
        <v>11</v>
      </c>
      <c r="D51" s="658" t="str">
        <f>IF(IFERROR(VLOOKUP($A51,'[1]Pricing Calculator'!$A$17:$G$187,5,FALSE),"")=TRUE,"P","")</f>
        <v/>
      </c>
      <c r="E51" s="654"/>
      <c r="F51" s="659" t="str">
        <f>IF(IFERROR(VLOOKUP($A51,'[1]Pricing Calculator'!$A$17:$G$187,6,FALSE),"")=TRUE,"P","")</f>
        <v/>
      </c>
      <c r="G51" s="654"/>
      <c r="H51" s="660" t="str">
        <f>IF(IFERROR(VLOOKUP($A51,'[1]Pricing Calculator'!$A$17:$G$187,7,FALSE),"")=TRUE,"P","")</f>
        <v/>
      </c>
    </row>
    <row r="52" spans="1:8" ht="18" hidden="1" outlineLevel="1" thickBot="1" x14ac:dyDescent="0.25">
      <c r="A52" s="650">
        <v>45</v>
      </c>
      <c r="B52" s="657" t="str">
        <f>IFERROR(VLOOKUP($A52,'[1]Pricing Calculator'!$A$17:$G$187,2,FALSE),"")</f>
        <v/>
      </c>
      <c r="C52" s="652" t="s">
        <v>11</v>
      </c>
      <c r="D52" s="658" t="str">
        <f>IF(IFERROR(VLOOKUP($A52,'[1]Pricing Calculator'!$A$17:$G$187,5,FALSE),"")=TRUE,"P","")</f>
        <v/>
      </c>
      <c r="E52" s="654"/>
      <c r="F52" s="659" t="str">
        <f>IF(IFERROR(VLOOKUP($A52,'[1]Pricing Calculator'!$A$17:$G$187,6,FALSE),"")=TRUE,"P","")</f>
        <v/>
      </c>
      <c r="G52" s="654"/>
      <c r="H52" s="660" t="str">
        <f>IF(IFERROR(VLOOKUP($A52,'[1]Pricing Calculator'!$A$17:$G$187,7,FALSE),"")=TRUE,"P","")</f>
        <v/>
      </c>
    </row>
    <row r="53" spans="1:8" ht="18" hidden="1" outlineLevel="1" thickBot="1" x14ac:dyDescent="0.25">
      <c r="A53" s="650">
        <v>46</v>
      </c>
      <c r="B53" s="657" t="str">
        <f>IFERROR(VLOOKUP($A53,'[1]Pricing Calculator'!$A$17:$G$187,2,FALSE),"")</f>
        <v/>
      </c>
      <c r="C53" s="652" t="s">
        <v>11</v>
      </c>
      <c r="D53" s="658" t="str">
        <f>IF(IFERROR(VLOOKUP($A53,'[1]Pricing Calculator'!$A$17:$G$187,5,FALSE),"")=TRUE,"P","")</f>
        <v/>
      </c>
      <c r="E53" s="654"/>
      <c r="F53" s="659" t="str">
        <f>IF(IFERROR(VLOOKUP($A53,'[1]Pricing Calculator'!$A$17:$G$187,6,FALSE),"")=TRUE,"P","")</f>
        <v/>
      </c>
      <c r="G53" s="654"/>
      <c r="H53" s="660" t="str">
        <f>IF(IFERROR(VLOOKUP($A53,'[1]Pricing Calculator'!$A$17:$G$187,7,FALSE),"")=TRUE,"P","")</f>
        <v/>
      </c>
    </row>
    <row r="54" spans="1:8" ht="18" hidden="1" outlineLevel="1" thickBot="1" x14ac:dyDescent="0.25">
      <c r="A54" s="650">
        <v>47</v>
      </c>
      <c r="B54" s="657" t="str">
        <f>IFERROR(VLOOKUP($A54,'[1]Pricing Calculator'!$A$17:$G$187,2,FALSE),"")</f>
        <v/>
      </c>
      <c r="C54" s="652" t="s">
        <v>11</v>
      </c>
      <c r="D54" s="658" t="str">
        <f>IF(IFERROR(VLOOKUP($A54,'[1]Pricing Calculator'!$A$17:$G$187,5,FALSE),"")=TRUE,"P","")</f>
        <v/>
      </c>
      <c r="E54" s="654"/>
      <c r="F54" s="659" t="str">
        <f>IF(IFERROR(VLOOKUP($A54,'[1]Pricing Calculator'!$A$17:$G$187,6,FALSE),"")=TRUE,"P","")</f>
        <v/>
      </c>
      <c r="G54" s="654"/>
      <c r="H54" s="660" t="str">
        <f>IF(IFERROR(VLOOKUP($A54,'[1]Pricing Calculator'!$A$17:$G$187,7,FALSE),"")=TRUE,"P","")</f>
        <v/>
      </c>
    </row>
    <row r="55" spans="1:8" ht="18" hidden="1" outlineLevel="1" thickBot="1" x14ac:dyDescent="0.25">
      <c r="A55" s="650">
        <v>48</v>
      </c>
      <c r="B55" s="657" t="str">
        <f>IFERROR(VLOOKUP($A55,'[1]Pricing Calculator'!$A$17:$G$187,2,FALSE),"")</f>
        <v/>
      </c>
      <c r="C55" s="652" t="s">
        <v>11</v>
      </c>
      <c r="D55" s="658" t="str">
        <f>IF(IFERROR(VLOOKUP($A55,'[1]Pricing Calculator'!$A$17:$G$187,5,FALSE),"")=TRUE,"P","")</f>
        <v/>
      </c>
      <c r="E55" s="654"/>
      <c r="F55" s="659" t="str">
        <f>IF(IFERROR(VLOOKUP($A55,'[1]Pricing Calculator'!$A$17:$G$187,6,FALSE),"")=TRUE,"P","")</f>
        <v/>
      </c>
      <c r="G55" s="654"/>
      <c r="H55" s="660" t="str">
        <f>IF(IFERROR(VLOOKUP($A55,'[1]Pricing Calculator'!$A$17:$G$187,7,FALSE),"")=TRUE,"P","")</f>
        <v/>
      </c>
    </row>
    <row r="56" spans="1:8" ht="18" hidden="1" outlineLevel="1" thickBot="1" x14ac:dyDescent="0.25">
      <c r="A56" s="650">
        <v>49</v>
      </c>
      <c r="B56" s="657" t="str">
        <f>IFERROR(VLOOKUP($A56,'[1]Pricing Calculator'!$A$17:$G$187,2,FALSE),"")</f>
        <v/>
      </c>
      <c r="C56" s="652" t="s">
        <v>11</v>
      </c>
      <c r="D56" s="658" t="str">
        <f>IF(IFERROR(VLOOKUP($A56,'[1]Pricing Calculator'!$A$17:$G$187,5,FALSE),"")=TRUE,"P","")</f>
        <v/>
      </c>
      <c r="E56" s="654"/>
      <c r="F56" s="659" t="str">
        <f>IF(IFERROR(VLOOKUP($A56,'[1]Pricing Calculator'!$A$17:$G$187,6,FALSE),"")=TRUE,"P","")</f>
        <v/>
      </c>
      <c r="G56" s="654"/>
      <c r="H56" s="660" t="str">
        <f>IF(IFERROR(VLOOKUP($A56,'[1]Pricing Calculator'!$A$17:$G$187,7,FALSE),"")=TRUE,"P","")</f>
        <v/>
      </c>
    </row>
    <row r="57" spans="1:8" ht="18" hidden="1" outlineLevel="1" thickBot="1" x14ac:dyDescent="0.25">
      <c r="A57" s="650">
        <v>50</v>
      </c>
      <c r="B57" s="661" t="str">
        <f>IFERROR(VLOOKUP($A57,'[1]Pricing Calculator'!$A$17:$G$187,2,FALSE),"")</f>
        <v/>
      </c>
      <c r="C57" s="652" t="s">
        <v>11</v>
      </c>
      <c r="D57" s="662" t="str">
        <f>IF(IFERROR(VLOOKUP($A57,'[1]Pricing Calculator'!$A$17:$G$187,5,FALSE),"")=TRUE,"P","")</f>
        <v/>
      </c>
      <c r="E57" s="654"/>
      <c r="F57" s="663" t="str">
        <f>IF(IFERROR(VLOOKUP($A57,'[1]Pricing Calculator'!$A$17:$G$187,6,FALSE),"")=TRUE,"P","")</f>
        <v/>
      </c>
      <c r="G57" s="654"/>
      <c r="H57" s="664" t="str">
        <f>IF(IFERROR(VLOOKUP($A57,'[1]Pricing Calculator'!$A$17:$G$187,7,FALSE),"")=TRUE,"P","")</f>
        <v/>
      </c>
    </row>
    <row r="58" spans="1:8" ht="15" customHeight="1" collapsed="1" x14ac:dyDescent="0.2">
      <c r="A58" s="39" t="s">
        <v>241</v>
      </c>
      <c r="B58" s="665"/>
      <c r="C58" s="652" t="s">
        <v>11</v>
      </c>
      <c r="D58" s="666"/>
      <c r="E58" s="667"/>
      <c r="F58" s="666"/>
      <c r="G58" s="667"/>
      <c r="H58" s="666"/>
    </row>
    <row r="59" spans="1:8" ht="17" hidden="1" outlineLevel="1" x14ac:dyDescent="0.2">
      <c r="A59" s="650">
        <v>51</v>
      </c>
      <c r="B59" s="651" t="str">
        <f>IFERROR(VLOOKUP($A59,'[1]Pricing Calculator'!$A$17:$G$187,2,FALSE),"")</f>
        <v/>
      </c>
      <c r="C59" s="652" t="s">
        <v>11</v>
      </c>
      <c r="D59" s="668" t="str">
        <f>IF(IFERROR(VLOOKUP($A59,'[1]Pricing Calculator'!$A$17:$G$187,5,FALSE),"")=TRUE,"P","")</f>
        <v/>
      </c>
      <c r="E59" s="654"/>
      <c r="F59" s="655" t="str">
        <f>IF(IFERROR(VLOOKUP($A59,'[1]Pricing Calculator'!$A$17:$G$187,6,FALSE),"")=TRUE,"P","")</f>
        <v/>
      </c>
      <c r="G59" s="654"/>
      <c r="H59" s="656" t="str">
        <f>IF(IFERROR(VLOOKUP($A59,'[1]Pricing Calculator'!$A$17:$G$187,7,FALSE),"")=TRUE,"P","")</f>
        <v/>
      </c>
    </row>
    <row r="60" spans="1:8" ht="17" hidden="1" outlineLevel="1" x14ac:dyDescent="0.2">
      <c r="A60" s="650">
        <v>52</v>
      </c>
      <c r="B60" s="657" t="str">
        <f>IFERROR(VLOOKUP($A60,'[1]Pricing Calculator'!$A$17:$G$187,2,FALSE),"")</f>
        <v/>
      </c>
      <c r="C60" s="652" t="s">
        <v>11</v>
      </c>
      <c r="D60" s="658" t="str">
        <f>IF(IFERROR(VLOOKUP($A60,'[1]Pricing Calculator'!$A$17:$G$187,5,FALSE),"")=TRUE,"P","")</f>
        <v/>
      </c>
      <c r="E60" s="654"/>
      <c r="F60" s="659" t="str">
        <f>IF(IFERROR(VLOOKUP($A60,'[1]Pricing Calculator'!$A$17:$G$187,6,FALSE),"")=TRUE,"P","")</f>
        <v/>
      </c>
      <c r="G60" s="654"/>
      <c r="H60" s="660" t="str">
        <f>IF(IFERROR(VLOOKUP($A60,'[1]Pricing Calculator'!$A$17:$G$187,7,FALSE),"")=TRUE,"P","")</f>
        <v/>
      </c>
    </row>
    <row r="61" spans="1:8" ht="17" hidden="1" outlineLevel="1" x14ac:dyDescent="0.2">
      <c r="A61" s="650">
        <v>53</v>
      </c>
      <c r="B61" s="657" t="str">
        <f>IFERROR(VLOOKUP($A61,'[1]Pricing Calculator'!$A$17:$G$187,2,FALSE),"")</f>
        <v/>
      </c>
      <c r="C61" s="652" t="s">
        <v>11</v>
      </c>
      <c r="D61" s="658" t="str">
        <f>IF(IFERROR(VLOOKUP($A61,'[1]Pricing Calculator'!$A$17:$G$187,5,FALSE),"")=TRUE,"P","")</f>
        <v/>
      </c>
      <c r="E61" s="654"/>
      <c r="F61" s="659" t="str">
        <f>IF(IFERROR(VLOOKUP($A61,'[1]Pricing Calculator'!$A$17:$G$187,6,FALSE),"")=TRUE,"P","")</f>
        <v/>
      </c>
      <c r="G61" s="654"/>
      <c r="H61" s="660" t="str">
        <f>IF(IFERROR(VLOOKUP($A61,'[1]Pricing Calculator'!$A$17:$G$187,7,FALSE),"")=TRUE,"P","")</f>
        <v/>
      </c>
    </row>
    <row r="62" spans="1:8" ht="17" hidden="1" outlineLevel="1" x14ac:dyDescent="0.2">
      <c r="A62" s="650">
        <v>54</v>
      </c>
      <c r="B62" s="657" t="str">
        <f>IFERROR(VLOOKUP($A62,'[1]Pricing Calculator'!$A$17:$G$187,2,FALSE),"")</f>
        <v/>
      </c>
      <c r="C62" s="652" t="s">
        <v>11</v>
      </c>
      <c r="D62" s="658" t="str">
        <f>IF(IFERROR(VLOOKUP($A62,'[1]Pricing Calculator'!$A$17:$G$187,5,FALSE),"")=TRUE,"P","")</f>
        <v/>
      </c>
      <c r="E62" s="654"/>
      <c r="F62" s="659" t="str">
        <f>IF(IFERROR(VLOOKUP($A62,'[1]Pricing Calculator'!$A$17:$G$187,6,FALSE),"")=TRUE,"P","")</f>
        <v/>
      </c>
      <c r="G62" s="654"/>
      <c r="H62" s="660" t="str">
        <f>IF(IFERROR(VLOOKUP($A62,'[1]Pricing Calculator'!$A$17:$G$187,7,FALSE),"")=TRUE,"P","")</f>
        <v/>
      </c>
    </row>
    <row r="63" spans="1:8" ht="17" hidden="1" outlineLevel="1" x14ac:dyDescent="0.2">
      <c r="A63" s="650">
        <v>55</v>
      </c>
      <c r="B63" s="657" t="str">
        <f>IFERROR(VLOOKUP($A63,'[1]Pricing Calculator'!$A$17:$G$187,2,FALSE),"")</f>
        <v/>
      </c>
      <c r="C63" s="652" t="s">
        <v>11</v>
      </c>
      <c r="D63" s="658" t="str">
        <f>IF(IFERROR(VLOOKUP($A63,'[1]Pricing Calculator'!$A$17:$G$187,5,FALSE),"")=TRUE,"P","")</f>
        <v/>
      </c>
      <c r="E63" s="654"/>
      <c r="F63" s="659" t="str">
        <f>IF(IFERROR(VLOOKUP($A63,'[1]Pricing Calculator'!$A$17:$G$187,6,FALSE),"")=TRUE,"P","")</f>
        <v/>
      </c>
      <c r="G63" s="654"/>
      <c r="H63" s="660" t="str">
        <f>IF(IFERROR(VLOOKUP($A63,'[1]Pricing Calculator'!$A$17:$G$187,7,FALSE),"")=TRUE,"P","")</f>
        <v/>
      </c>
    </row>
    <row r="64" spans="1:8" ht="17" hidden="1" outlineLevel="1" x14ac:dyDescent="0.2">
      <c r="A64" s="650">
        <v>56</v>
      </c>
      <c r="B64" s="657" t="str">
        <f>IFERROR(VLOOKUP($A64,'[1]Pricing Calculator'!$A$17:$G$187,2,FALSE),"")</f>
        <v/>
      </c>
      <c r="C64" s="652" t="s">
        <v>11</v>
      </c>
      <c r="D64" s="658" t="str">
        <f>IF(IFERROR(VLOOKUP($A64,'[1]Pricing Calculator'!$A$17:$G$187,5,FALSE),"")=TRUE,"P","")</f>
        <v/>
      </c>
      <c r="E64" s="654"/>
      <c r="F64" s="659" t="str">
        <f>IF(IFERROR(VLOOKUP($A64,'[1]Pricing Calculator'!$A$17:$G$187,6,FALSE),"")=TRUE,"P","")</f>
        <v/>
      </c>
      <c r="G64" s="654"/>
      <c r="H64" s="660" t="str">
        <f>IF(IFERROR(VLOOKUP($A64,'[1]Pricing Calculator'!$A$17:$G$187,7,FALSE),"")=TRUE,"P","")</f>
        <v/>
      </c>
    </row>
    <row r="65" spans="1:8" ht="17" hidden="1" outlineLevel="1" x14ac:dyDescent="0.2">
      <c r="A65" s="650">
        <v>57</v>
      </c>
      <c r="B65" s="657" t="str">
        <f>IFERROR(VLOOKUP($A65,'[1]Pricing Calculator'!$A$17:$G$187,2,FALSE),"")</f>
        <v/>
      </c>
      <c r="C65" s="652" t="s">
        <v>11</v>
      </c>
      <c r="D65" s="658" t="str">
        <f>IF(IFERROR(VLOOKUP($A65,'[1]Pricing Calculator'!$A$17:$G$187,5,FALSE),"")=TRUE,"P","")</f>
        <v/>
      </c>
      <c r="E65" s="654"/>
      <c r="F65" s="659" t="str">
        <f>IF(IFERROR(VLOOKUP($A65,'[1]Pricing Calculator'!$A$17:$G$187,6,FALSE),"")=TRUE,"P","")</f>
        <v/>
      </c>
      <c r="G65" s="654"/>
      <c r="H65" s="660" t="str">
        <f>IF(IFERROR(VLOOKUP($A65,'[1]Pricing Calculator'!$A$17:$G$187,7,FALSE),"")=TRUE,"P","")</f>
        <v/>
      </c>
    </row>
    <row r="66" spans="1:8" ht="17" hidden="1" outlineLevel="1" x14ac:dyDescent="0.2">
      <c r="A66" s="650">
        <v>58</v>
      </c>
      <c r="B66" s="657" t="str">
        <f>IFERROR(VLOOKUP($A66,'[1]Pricing Calculator'!$A$17:$G$187,2,FALSE),"")</f>
        <v/>
      </c>
      <c r="C66" s="652" t="s">
        <v>11</v>
      </c>
      <c r="D66" s="658" t="str">
        <f>IF(IFERROR(VLOOKUP($A66,'[1]Pricing Calculator'!$A$17:$G$187,5,FALSE),"")=TRUE,"P","")</f>
        <v/>
      </c>
      <c r="E66" s="654"/>
      <c r="F66" s="659" t="str">
        <f>IF(IFERROR(VLOOKUP($A66,'[1]Pricing Calculator'!$A$17:$G$187,6,FALSE),"")=TRUE,"P","")</f>
        <v/>
      </c>
      <c r="G66" s="654"/>
      <c r="H66" s="660" t="str">
        <f>IF(IFERROR(VLOOKUP($A66,'[1]Pricing Calculator'!$A$17:$G$187,7,FALSE),"")=TRUE,"P","")</f>
        <v/>
      </c>
    </row>
    <row r="67" spans="1:8" ht="17" hidden="1" outlineLevel="1" x14ac:dyDescent="0.2">
      <c r="A67" s="650">
        <v>59</v>
      </c>
      <c r="B67" s="657" t="str">
        <f>IFERROR(VLOOKUP($A67,'[1]Pricing Calculator'!$A$17:$G$187,2,FALSE),"")</f>
        <v/>
      </c>
      <c r="C67" s="652" t="s">
        <v>11</v>
      </c>
      <c r="D67" s="658" t="str">
        <f>IF(IFERROR(VLOOKUP($A67,'[1]Pricing Calculator'!$A$17:$G$187,5,FALSE),"")=TRUE,"P","")</f>
        <v/>
      </c>
      <c r="E67" s="654"/>
      <c r="F67" s="659" t="str">
        <f>IF(IFERROR(VLOOKUP($A67,'[1]Pricing Calculator'!$A$17:$G$187,6,FALSE),"")=TRUE,"P","")</f>
        <v/>
      </c>
      <c r="G67" s="654"/>
      <c r="H67" s="660" t="str">
        <f>IF(IFERROR(VLOOKUP($A67,'[1]Pricing Calculator'!$A$17:$G$187,7,FALSE),"")=TRUE,"P","")</f>
        <v/>
      </c>
    </row>
    <row r="68" spans="1:8" ht="17" hidden="1" outlineLevel="1" x14ac:dyDescent="0.2">
      <c r="A68" s="650">
        <v>60</v>
      </c>
      <c r="B68" s="657" t="str">
        <f>IFERROR(VLOOKUP($A68,'[1]Pricing Calculator'!$A$17:$G$187,2,FALSE),"")</f>
        <v/>
      </c>
      <c r="C68" s="652" t="s">
        <v>11</v>
      </c>
      <c r="D68" s="658" t="str">
        <f>IF(IFERROR(VLOOKUP($A68,'[1]Pricing Calculator'!$A$17:$G$187,5,FALSE),"")=TRUE,"P","")</f>
        <v/>
      </c>
      <c r="E68" s="654"/>
      <c r="F68" s="659" t="str">
        <f>IF(IFERROR(VLOOKUP($A68,'[1]Pricing Calculator'!$A$17:$G$187,6,FALSE),"")=TRUE,"P","")</f>
        <v/>
      </c>
      <c r="G68" s="654"/>
      <c r="H68" s="660" t="str">
        <f>IF(IFERROR(VLOOKUP($A68,'[1]Pricing Calculator'!$A$17:$G$187,7,FALSE),"")=TRUE,"P","")</f>
        <v/>
      </c>
    </row>
    <row r="69" spans="1:8" ht="17" hidden="1" outlineLevel="1" x14ac:dyDescent="0.2">
      <c r="A69" s="650">
        <v>61</v>
      </c>
      <c r="B69" s="657" t="str">
        <f>IFERROR(VLOOKUP($A69,'[1]Pricing Calculator'!$A$17:$G$187,2,FALSE),"")</f>
        <v/>
      </c>
      <c r="C69" s="652" t="s">
        <v>11</v>
      </c>
      <c r="D69" s="658" t="str">
        <f>IF(IFERROR(VLOOKUP($A69,'[1]Pricing Calculator'!$A$17:$G$187,5,FALSE),"")=TRUE,"P","")</f>
        <v/>
      </c>
      <c r="E69" s="654"/>
      <c r="F69" s="659" t="str">
        <f>IF(IFERROR(VLOOKUP($A69,'[1]Pricing Calculator'!$A$17:$G$187,6,FALSE),"")=TRUE,"P","")</f>
        <v/>
      </c>
      <c r="G69" s="654"/>
      <c r="H69" s="660" t="str">
        <f>IF(IFERROR(VLOOKUP($A69,'[1]Pricing Calculator'!$A$17:$G$187,7,FALSE),"")=TRUE,"P","")</f>
        <v/>
      </c>
    </row>
    <row r="70" spans="1:8" ht="17" hidden="1" outlineLevel="1" x14ac:dyDescent="0.2">
      <c r="A70" s="650">
        <v>62</v>
      </c>
      <c r="B70" s="657" t="str">
        <f>IFERROR(VLOOKUP($A70,'[1]Pricing Calculator'!$A$17:$G$187,2,FALSE),"")</f>
        <v/>
      </c>
      <c r="C70" s="652" t="s">
        <v>11</v>
      </c>
      <c r="D70" s="658" t="str">
        <f>IF(IFERROR(VLOOKUP($A70,'[1]Pricing Calculator'!$A$17:$G$187,5,FALSE),"")=TRUE,"P","")</f>
        <v/>
      </c>
      <c r="E70" s="654"/>
      <c r="F70" s="659" t="str">
        <f>IF(IFERROR(VLOOKUP($A70,'[1]Pricing Calculator'!$A$17:$G$187,6,FALSE),"")=TRUE,"P","")</f>
        <v/>
      </c>
      <c r="G70" s="654"/>
      <c r="H70" s="660" t="str">
        <f>IF(IFERROR(VLOOKUP($A70,'[1]Pricing Calculator'!$A$17:$G$187,7,FALSE),"")=TRUE,"P","")</f>
        <v/>
      </c>
    </row>
    <row r="71" spans="1:8" ht="17" hidden="1" outlineLevel="1" x14ac:dyDescent="0.2">
      <c r="A71" s="650">
        <v>63</v>
      </c>
      <c r="B71" s="657" t="str">
        <f>IFERROR(VLOOKUP($A71,'[1]Pricing Calculator'!$A$17:$G$187,2,FALSE),"")</f>
        <v/>
      </c>
      <c r="C71" s="652" t="s">
        <v>11</v>
      </c>
      <c r="D71" s="658" t="str">
        <f>IF(IFERROR(VLOOKUP($A71,'[1]Pricing Calculator'!$A$17:$G$187,5,FALSE),"")=TRUE,"P","")</f>
        <v/>
      </c>
      <c r="E71" s="654"/>
      <c r="F71" s="659" t="str">
        <f>IF(IFERROR(VLOOKUP($A71,'[1]Pricing Calculator'!$A$17:$G$187,6,FALSE),"")=TRUE,"P","")</f>
        <v/>
      </c>
      <c r="G71" s="654"/>
      <c r="H71" s="660" t="str">
        <f>IF(IFERROR(VLOOKUP($A71,'[1]Pricing Calculator'!$A$17:$G$187,7,FALSE),"")=TRUE,"P","")</f>
        <v/>
      </c>
    </row>
    <row r="72" spans="1:8" ht="17" hidden="1" outlineLevel="1" x14ac:dyDescent="0.2">
      <c r="A72" s="650">
        <v>64</v>
      </c>
      <c r="B72" s="657" t="str">
        <f>IFERROR(VLOOKUP($A72,'[1]Pricing Calculator'!$A$17:$G$187,2,FALSE),"")</f>
        <v/>
      </c>
      <c r="C72" s="652" t="s">
        <v>11</v>
      </c>
      <c r="D72" s="658" t="str">
        <f>IF(IFERROR(VLOOKUP($A72,'[1]Pricing Calculator'!$A$17:$G$187,5,FALSE),"")=TRUE,"P","")</f>
        <v/>
      </c>
      <c r="E72" s="654"/>
      <c r="F72" s="659" t="str">
        <f>IF(IFERROR(VLOOKUP($A72,'[1]Pricing Calculator'!$A$17:$G$187,6,FALSE),"")=TRUE,"P","")</f>
        <v/>
      </c>
      <c r="G72" s="654"/>
      <c r="H72" s="660" t="str">
        <f>IF(IFERROR(VLOOKUP($A72,'[1]Pricing Calculator'!$A$17:$G$187,7,FALSE),"")=TRUE,"P","")</f>
        <v/>
      </c>
    </row>
    <row r="73" spans="1:8" ht="17" hidden="1" outlineLevel="1" x14ac:dyDescent="0.2">
      <c r="A73" s="650">
        <v>65</v>
      </c>
      <c r="B73" s="657" t="str">
        <f>IFERROR(VLOOKUP($A73,'[1]Pricing Calculator'!$A$17:$G$187,2,FALSE),"")</f>
        <v/>
      </c>
      <c r="C73" s="652" t="s">
        <v>11</v>
      </c>
      <c r="D73" s="658" t="str">
        <f>IF(IFERROR(VLOOKUP($A73,'[1]Pricing Calculator'!$A$17:$G$187,5,FALSE),"")=TRUE,"P","")</f>
        <v/>
      </c>
      <c r="E73" s="654"/>
      <c r="F73" s="659" t="str">
        <f>IF(IFERROR(VLOOKUP($A73,'[1]Pricing Calculator'!$A$17:$G$187,6,FALSE),"")=TRUE,"P","")</f>
        <v/>
      </c>
      <c r="G73" s="654"/>
      <c r="H73" s="660" t="str">
        <f>IF(IFERROR(VLOOKUP($A73,'[1]Pricing Calculator'!$A$17:$G$187,7,FALSE),"")=TRUE,"P","")</f>
        <v/>
      </c>
    </row>
    <row r="74" spans="1:8" ht="17" hidden="1" outlineLevel="1" x14ac:dyDescent="0.2">
      <c r="A74" s="650">
        <v>66</v>
      </c>
      <c r="B74" s="657" t="str">
        <f>IFERROR(VLOOKUP($A74,'[1]Pricing Calculator'!$A$17:$G$187,2,FALSE),"")</f>
        <v/>
      </c>
      <c r="C74" s="652" t="s">
        <v>11</v>
      </c>
      <c r="D74" s="658" t="str">
        <f>IF(IFERROR(VLOOKUP($A74,'[1]Pricing Calculator'!$A$17:$G$187,5,FALSE),"")=TRUE,"P","")</f>
        <v/>
      </c>
      <c r="E74" s="654"/>
      <c r="F74" s="659" t="str">
        <f>IF(IFERROR(VLOOKUP($A74,'[1]Pricing Calculator'!$A$17:$G$187,6,FALSE),"")=TRUE,"P","")</f>
        <v/>
      </c>
      <c r="G74" s="654"/>
      <c r="H74" s="660" t="str">
        <f>IF(IFERROR(VLOOKUP($A74,'[1]Pricing Calculator'!$A$17:$G$187,7,FALSE),"")=TRUE,"P","")</f>
        <v/>
      </c>
    </row>
    <row r="75" spans="1:8" ht="17" hidden="1" outlineLevel="1" x14ac:dyDescent="0.2">
      <c r="A75" s="650">
        <v>67</v>
      </c>
      <c r="B75" s="657" t="str">
        <f>IFERROR(VLOOKUP($A75,'[1]Pricing Calculator'!$A$17:$G$187,2,FALSE),"")</f>
        <v/>
      </c>
      <c r="C75" s="652" t="s">
        <v>11</v>
      </c>
      <c r="D75" s="658" t="str">
        <f>IF(IFERROR(VLOOKUP($A75,'[1]Pricing Calculator'!$A$17:$G$187,5,FALSE),"")=TRUE,"P","")</f>
        <v/>
      </c>
      <c r="E75" s="654"/>
      <c r="F75" s="659" t="str">
        <f>IF(IFERROR(VLOOKUP($A75,'[1]Pricing Calculator'!$A$17:$G$187,6,FALSE),"")=TRUE,"P","")</f>
        <v/>
      </c>
      <c r="G75" s="654"/>
      <c r="H75" s="660" t="str">
        <f>IF(IFERROR(VLOOKUP($A75,'[1]Pricing Calculator'!$A$17:$G$187,7,FALSE),"")=TRUE,"P","")</f>
        <v/>
      </c>
    </row>
    <row r="76" spans="1:8" ht="17" hidden="1" outlineLevel="1" x14ac:dyDescent="0.2">
      <c r="A76" s="650">
        <v>68</v>
      </c>
      <c r="B76" s="657" t="str">
        <f>IFERROR(VLOOKUP($A76,'[1]Pricing Calculator'!$A$17:$G$187,2,FALSE),"")</f>
        <v/>
      </c>
      <c r="C76" s="652" t="s">
        <v>11</v>
      </c>
      <c r="D76" s="658" t="str">
        <f>IF(IFERROR(VLOOKUP($A76,'[1]Pricing Calculator'!$A$17:$G$187,5,FALSE),"")=TRUE,"P","")</f>
        <v/>
      </c>
      <c r="E76" s="654"/>
      <c r="F76" s="659" t="str">
        <f>IF(IFERROR(VLOOKUP($A76,'[1]Pricing Calculator'!$A$17:$G$187,6,FALSE),"")=TRUE,"P","")</f>
        <v/>
      </c>
      <c r="G76" s="654"/>
      <c r="H76" s="660" t="str">
        <f>IF(IFERROR(VLOOKUP($A76,'[1]Pricing Calculator'!$A$17:$G$187,7,FALSE),"")=TRUE,"P","")</f>
        <v/>
      </c>
    </row>
    <row r="77" spans="1:8" ht="17" hidden="1" outlineLevel="1" x14ac:dyDescent="0.2">
      <c r="A77" s="650">
        <v>69</v>
      </c>
      <c r="B77" s="657" t="str">
        <f>IFERROR(VLOOKUP($A77,'[1]Pricing Calculator'!$A$17:$G$187,2,FALSE),"")</f>
        <v/>
      </c>
      <c r="C77" s="652" t="s">
        <v>11</v>
      </c>
      <c r="D77" s="658" t="str">
        <f>IF(IFERROR(VLOOKUP($A77,'[1]Pricing Calculator'!$A$17:$G$187,5,FALSE),"")=TRUE,"P","")</f>
        <v/>
      </c>
      <c r="E77" s="654"/>
      <c r="F77" s="659" t="str">
        <f>IF(IFERROR(VLOOKUP($A77,'[1]Pricing Calculator'!$A$17:$G$187,6,FALSE),"")=TRUE,"P","")</f>
        <v/>
      </c>
      <c r="G77" s="654"/>
      <c r="H77" s="660" t="str">
        <f>IF(IFERROR(VLOOKUP($A77,'[1]Pricing Calculator'!$A$17:$G$187,7,FALSE),"")=TRUE,"P","")</f>
        <v/>
      </c>
    </row>
    <row r="78" spans="1:8" ht="17" hidden="1" outlineLevel="1" x14ac:dyDescent="0.2">
      <c r="A78" s="650">
        <v>70</v>
      </c>
      <c r="B78" s="657" t="str">
        <f>IFERROR(VLOOKUP($A78,'[1]Pricing Calculator'!$A$17:$G$187,2,FALSE),"")</f>
        <v/>
      </c>
      <c r="C78" s="652" t="s">
        <v>11</v>
      </c>
      <c r="D78" s="658" t="str">
        <f>IF(IFERROR(VLOOKUP($A78,'[1]Pricing Calculator'!$A$17:$G$187,5,FALSE),"")=TRUE,"P","")</f>
        <v/>
      </c>
      <c r="E78" s="654"/>
      <c r="F78" s="659" t="str">
        <f>IF(IFERROR(VLOOKUP($A78,'[1]Pricing Calculator'!$A$17:$G$187,6,FALSE),"")=TRUE,"P","")</f>
        <v/>
      </c>
      <c r="G78" s="654"/>
      <c r="H78" s="660" t="str">
        <f>IF(IFERROR(VLOOKUP($A78,'[1]Pricing Calculator'!$A$17:$G$187,7,FALSE),"")=TRUE,"P","")</f>
        <v/>
      </c>
    </row>
    <row r="79" spans="1:8" ht="17" hidden="1" outlineLevel="1" x14ac:dyDescent="0.2">
      <c r="A79" s="650">
        <v>71</v>
      </c>
      <c r="B79" s="657" t="str">
        <f>IFERROR(VLOOKUP($A79,'[1]Pricing Calculator'!$A$17:$G$187,2,FALSE),"")</f>
        <v/>
      </c>
      <c r="C79" s="652" t="s">
        <v>11</v>
      </c>
      <c r="D79" s="658" t="str">
        <f>IF(IFERROR(VLOOKUP($A79,'[1]Pricing Calculator'!$A$17:$G$187,5,FALSE),"")=TRUE,"P","")</f>
        <v/>
      </c>
      <c r="E79" s="654"/>
      <c r="F79" s="659" t="str">
        <f>IF(IFERROR(VLOOKUP($A79,'[1]Pricing Calculator'!$A$17:$G$187,6,FALSE),"")=TRUE,"P","")</f>
        <v/>
      </c>
      <c r="G79" s="654"/>
      <c r="H79" s="660" t="str">
        <f>IF(IFERROR(VLOOKUP($A79,'[1]Pricing Calculator'!$A$17:$G$187,7,FALSE),"")=TRUE,"P","")</f>
        <v/>
      </c>
    </row>
    <row r="80" spans="1:8" ht="17" hidden="1" outlineLevel="1" x14ac:dyDescent="0.2">
      <c r="A80" s="650">
        <v>72</v>
      </c>
      <c r="B80" s="657" t="str">
        <f>IFERROR(VLOOKUP($A80,'[1]Pricing Calculator'!$A$17:$G$187,2,FALSE),"")</f>
        <v/>
      </c>
      <c r="C80" s="652" t="s">
        <v>11</v>
      </c>
      <c r="D80" s="658" t="str">
        <f>IF(IFERROR(VLOOKUP($A80,'[1]Pricing Calculator'!$A$17:$G$187,5,FALSE),"")=TRUE,"P","")</f>
        <v/>
      </c>
      <c r="E80" s="654"/>
      <c r="F80" s="659" t="str">
        <f>IF(IFERROR(VLOOKUP($A80,'[1]Pricing Calculator'!$A$17:$G$187,6,FALSE),"")=TRUE,"P","")</f>
        <v/>
      </c>
      <c r="G80" s="654"/>
      <c r="H80" s="660" t="str">
        <f>IF(IFERROR(VLOOKUP($A80,'[1]Pricing Calculator'!$A$17:$G$187,7,FALSE),"")=TRUE,"P","")</f>
        <v/>
      </c>
    </row>
    <row r="81" spans="1:8" ht="17" hidden="1" outlineLevel="1" x14ac:dyDescent="0.2">
      <c r="A81" s="650">
        <v>73</v>
      </c>
      <c r="B81" s="657" t="str">
        <f>IFERROR(VLOOKUP($A81,'[1]Pricing Calculator'!$A$17:$G$187,2,FALSE),"")</f>
        <v/>
      </c>
      <c r="C81" s="652" t="s">
        <v>11</v>
      </c>
      <c r="D81" s="658" t="str">
        <f>IF(IFERROR(VLOOKUP($A81,'[1]Pricing Calculator'!$A$17:$G$187,5,FALSE),"")=TRUE,"P","")</f>
        <v/>
      </c>
      <c r="E81" s="654"/>
      <c r="F81" s="659" t="str">
        <f>IF(IFERROR(VLOOKUP($A81,'[1]Pricing Calculator'!$A$17:$G$187,6,FALSE),"")=TRUE,"P","")</f>
        <v/>
      </c>
      <c r="G81" s="654"/>
      <c r="H81" s="660" t="str">
        <f>IF(IFERROR(VLOOKUP($A81,'[1]Pricing Calculator'!$A$17:$G$187,7,FALSE),"")=TRUE,"P","")</f>
        <v/>
      </c>
    </row>
    <row r="82" spans="1:8" ht="17" hidden="1" outlineLevel="1" x14ac:dyDescent="0.2">
      <c r="A82" s="650">
        <v>74</v>
      </c>
      <c r="B82" s="657" t="str">
        <f>IFERROR(VLOOKUP($A82,'[1]Pricing Calculator'!$A$17:$G$187,2,FALSE),"")</f>
        <v/>
      </c>
      <c r="C82" s="652" t="s">
        <v>11</v>
      </c>
      <c r="D82" s="658" t="str">
        <f>IF(IFERROR(VLOOKUP($A82,'[1]Pricing Calculator'!$A$17:$G$187,5,FALSE),"")=TRUE,"P","")</f>
        <v/>
      </c>
      <c r="E82" s="654"/>
      <c r="F82" s="659" t="str">
        <f>IF(IFERROR(VLOOKUP($A82,'[1]Pricing Calculator'!$A$17:$G$187,6,FALSE),"")=TRUE,"P","")</f>
        <v/>
      </c>
      <c r="G82" s="654"/>
      <c r="H82" s="660" t="str">
        <f>IF(IFERROR(VLOOKUP($A82,'[1]Pricing Calculator'!$A$17:$G$187,7,FALSE),"")=TRUE,"P","")</f>
        <v/>
      </c>
    </row>
    <row r="83" spans="1:8" ht="18" hidden="1" outlineLevel="1" thickBot="1" x14ac:dyDescent="0.25">
      <c r="A83" s="650">
        <v>75</v>
      </c>
      <c r="B83" s="661" t="str">
        <f>IFERROR(VLOOKUP($A83,'[1]Pricing Calculator'!$A$17:$G$187,2,FALSE),"")</f>
        <v/>
      </c>
      <c r="C83" s="652" t="s">
        <v>11</v>
      </c>
      <c r="D83" s="662" t="str">
        <f>IF(IFERROR(VLOOKUP($A83,'[1]Pricing Calculator'!$A$17:$G$187,5,FALSE),"")=TRUE,"P","")</f>
        <v/>
      </c>
      <c r="E83" s="654"/>
      <c r="F83" s="663" t="str">
        <f>IF(IFERROR(VLOOKUP($A83,'[1]Pricing Calculator'!$A$17:$G$187,6,FALSE),"")=TRUE,"P","")</f>
        <v/>
      </c>
      <c r="G83" s="654"/>
      <c r="H83" s="664" t="str">
        <f>IF(IFERROR(VLOOKUP($A83,'[1]Pricing Calculator'!$A$17:$G$187,7,FALSE),"")=TRUE,"P","")</f>
        <v/>
      </c>
    </row>
    <row r="84" spans="1:8" ht="15" customHeight="1" collapsed="1" x14ac:dyDescent="0.2">
      <c r="A84" s="39" t="s">
        <v>242</v>
      </c>
      <c r="B84" s="161"/>
      <c r="C84" s="652" t="s">
        <v>11</v>
      </c>
      <c r="D84" s="667"/>
      <c r="E84" s="667"/>
      <c r="F84" s="667"/>
      <c r="G84" s="667"/>
      <c r="H84" s="667"/>
    </row>
    <row r="85" spans="1:8" ht="17" hidden="1" outlineLevel="1" x14ac:dyDescent="0.2">
      <c r="A85" s="650">
        <v>76</v>
      </c>
      <c r="B85" s="651" t="str">
        <f>IFERROR(VLOOKUP($A85,'[1]Pricing Calculator'!$A$17:$G$187,2,FALSE),"")</f>
        <v/>
      </c>
      <c r="C85" s="652" t="s">
        <v>11</v>
      </c>
      <c r="D85" s="668" t="str">
        <f>IF(IFERROR(VLOOKUP($A85,'[1]Pricing Calculator'!$A$17:$G$187,5,FALSE),"")=TRUE,"P","")</f>
        <v/>
      </c>
      <c r="E85" s="654"/>
      <c r="F85" s="655" t="str">
        <f>IF(IFERROR(VLOOKUP($A85,'[1]Pricing Calculator'!$A$17:$G$187,6,FALSE),"")=TRUE,"P","")</f>
        <v/>
      </c>
      <c r="G85" s="654"/>
      <c r="H85" s="656" t="str">
        <f>IF(IFERROR(VLOOKUP($A85,'[1]Pricing Calculator'!$A$17:$G$187,7,FALSE),"")=TRUE,"P","")</f>
        <v/>
      </c>
    </row>
    <row r="86" spans="1:8" ht="17" hidden="1" outlineLevel="1" x14ac:dyDescent="0.2">
      <c r="A86" s="650">
        <v>77</v>
      </c>
      <c r="B86" s="657" t="str">
        <f>IFERROR(VLOOKUP($A86,'[1]Pricing Calculator'!$A$17:$G$187,2,FALSE),"")</f>
        <v/>
      </c>
      <c r="C86" s="652" t="s">
        <v>11</v>
      </c>
      <c r="D86" s="658" t="str">
        <f>IF(IFERROR(VLOOKUP($A86,'[1]Pricing Calculator'!$A$17:$G$187,5,FALSE),"")=TRUE,"P","")</f>
        <v/>
      </c>
      <c r="E86" s="654"/>
      <c r="F86" s="659" t="str">
        <f>IF(IFERROR(VLOOKUP($A86,'[1]Pricing Calculator'!$A$17:$G$187,6,FALSE),"")=TRUE,"P","")</f>
        <v/>
      </c>
      <c r="G86" s="654"/>
      <c r="H86" s="660" t="str">
        <f>IF(IFERROR(VLOOKUP($A86,'[1]Pricing Calculator'!$A$17:$G$187,7,FALSE),"")=TRUE,"P","")</f>
        <v/>
      </c>
    </row>
    <row r="87" spans="1:8" ht="17" hidden="1" outlineLevel="1" x14ac:dyDescent="0.2">
      <c r="A87" s="650">
        <v>78</v>
      </c>
      <c r="B87" s="657" t="str">
        <f>IFERROR(VLOOKUP($A87,'[1]Pricing Calculator'!$A$17:$G$187,2,FALSE),"")</f>
        <v/>
      </c>
      <c r="C87" s="652" t="s">
        <v>11</v>
      </c>
      <c r="D87" s="658" t="str">
        <f>IF(IFERROR(VLOOKUP($A87,'[1]Pricing Calculator'!$A$17:$G$187,5,FALSE),"")=TRUE,"P","")</f>
        <v/>
      </c>
      <c r="E87" s="654"/>
      <c r="F87" s="659" t="str">
        <f>IF(IFERROR(VLOOKUP($A87,'[1]Pricing Calculator'!$A$17:$G$187,6,FALSE),"")=TRUE,"P","")</f>
        <v/>
      </c>
      <c r="G87" s="654"/>
      <c r="H87" s="660" t="str">
        <f>IF(IFERROR(VLOOKUP($A87,'[1]Pricing Calculator'!$A$17:$G$187,7,FALSE),"")=TRUE,"P","")</f>
        <v/>
      </c>
    </row>
    <row r="88" spans="1:8" ht="17" hidden="1" outlineLevel="1" x14ac:dyDescent="0.2">
      <c r="A88" s="650">
        <v>79</v>
      </c>
      <c r="B88" s="657" t="str">
        <f>IFERROR(VLOOKUP($A88,'[1]Pricing Calculator'!$A$17:$G$187,2,FALSE),"")</f>
        <v/>
      </c>
      <c r="C88" s="652" t="s">
        <v>11</v>
      </c>
      <c r="D88" s="658" t="str">
        <f>IF(IFERROR(VLOOKUP($A88,'[1]Pricing Calculator'!$A$17:$G$187,5,FALSE),"")=TRUE,"P","")</f>
        <v/>
      </c>
      <c r="E88" s="654"/>
      <c r="F88" s="659" t="str">
        <f>IF(IFERROR(VLOOKUP($A88,'[1]Pricing Calculator'!$A$17:$G$187,6,FALSE),"")=TRUE,"P","")</f>
        <v/>
      </c>
      <c r="G88" s="654"/>
      <c r="H88" s="660" t="str">
        <f>IF(IFERROR(VLOOKUP($A88,'[1]Pricing Calculator'!$A$17:$G$187,7,FALSE),"")=TRUE,"P","")</f>
        <v/>
      </c>
    </row>
    <row r="89" spans="1:8" ht="17" hidden="1" outlineLevel="1" x14ac:dyDescent="0.2">
      <c r="A89" s="650">
        <v>80</v>
      </c>
      <c r="B89" s="657" t="str">
        <f>IFERROR(VLOOKUP($A89,'[1]Pricing Calculator'!$A$17:$G$187,2,FALSE),"")</f>
        <v/>
      </c>
      <c r="C89" s="652" t="s">
        <v>11</v>
      </c>
      <c r="D89" s="658" t="str">
        <f>IF(IFERROR(VLOOKUP($A89,'[1]Pricing Calculator'!$A$17:$G$187,5,FALSE),"")=TRUE,"P","")</f>
        <v/>
      </c>
      <c r="E89" s="654"/>
      <c r="F89" s="659" t="str">
        <f>IF(IFERROR(VLOOKUP($A89,'[1]Pricing Calculator'!$A$17:$G$187,6,FALSE),"")=TRUE,"P","")</f>
        <v/>
      </c>
      <c r="G89" s="654"/>
      <c r="H89" s="660" t="str">
        <f>IF(IFERROR(VLOOKUP($A89,'[1]Pricing Calculator'!$A$17:$G$187,7,FALSE),"")=TRUE,"P","")</f>
        <v/>
      </c>
    </row>
    <row r="90" spans="1:8" ht="17" hidden="1" outlineLevel="1" x14ac:dyDescent="0.2">
      <c r="A90" s="650">
        <v>81</v>
      </c>
      <c r="B90" s="657" t="str">
        <f>IFERROR(VLOOKUP($A90,'[1]Pricing Calculator'!$A$17:$G$187,2,FALSE),"")</f>
        <v/>
      </c>
      <c r="C90" s="652" t="s">
        <v>11</v>
      </c>
      <c r="D90" s="658" t="str">
        <f>IF(IFERROR(VLOOKUP($A90,'[1]Pricing Calculator'!$A$17:$G$187,5,FALSE),"")=TRUE,"P","")</f>
        <v/>
      </c>
      <c r="E90" s="654"/>
      <c r="F90" s="659" t="str">
        <f>IF(IFERROR(VLOOKUP($A90,'[1]Pricing Calculator'!$A$17:$G$187,6,FALSE),"")=TRUE,"P","")</f>
        <v/>
      </c>
      <c r="G90" s="654"/>
      <c r="H90" s="660" t="str">
        <f>IF(IFERROR(VLOOKUP($A90,'[1]Pricing Calculator'!$A$17:$G$187,7,FALSE),"")=TRUE,"P","")</f>
        <v/>
      </c>
    </row>
    <row r="91" spans="1:8" ht="17" hidden="1" outlineLevel="1" x14ac:dyDescent="0.2">
      <c r="A91" s="650">
        <v>82</v>
      </c>
      <c r="B91" s="657" t="str">
        <f>IFERROR(VLOOKUP($A91,'[1]Pricing Calculator'!$A$17:$G$187,2,FALSE),"")</f>
        <v/>
      </c>
      <c r="C91" s="652" t="s">
        <v>11</v>
      </c>
      <c r="D91" s="658" t="str">
        <f>IF(IFERROR(VLOOKUP($A91,'[1]Pricing Calculator'!$A$17:$G$187,5,FALSE),"")=TRUE,"P","")</f>
        <v/>
      </c>
      <c r="E91" s="654"/>
      <c r="F91" s="659" t="str">
        <f>IF(IFERROR(VLOOKUP($A91,'[1]Pricing Calculator'!$A$17:$G$187,6,FALSE),"")=TRUE,"P","")</f>
        <v/>
      </c>
      <c r="G91" s="654"/>
      <c r="H91" s="660" t="str">
        <f>IF(IFERROR(VLOOKUP($A91,'[1]Pricing Calculator'!$A$17:$G$187,7,FALSE),"")=TRUE,"P","")</f>
        <v/>
      </c>
    </row>
    <row r="92" spans="1:8" ht="17" hidden="1" outlineLevel="1" x14ac:dyDescent="0.2">
      <c r="A92" s="650">
        <v>83</v>
      </c>
      <c r="B92" s="657" t="str">
        <f>IFERROR(VLOOKUP($A92,'[1]Pricing Calculator'!$A$17:$G$187,2,FALSE),"")</f>
        <v/>
      </c>
      <c r="C92" s="652" t="s">
        <v>11</v>
      </c>
      <c r="D92" s="658" t="str">
        <f>IF(IFERROR(VLOOKUP($A92,'[1]Pricing Calculator'!$A$17:$G$187,5,FALSE),"")=TRUE,"P","")</f>
        <v/>
      </c>
      <c r="E92" s="654"/>
      <c r="F92" s="659" t="str">
        <f>IF(IFERROR(VLOOKUP($A92,'[1]Pricing Calculator'!$A$17:$G$187,6,FALSE),"")=TRUE,"P","")</f>
        <v/>
      </c>
      <c r="G92" s="654"/>
      <c r="H92" s="660" t="str">
        <f>IF(IFERROR(VLOOKUP($A92,'[1]Pricing Calculator'!$A$17:$G$187,7,FALSE),"")=TRUE,"P","")</f>
        <v/>
      </c>
    </row>
    <row r="93" spans="1:8" ht="17" hidden="1" outlineLevel="1" x14ac:dyDescent="0.2">
      <c r="A93" s="650">
        <v>84</v>
      </c>
      <c r="B93" s="657" t="str">
        <f>IFERROR(VLOOKUP($A93,'[1]Pricing Calculator'!$A$17:$G$187,2,FALSE),"")</f>
        <v/>
      </c>
      <c r="C93" s="652" t="s">
        <v>11</v>
      </c>
      <c r="D93" s="658" t="str">
        <f>IF(IFERROR(VLOOKUP($A93,'[1]Pricing Calculator'!$A$17:$G$187,5,FALSE),"")=TRUE,"P","")</f>
        <v/>
      </c>
      <c r="E93" s="654"/>
      <c r="F93" s="659" t="str">
        <f>IF(IFERROR(VLOOKUP($A93,'[1]Pricing Calculator'!$A$17:$G$187,6,FALSE),"")=TRUE,"P","")</f>
        <v/>
      </c>
      <c r="G93" s="654"/>
      <c r="H93" s="660" t="str">
        <f>IF(IFERROR(VLOOKUP($A93,'[1]Pricing Calculator'!$A$17:$G$187,7,FALSE),"")=TRUE,"P","")</f>
        <v/>
      </c>
    </row>
    <row r="94" spans="1:8" ht="17" hidden="1" outlineLevel="1" x14ac:dyDescent="0.2">
      <c r="A94" s="650">
        <v>85</v>
      </c>
      <c r="B94" s="657" t="str">
        <f>IFERROR(VLOOKUP($A94,'[1]Pricing Calculator'!$A$17:$G$187,2,FALSE),"")</f>
        <v/>
      </c>
      <c r="C94" s="652" t="s">
        <v>11</v>
      </c>
      <c r="D94" s="658" t="str">
        <f>IF(IFERROR(VLOOKUP($A94,'[1]Pricing Calculator'!$A$17:$G$187,5,FALSE),"")=TRUE,"P","")</f>
        <v/>
      </c>
      <c r="E94" s="654"/>
      <c r="F94" s="659" t="str">
        <f>IF(IFERROR(VLOOKUP($A94,'[1]Pricing Calculator'!$A$17:$G$187,6,FALSE),"")=TRUE,"P","")</f>
        <v/>
      </c>
      <c r="G94" s="654"/>
      <c r="H94" s="660" t="str">
        <f>IF(IFERROR(VLOOKUP($A94,'[1]Pricing Calculator'!$A$17:$G$187,7,FALSE),"")=TRUE,"P","")</f>
        <v/>
      </c>
    </row>
    <row r="95" spans="1:8" ht="17" hidden="1" outlineLevel="1" x14ac:dyDescent="0.2">
      <c r="A95" s="650">
        <v>86</v>
      </c>
      <c r="B95" s="657" t="str">
        <f>IFERROR(VLOOKUP($A95,'[1]Pricing Calculator'!$A$17:$G$187,2,FALSE),"")</f>
        <v/>
      </c>
      <c r="C95" s="652" t="s">
        <v>11</v>
      </c>
      <c r="D95" s="658" t="str">
        <f>IF(IFERROR(VLOOKUP($A95,'[1]Pricing Calculator'!$A$17:$G$187,5,FALSE),"")=TRUE,"P","")</f>
        <v/>
      </c>
      <c r="E95" s="654"/>
      <c r="F95" s="659" t="str">
        <f>IF(IFERROR(VLOOKUP($A95,'[1]Pricing Calculator'!$A$17:$G$187,6,FALSE),"")=TRUE,"P","")</f>
        <v/>
      </c>
      <c r="G95" s="654"/>
      <c r="H95" s="660" t="str">
        <f>IF(IFERROR(VLOOKUP($A95,'[1]Pricing Calculator'!$A$17:$G$187,7,FALSE),"")=TRUE,"P","")</f>
        <v/>
      </c>
    </row>
    <row r="96" spans="1:8" ht="17" hidden="1" outlineLevel="1" x14ac:dyDescent="0.2">
      <c r="A96" s="650">
        <v>87</v>
      </c>
      <c r="B96" s="657" t="str">
        <f>IFERROR(VLOOKUP($A96,'[1]Pricing Calculator'!$A$17:$G$187,2,FALSE),"")</f>
        <v/>
      </c>
      <c r="C96" s="652" t="s">
        <v>11</v>
      </c>
      <c r="D96" s="658" t="str">
        <f>IF(IFERROR(VLOOKUP($A96,'[1]Pricing Calculator'!$A$17:$G$187,5,FALSE),"")=TRUE,"P","")</f>
        <v/>
      </c>
      <c r="E96" s="654"/>
      <c r="F96" s="659" t="str">
        <f>IF(IFERROR(VLOOKUP($A96,'[1]Pricing Calculator'!$A$17:$G$187,6,FALSE),"")=TRUE,"P","")</f>
        <v/>
      </c>
      <c r="G96" s="654"/>
      <c r="H96" s="660" t="str">
        <f>IF(IFERROR(VLOOKUP($A96,'[1]Pricing Calculator'!$A$17:$G$187,7,FALSE),"")=TRUE,"P","")</f>
        <v/>
      </c>
    </row>
    <row r="97" spans="1:8" ht="17" hidden="1" outlineLevel="1" x14ac:dyDescent="0.2">
      <c r="A97" s="650">
        <v>88</v>
      </c>
      <c r="B97" s="657" t="str">
        <f>IFERROR(VLOOKUP($A97,'[1]Pricing Calculator'!$A$17:$G$187,2,FALSE),"")</f>
        <v/>
      </c>
      <c r="C97" s="652" t="s">
        <v>11</v>
      </c>
      <c r="D97" s="658" t="str">
        <f>IF(IFERROR(VLOOKUP($A97,'[1]Pricing Calculator'!$A$17:$G$187,5,FALSE),"")=TRUE,"P","")</f>
        <v/>
      </c>
      <c r="E97" s="654"/>
      <c r="F97" s="659" t="str">
        <f>IF(IFERROR(VLOOKUP($A97,'[1]Pricing Calculator'!$A$17:$G$187,6,FALSE),"")=TRUE,"P","")</f>
        <v/>
      </c>
      <c r="G97" s="654"/>
      <c r="H97" s="660" t="str">
        <f>IF(IFERROR(VLOOKUP($A97,'[1]Pricing Calculator'!$A$17:$G$187,7,FALSE),"")=TRUE,"P","")</f>
        <v/>
      </c>
    </row>
    <row r="98" spans="1:8" ht="17" hidden="1" outlineLevel="1" x14ac:dyDescent="0.2">
      <c r="A98" s="650">
        <v>89</v>
      </c>
      <c r="B98" s="657" t="str">
        <f>IFERROR(VLOOKUP($A98,'[1]Pricing Calculator'!$A$17:$G$187,2,FALSE),"")</f>
        <v/>
      </c>
      <c r="C98" s="652" t="s">
        <v>11</v>
      </c>
      <c r="D98" s="658" t="str">
        <f>IF(IFERROR(VLOOKUP($A98,'[1]Pricing Calculator'!$A$17:$G$187,5,FALSE),"")=TRUE,"P","")</f>
        <v/>
      </c>
      <c r="E98" s="654"/>
      <c r="F98" s="659" t="str">
        <f>IF(IFERROR(VLOOKUP($A98,'[1]Pricing Calculator'!$A$17:$G$187,6,FALSE),"")=TRUE,"P","")</f>
        <v/>
      </c>
      <c r="G98" s="654"/>
      <c r="H98" s="660" t="str">
        <f>IF(IFERROR(VLOOKUP($A98,'[1]Pricing Calculator'!$A$17:$G$187,7,FALSE),"")=TRUE,"P","")</f>
        <v/>
      </c>
    </row>
    <row r="99" spans="1:8" ht="17" hidden="1" outlineLevel="1" x14ac:dyDescent="0.2">
      <c r="A99" s="650">
        <v>90</v>
      </c>
      <c r="B99" s="657" t="str">
        <f>IFERROR(VLOOKUP($A99,'[1]Pricing Calculator'!$A$17:$G$187,2,FALSE),"")</f>
        <v/>
      </c>
      <c r="C99" s="652" t="s">
        <v>11</v>
      </c>
      <c r="D99" s="658" t="str">
        <f>IF(IFERROR(VLOOKUP($A99,'[1]Pricing Calculator'!$A$17:$G$187,5,FALSE),"")=TRUE,"P","")</f>
        <v/>
      </c>
      <c r="E99" s="654"/>
      <c r="F99" s="659" t="str">
        <f>IF(IFERROR(VLOOKUP($A99,'[1]Pricing Calculator'!$A$17:$G$187,6,FALSE),"")=TRUE,"P","")</f>
        <v/>
      </c>
      <c r="G99" s="654"/>
      <c r="H99" s="660" t="str">
        <f>IF(IFERROR(VLOOKUP($A99,'[1]Pricing Calculator'!$A$17:$G$187,7,FALSE),"")=TRUE,"P","")</f>
        <v/>
      </c>
    </row>
    <row r="100" spans="1:8" ht="17" hidden="1" outlineLevel="1" x14ac:dyDescent="0.2">
      <c r="A100" s="650">
        <v>91</v>
      </c>
      <c r="B100" s="657" t="str">
        <f>IFERROR(VLOOKUP($A100,'[1]Pricing Calculator'!$A$17:$G$187,2,FALSE),"")</f>
        <v/>
      </c>
      <c r="C100" s="652" t="s">
        <v>11</v>
      </c>
      <c r="D100" s="658" t="str">
        <f>IF(IFERROR(VLOOKUP($A100,'[1]Pricing Calculator'!$A$17:$G$187,5,FALSE),"")=TRUE,"P","")</f>
        <v/>
      </c>
      <c r="E100" s="654"/>
      <c r="F100" s="659" t="str">
        <f>IF(IFERROR(VLOOKUP($A100,'[1]Pricing Calculator'!$A$17:$G$187,6,FALSE),"")=TRUE,"P","")</f>
        <v/>
      </c>
      <c r="G100" s="654"/>
      <c r="H100" s="660" t="str">
        <f>IF(IFERROR(VLOOKUP($A100,'[1]Pricing Calculator'!$A$17:$G$187,7,FALSE),"")=TRUE,"P","")</f>
        <v/>
      </c>
    </row>
    <row r="101" spans="1:8" ht="17" hidden="1" outlineLevel="1" x14ac:dyDescent="0.2">
      <c r="A101" s="650">
        <v>92</v>
      </c>
      <c r="B101" s="657" t="str">
        <f>IFERROR(VLOOKUP($A101,'[1]Pricing Calculator'!$A$17:$G$187,2,FALSE),"")</f>
        <v/>
      </c>
      <c r="C101" s="652" t="s">
        <v>11</v>
      </c>
      <c r="D101" s="658" t="str">
        <f>IF(IFERROR(VLOOKUP($A101,'[1]Pricing Calculator'!$A$17:$G$187,5,FALSE),"")=TRUE,"P","")</f>
        <v/>
      </c>
      <c r="E101" s="654"/>
      <c r="F101" s="659" t="str">
        <f>IF(IFERROR(VLOOKUP($A101,'[1]Pricing Calculator'!$A$17:$G$187,6,FALSE),"")=TRUE,"P","")</f>
        <v/>
      </c>
      <c r="G101" s="654"/>
      <c r="H101" s="660" t="str">
        <f>IF(IFERROR(VLOOKUP($A101,'[1]Pricing Calculator'!$A$17:$G$187,7,FALSE),"")=TRUE,"P","")</f>
        <v/>
      </c>
    </row>
    <row r="102" spans="1:8" ht="17" hidden="1" outlineLevel="1" x14ac:dyDescent="0.2">
      <c r="A102" s="650">
        <v>93</v>
      </c>
      <c r="B102" s="657" t="str">
        <f>IFERROR(VLOOKUP($A102,'[1]Pricing Calculator'!$A$17:$G$187,2,FALSE),"")</f>
        <v/>
      </c>
      <c r="C102" s="652" t="s">
        <v>11</v>
      </c>
      <c r="D102" s="658" t="str">
        <f>IF(IFERROR(VLOOKUP($A102,'[1]Pricing Calculator'!$A$17:$G$187,5,FALSE),"")=TRUE,"P","")</f>
        <v/>
      </c>
      <c r="E102" s="654"/>
      <c r="F102" s="659" t="str">
        <f>IF(IFERROR(VLOOKUP($A102,'[1]Pricing Calculator'!$A$17:$G$187,6,FALSE),"")=TRUE,"P","")</f>
        <v/>
      </c>
      <c r="G102" s="654"/>
      <c r="H102" s="660" t="str">
        <f>IF(IFERROR(VLOOKUP($A102,'[1]Pricing Calculator'!$A$17:$G$187,7,FALSE),"")=TRUE,"P","")</f>
        <v/>
      </c>
    </row>
    <row r="103" spans="1:8" ht="17" hidden="1" outlineLevel="1" x14ac:dyDescent="0.2">
      <c r="A103" s="650">
        <v>94</v>
      </c>
      <c r="B103" s="657" t="str">
        <f>IFERROR(VLOOKUP($A103,'[1]Pricing Calculator'!$A$17:$G$187,2,FALSE),"")</f>
        <v/>
      </c>
      <c r="C103" s="652" t="s">
        <v>11</v>
      </c>
      <c r="D103" s="658" t="str">
        <f>IF(IFERROR(VLOOKUP($A103,'[1]Pricing Calculator'!$A$17:$G$187,5,FALSE),"")=TRUE,"P","")</f>
        <v/>
      </c>
      <c r="E103" s="654"/>
      <c r="F103" s="659" t="str">
        <f>IF(IFERROR(VLOOKUP($A103,'[1]Pricing Calculator'!$A$17:$G$187,6,FALSE),"")=TRUE,"P","")</f>
        <v/>
      </c>
      <c r="G103" s="654"/>
      <c r="H103" s="660" t="str">
        <f>IF(IFERROR(VLOOKUP($A103,'[1]Pricing Calculator'!$A$17:$G$187,7,FALSE),"")=TRUE,"P","")</f>
        <v/>
      </c>
    </row>
    <row r="104" spans="1:8" ht="17" hidden="1" outlineLevel="1" x14ac:dyDescent="0.2">
      <c r="A104" s="650">
        <v>95</v>
      </c>
      <c r="B104" s="657" t="str">
        <f>IFERROR(VLOOKUP($A104,'[1]Pricing Calculator'!$A$17:$G$187,2,FALSE),"")</f>
        <v/>
      </c>
      <c r="C104" s="652" t="s">
        <v>11</v>
      </c>
      <c r="D104" s="658" t="str">
        <f>IF(IFERROR(VLOOKUP($A104,'[1]Pricing Calculator'!$A$17:$G$187,5,FALSE),"")=TRUE,"P","")</f>
        <v/>
      </c>
      <c r="E104" s="654"/>
      <c r="F104" s="659" t="str">
        <f>IF(IFERROR(VLOOKUP($A104,'[1]Pricing Calculator'!$A$17:$G$187,6,FALSE),"")=TRUE,"P","")</f>
        <v/>
      </c>
      <c r="G104" s="654"/>
      <c r="H104" s="660" t="str">
        <f>IF(IFERROR(VLOOKUP($A104,'[1]Pricing Calculator'!$A$17:$G$187,7,FALSE),"")=TRUE,"P","")</f>
        <v/>
      </c>
    </row>
    <row r="105" spans="1:8" ht="17" hidden="1" outlineLevel="1" x14ac:dyDescent="0.2">
      <c r="A105" s="650">
        <v>96</v>
      </c>
      <c r="B105" s="657" t="str">
        <f>IFERROR(VLOOKUP($A105,'[1]Pricing Calculator'!$A$17:$G$187,2,FALSE),"")</f>
        <v/>
      </c>
      <c r="C105" s="652" t="s">
        <v>11</v>
      </c>
      <c r="D105" s="658" t="str">
        <f>IF(IFERROR(VLOOKUP($A105,'[1]Pricing Calculator'!$A$17:$G$187,5,FALSE),"")=TRUE,"P","")</f>
        <v/>
      </c>
      <c r="E105" s="654"/>
      <c r="F105" s="659" t="str">
        <f>IF(IFERROR(VLOOKUP($A105,'[1]Pricing Calculator'!$A$17:$G$187,6,FALSE),"")=TRUE,"P","")</f>
        <v/>
      </c>
      <c r="G105" s="654"/>
      <c r="H105" s="660" t="str">
        <f>IF(IFERROR(VLOOKUP($A105,'[1]Pricing Calculator'!$A$17:$G$187,7,FALSE),"")=TRUE,"P","")</f>
        <v/>
      </c>
    </row>
    <row r="106" spans="1:8" ht="17" hidden="1" outlineLevel="1" x14ac:dyDescent="0.2">
      <c r="A106" s="650">
        <v>97</v>
      </c>
      <c r="B106" s="657" t="str">
        <f>IFERROR(VLOOKUP($A106,'[1]Pricing Calculator'!$A$17:$G$187,2,FALSE),"")</f>
        <v/>
      </c>
      <c r="C106" s="652" t="s">
        <v>11</v>
      </c>
      <c r="D106" s="658" t="str">
        <f>IF(IFERROR(VLOOKUP($A106,'[1]Pricing Calculator'!$A$17:$G$187,5,FALSE),"")=TRUE,"P","")</f>
        <v/>
      </c>
      <c r="E106" s="654"/>
      <c r="F106" s="659" t="str">
        <f>IF(IFERROR(VLOOKUP($A106,'[1]Pricing Calculator'!$A$17:$G$187,6,FALSE),"")=TRUE,"P","")</f>
        <v/>
      </c>
      <c r="G106" s="654"/>
      <c r="H106" s="660" t="str">
        <f>IF(IFERROR(VLOOKUP($A106,'[1]Pricing Calculator'!$A$17:$G$187,7,FALSE),"")=TRUE,"P","")</f>
        <v/>
      </c>
    </row>
    <row r="107" spans="1:8" ht="17" hidden="1" outlineLevel="1" x14ac:dyDescent="0.2">
      <c r="A107" s="650">
        <v>98</v>
      </c>
      <c r="B107" s="657" t="str">
        <f>IFERROR(VLOOKUP($A107,'[1]Pricing Calculator'!$A$17:$G$187,2,FALSE),"")</f>
        <v/>
      </c>
      <c r="C107" s="652" t="s">
        <v>11</v>
      </c>
      <c r="D107" s="658" t="str">
        <f>IF(IFERROR(VLOOKUP($A107,'[1]Pricing Calculator'!$A$17:$G$187,5,FALSE),"")=TRUE,"P","")</f>
        <v/>
      </c>
      <c r="E107" s="654"/>
      <c r="F107" s="659" t="str">
        <f>IF(IFERROR(VLOOKUP($A107,'[1]Pricing Calculator'!$A$17:$G$187,6,FALSE),"")=TRUE,"P","")</f>
        <v/>
      </c>
      <c r="G107" s="654"/>
      <c r="H107" s="660" t="str">
        <f>IF(IFERROR(VLOOKUP($A107,'[1]Pricing Calculator'!$A$17:$G$187,7,FALSE),"")=TRUE,"P","")</f>
        <v/>
      </c>
    </row>
    <row r="108" spans="1:8" ht="17" hidden="1" outlineLevel="1" x14ac:dyDescent="0.2">
      <c r="A108" s="650">
        <v>99</v>
      </c>
      <c r="B108" s="657" t="str">
        <f>IFERROR(VLOOKUP($A108,'[1]Pricing Calculator'!$A$17:$G$187,2,FALSE),"")</f>
        <v/>
      </c>
      <c r="C108" s="652" t="s">
        <v>11</v>
      </c>
      <c r="D108" s="658" t="str">
        <f>IF(IFERROR(VLOOKUP($A108,'[1]Pricing Calculator'!$A$17:$G$187,5,FALSE),"")=TRUE,"P","")</f>
        <v/>
      </c>
      <c r="E108" s="654"/>
      <c r="F108" s="659" t="str">
        <f>IF(IFERROR(VLOOKUP($A108,'[1]Pricing Calculator'!$A$17:$G$187,6,FALSE),"")=TRUE,"P","")</f>
        <v/>
      </c>
      <c r="G108" s="654"/>
      <c r="H108" s="660" t="str">
        <f>IF(IFERROR(VLOOKUP($A108,'[1]Pricing Calculator'!$A$17:$G$187,7,FALSE),"")=TRUE,"P","")</f>
        <v/>
      </c>
    </row>
    <row r="109" spans="1:8" ht="17" hidden="1" outlineLevel="1" x14ac:dyDescent="0.2">
      <c r="A109" s="650">
        <v>100</v>
      </c>
      <c r="B109" s="657" t="str">
        <f>IFERROR(VLOOKUP($A109,'[1]Pricing Calculator'!$A$17:$G$187,2,FALSE),"")</f>
        <v/>
      </c>
      <c r="C109" s="652" t="s">
        <v>11</v>
      </c>
      <c r="D109" s="658" t="str">
        <f>IF(IFERROR(VLOOKUP($A109,'[1]Pricing Calculator'!$A$17:$G$187,5,FALSE),"")=TRUE,"P","")</f>
        <v/>
      </c>
      <c r="E109" s="654"/>
      <c r="F109" s="659" t="str">
        <f>IF(IFERROR(VLOOKUP($A109,'[1]Pricing Calculator'!$A$17:$G$187,6,FALSE),"")=TRUE,"P","")</f>
        <v/>
      </c>
      <c r="G109" s="654"/>
      <c r="H109" s="660" t="str">
        <f>IF(IFERROR(VLOOKUP($A109,'[1]Pricing Calculator'!$A$17:$G$187,7,FALSE),"")=TRUE,"P","")</f>
        <v/>
      </c>
    </row>
    <row r="110" spans="1:8" ht="17" hidden="1" outlineLevel="1" x14ac:dyDescent="0.2">
      <c r="A110" s="650">
        <v>101</v>
      </c>
      <c r="B110" s="657" t="str">
        <f>IFERROR(VLOOKUP($A110,'[1]Pricing Calculator'!$A$17:$G$187,2,FALSE),"")</f>
        <v/>
      </c>
      <c r="C110" s="652" t="s">
        <v>11</v>
      </c>
      <c r="D110" s="658" t="str">
        <f>IF(IFERROR(VLOOKUP($A110,'[1]Pricing Calculator'!$A$17:$G$187,5,FALSE),"")=TRUE,"P","")</f>
        <v/>
      </c>
      <c r="E110" s="654"/>
      <c r="F110" s="659" t="str">
        <f>IF(IFERROR(VLOOKUP($A110,'[1]Pricing Calculator'!$A$17:$G$187,6,FALSE),"")=TRUE,"P","")</f>
        <v/>
      </c>
      <c r="G110" s="654"/>
      <c r="H110" s="660" t="str">
        <f>IF(IFERROR(VLOOKUP($A110,'[1]Pricing Calculator'!$A$17:$G$187,7,FALSE),"")=TRUE,"P","")</f>
        <v/>
      </c>
    </row>
    <row r="111" spans="1:8" ht="17" hidden="1" outlineLevel="1" x14ac:dyDescent="0.2">
      <c r="A111" s="650">
        <v>102</v>
      </c>
      <c r="B111" s="657" t="str">
        <f>IFERROR(VLOOKUP($A111,'[1]Pricing Calculator'!$A$17:$G$187,2,FALSE),"")</f>
        <v/>
      </c>
      <c r="C111" s="652" t="s">
        <v>11</v>
      </c>
      <c r="D111" s="658" t="str">
        <f>IF(IFERROR(VLOOKUP($A111,'[1]Pricing Calculator'!$A$17:$G$187,5,FALSE),"")=TRUE,"P","")</f>
        <v/>
      </c>
      <c r="E111" s="654"/>
      <c r="F111" s="659" t="str">
        <f>IF(IFERROR(VLOOKUP($A111,'[1]Pricing Calculator'!$A$17:$G$187,6,FALSE),"")=TRUE,"P","")</f>
        <v/>
      </c>
      <c r="G111" s="654"/>
      <c r="H111" s="660" t="str">
        <f>IF(IFERROR(VLOOKUP($A111,'[1]Pricing Calculator'!$A$17:$G$187,7,FALSE),"")=TRUE,"P","")</f>
        <v/>
      </c>
    </row>
    <row r="112" spans="1:8" ht="17" hidden="1" outlineLevel="1" x14ac:dyDescent="0.2">
      <c r="A112" s="650">
        <v>103</v>
      </c>
      <c r="B112" s="657" t="str">
        <f>IFERROR(VLOOKUP($A112,'[1]Pricing Calculator'!$A$17:$G$187,2,FALSE),"")</f>
        <v/>
      </c>
      <c r="C112" s="652" t="s">
        <v>11</v>
      </c>
      <c r="D112" s="658" t="str">
        <f>IF(IFERROR(VLOOKUP($A112,'[1]Pricing Calculator'!$A$17:$G$187,5,FALSE),"")=TRUE,"P","")</f>
        <v/>
      </c>
      <c r="E112" s="654"/>
      <c r="F112" s="659" t="str">
        <f>IF(IFERROR(VLOOKUP($A112,'[1]Pricing Calculator'!$A$17:$G$187,6,FALSE),"")=TRUE,"P","")</f>
        <v/>
      </c>
      <c r="G112" s="654"/>
      <c r="H112" s="660" t="str">
        <f>IF(IFERROR(VLOOKUP($A112,'[1]Pricing Calculator'!$A$17:$G$187,7,FALSE),"")=TRUE,"P","")</f>
        <v/>
      </c>
    </row>
    <row r="113" spans="1:8" ht="17" hidden="1" outlineLevel="1" x14ac:dyDescent="0.2">
      <c r="A113" s="650">
        <v>104</v>
      </c>
      <c r="B113" s="657" t="str">
        <f>IFERROR(VLOOKUP($A113,'[1]Pricing Calculator'!$A$17:$G$187,2,FALSE),"")</f>
        <v/>
      </c>
      <c r="C113" s="652" t="s">
        <v>11</v>
      </c>
      <c r="D113" s="658" t="str">
        <f>IF(IFERROR(VLOOKUP($A113,'[1]Pricing Calculator'!$A$17:$G$187,5,FALSE),"")=TRUE,"P","")</f>
        <v/>
      </c>
      <c r="E113" s="654"/>
      <c r="F113" s="659" t="str">
        <f>IF(IFERROR(VLOOKUP($A113,'[1]Pricing Calculator'!$A$17:$G$187,6,FALSE),"")=TRUE,"P","")</f>
        <v/>
      </c>
      <c r="G113" s="654"/>
      <c r="H113" s="660" t="str">
        <f>IF(IFERROR(VLOOKUP($A113,'[1]Pricing Calculator'!$A$17:$G$187,7,FALSE),"")=TRUE,"P","")</f>
        <v/>
      </c>
    </row>
    <row r="114" spans="1:8" ht="17" hidden="1" outlineLevel="1" x14ac:dyDescent="0.2">
      <c r="A114" s="650">
        <v>105</v>
      </c>
      <c r="B114" s="657" t="str">
        <f>IFERROR(VLOOKUP($A114,'[1]Pricing Calculator'!$A$17:$G$187,2,FALSE),"")</f>
        <v/>
      </c>
      <c r="C114" s="652" t="s">
        <v>11</v>
      </c>
      <c r="D114" s="658" t="str">
        <f>IF(IFERROR(VLOOKUP($A114,'[1]Pricing Calculator'!$A$17:$G$187,5,FALSE),"")=TRUE,"P","")</f>
        <v/>
      </c>
      <c r="E114" s="654"/>
      <c r="F114" s="659" t="str">
        <f>IF(IFERROR(VLOOKUP($A114,'[1]Pricing Calculator'!$A$17:$G$187,6,FALSE),"")=TRUE,"P","")</f>
        <v/>
      </c>
      <c r="G114" s="654"/>
      <c r="H114" s="660" t="str">
        <f>IF(IFERROR(VLOOKUP($A114,'[1]Pricing Calculator'!$A$17:$G$187,7,FALSE),"")=TRUE,"P","")</f>
        <v/>
      </c>
    </row>
    <row r="115" spans="1:8" ht="17" hidden="1" outlineLevel="1" x14ac:dyDescent="0.2">
      <c r="A115" s="650">
        <v>106</v>
      </c>
      <c r="B115" s="657" t="str">
        <f>IFERROR(VLOOKUP($A115,'[1]Pricing Calculator'!$A$17:$G$187,2,FALSE),"")</f>
        <v/>
      </c>
      <c r="C115" s="652" t="s">
        <v>11</v>
      </c>
      <c r="D115" s="658" t="str">
        <f>IF(IFERROR(VLOOKUP($A115,'[1]Pricing Calculator'!$A$17:$G$187,5,FALSE),"")=TRUE,"P","")</f>
        <v/>
      </c>
      <c r="E115" s="654"/>
      <c r="F115" s="659" t="str">
        <f>IF(IFERROR(VLOOKUP($A115,'[1]Pricing Calculator'!$A$17:$G$187,6,FALSE),"")=TRUE,"P","")</f>
        <v/>
      </c>
      <c r="G115" s="654"/>
      <c r="H115" s="660" t="str">
        <f>IF(IFERROR(VLOOKUP($A115,'[1]Pricing Calculator'!$A$17:$G$187,7,FALSE),"")=TRUE,"P","")</f>
        <v/>
      </c>
    </row>
    <row r="116" spans="1:8" ht="17" hidden="1" outlineLevel="1" x14ac:dyDescent="0.2">
      <c r="A116" s="650">
        <v>107</v>
      </c>
      <c r="B116" s="657" t="str">
        <f>IFERROR(VLOOKUP($A116,'[1]Pricing Calculator'!$A$17:$G$187,2,FALSE),"")</f>
        <v/>
      </c>
      <c r="C116" s="652" t="s">
        <v>11</v>
      </c>
      <c r="D116" s="658" t="str">
        <f>IF(IFERROR(VLOOKUP($A116,'[1]Pricing Calculator'!$A$17:$G$187,5,FALSE),"")=TRUE,"P","")</f>
        <v/>
      </c>
      <c r="E116" s="654"/>
      <c r="F116" s="659" t="str">
        <f>IF(IFERROR(VLOOKUP($A116,'[1]Pricing Calculator'!$A$17:$G$187,6,FALSE),"")=TRUE,"P","")</f>
        <v/>
      </c>
      <c r="G116" s="654"/>
      <c r="H116" s="660" t="str">
        <f>IF(IFERROR(VLOOKUP($A116,'[1]Pricing Calculator'!$A$17:$G$187,7,FALSE),"")=TRUE,"P","")</f>
        <v/>
      </c>
    </row>
    <row r="117" spans="1:8" ht="17" hidden="1" outlineLevel="1" x14ac:dyDescent="0.2">
      <c r="A117" s="650">
        <v>108</v>
      </c>
      <c r="B117" s="657" t="str">
        <f>IFERROR(VLOOKUP($A117,'[1]Pricing Calculator'!$A$17:$G$187,2,FALSE),"")</f>
        <v/>
      </c>
      <c r="C117" s="652" t="s">
        <v>11</v>
      </c>
      <c r="D117" s="658" t="str">
        <f>IF(IFERROR(VLOOKUP($A117,'[1]Pricing Calculator'!$A$17:$G$187,5,FALSE),"")=TRUE,"P","")</f>
        <v/>
      </c>
      <c r="E117" s="654"/>
      <c r="F117" s="659" t="str">
        <f>IF(IFERROR(VLOOKUP($A117,'[1]Pricing Calculator'!$A$17:$G$187,6,FALSE),"")=TRUE,"P","")</f>
        <v/>
      </c>
      <c r="G117" s="654"/>
      <c r="H117" s="660" t="str">
        <f>IF(IFERROR(VLOOKUP($A117,'[1]Pricing Calculator'!$A$17:$G$187,7,FALSE),"")=TRUE,"P","")</f>
        <v/>
      </c>
    </row>
    <row r="118" spans="1:8" ht="17" hidden="1" outlineLevel="1" x14ac:dyDescent="0.2">
      <c r="A118" s="650">
        <v>109</v>
      </c>
      <c r="B118" s="657" t="str">
        <f>IFERROR(VLOOKUP($A118,'[1]Pricing Calculator'!$A$17:$G$187,2,FALSE),"")</f>
        <v/>
      </c>
      <c r="C118" s="652" t="s">
        <v>11</v>
      </c>
      <c r="D118" s="658" t="str">
        <f>IF(IFERROR(VLOOKUP($A118,'[1]Pricing Calculator'!$A$17:$G$187,5,FALSE),"")=TRUE,"P","")</f>
        <v/>
      </c>
      <c r="E118" s="654"/>
      <c r="F118" s="659" t="str">
        <f>IF(IFERROR(VLOOKUP($A118,'[1]Pricing Calculator'!$A$17:$G$187,6,FALSE),"")=TRUE,"P","")</f>
        <v/>
      </c>
      <c r="G118" s="654"/>
      <c r="H118" s="660" t="str">
        <f>IF(IFERROR(VLOOKUP($A118,'[1]Pricing Calculator'!$A$17:$G$187,7,FALSE),"")=TRUE,"P","")</f>
        <v/>
      </c>
    </row>
    <row r="119" spans="1:8" ht="17" hidden="1" outlineLevel="1" x14ac:dyDescent="0.2">
      <c r="A119" s="650">
        <v>110</v>
      </c>
      <c r="B119" s="657" t="str">
        <f>IFERROR(VLOOKUP($A119,'[1]Pricing Calculator'!$A$17:$G$187,2,FALSE),"")</f>
        <v/>
      </c>
      <c r="C119" s="652" t="s">
        <v>11</v>
      </c>
      <c r="D119" s="658" t="str">
        <f>IF(IFERROR(VLOOKUP($A119,'[1]Pricing Calculator'!$A$17:$G$187,5,FALSE),"")=TRUE,"P","")</f>
        <v/>
      </c>
      <c r="E119" s="654"/>
      <c r="F119" s="659" t="str">
        <f>IF(IFERROR(VLOOKUP($A119,'[1]Pricing Calculator'!$A$17:$G$187,6,FALSE),"")=TRUE,"P","")</f>
        <v/>
      </c>
      <c r="G119" s="654"/>
      <c r="H119" s="660" t="str">
        <f>IF(IFERROR(VLOOKUP($A119,'[1]Pricing Calculator'!$A$17:$G$187,7,FALSE),"")=TRUE,"P","")</f>
        <v/>
      </c>
    </row>
    <row r="120" spans="1:8" ht="17" hidden="1" outlineLevel="1" x14ac:dyDescent="0.2">
      <c r="A120" s="650">
        <v>111</v>
      </c>
      <c r="B120" s="657" t="str">
        <f>IFERROR(VLOOKUP($A120,'[1]Pricing Calculator'!$A$17:$G$187,2,FALSE),"")</f>
        <v/>
      </c>
      <c r="C120" s="652" t="s">
        <v>11</v>
      </c>
      <c r="D120" s="658" t="str">
        <f>IF(IFERROR(VLOOKUP($A120,'[1]Pricing Calculator'!$A$17:$G$187,5,FALSE),"")=TRUE,"P","")</f>
        <v/>
      </c>
      <c r="E120" s="654"/>
      <c r="F120" s="659" t="str">
        <f>IF(IFERROR(VLOOKUP($A120,'[1]Pricing Calculator'!$A$17:$G$187,6,FALSE),"")=TRUE,"P","")</f>
        <v/>
      </c>
      <c r="G120" s="654"/>
      <c r="H120" s="660" t="str">
        <f>IF(IFERROR(VLOOKUP($A120,'[1]Pricing Calculator'!$A$17:$G$187,7,FALSE),"")=TRUE,"P","")</f>
        <v/>
      </c>
    </row>
    <row r="121" spans="1:8" ht="17" hidden="1" outlineLevel="1" x14ac:dyDescent="0.2">
      <c r="A121" s="650">
        <v>112</v>
      </c>
      <c r="B121" s="657" t="str">
        <f>IFERROR(VLOOKUP($A121,'[1]Pricing Calculator'!$A$17:$G$187,2,FALSE),"")</f>
        <v/>
      </c>
      <c r="C121" s="652" t="s">
        <v>11</v>
      </c>
      <c r="D121" s="658" t="str">
        <f>IF(IFERROR(VLOOKUP($A121,'[1]Pricing Calculator'!$A$17:$G$187,5,FALSE),"")=TRUE,"P","")</f>
        <v/>
      </c>
      <c r="E121" s="654"/>
      <c r="F121" s="659" t="str">
        <f>IF(IFERROR(VLOOKUP($A121,'[1]Pricing Calculator'!$A$17:$G$187,6,FALSE),"")=TRUE,"P","")</f>
        <v/>
      </c>
      <c r="G121" s="654"/>
      <c r="H121" s="660" t="str">
        <f>IF(IFERROR(VLOOKUP($A121,'[1]Pricing Calculator'!$A$17:$G$187,7,FALSE),"")=TRUE,"P","")</f>
        <v/>
      </c>
    </row>
    <row r="122" spans="1:8" ht="17" hidden="1" outlineLevel="1" x14ac:dyDescent="0.2">
      <c r="A122" s="650">
        <v>113</v>
      </c>
      <c r="B122" s="657" t="str">
        <f>IFERROR(VLOOKUP($A122,'[1]Pricing Calculator'!$A$17:$G$187,2,FALSE),"")</f>
        <v/>
      </c>
      <c r="C122" s="652" t="s">
        <v>11</v>
      </c>
      <c r="D122" s="658" t="str">
        <f>IF(IFERROR(VLOOKUP($A122,'[1]Pricing Calculator'!$A$17:$G$187,5,FALSE),"")=TRUE,"P","")</f>
        <v/>
      </c>
      <c r="E122" s="654"/>
      <c r="F122" s="659" t="str">
        <f>IF(IFERROR(VLOOKUP($A122,'[1]Pricing Calculator'!$A$17:$G$187,6,FALSE),"")=TRUE,"P","")</f>
        <v/>
      </c>
      <c r="G122" s="654"/>
      <c r="H122" s="660" t="str">
        <f>IF(IFERROR(VLOOKUP($A122,'[1]Pricing Calculator'!$A$17:$G$187,7,FALSE),"")=TRUE,"P","")</f>
        <v/>
      </c>
    </row>
    <row r="123" spans="1:8" ht="17" hidden="1" outlineLevel="1" x14ac:dyDescent="0.2">
      <c r="A123" s="650">
        <v>114</v>
      </c>
      <c r="B123" s="657" t="str">
        <f>IFERROR(VLOOKUP($A123,'[1]Pricing Calculator'!$A$17:$G$187,2,FALSE),"")</f>
        <v/>
      </c>
      <c r="C123" s="652" t="s">
        <v>11</v>
      </c>
      <c r="D123" s="658" t="str">
        <f>IF(IFERROR(VLOOKUP($A123,'[1]Pricing Calculator'!$A$17:$G$187,5,FALSE),"")=TRUE,"P","")</f>
        <v/>
      </c>
      <c r="E123" s="654"/>
      <c r="F123" s="659" t="str">
        <f>IF(IFERROR(VLOOKUP($A123,'[1]Pricing Calculator'!$A$17:$G$187,6,FALSE),"")=TRUE,"P","")</f>
        <v/>
      </c>
      <c r="G123" s="654"/>
      <c r="H123" s="660" t="str">
        <f>IF(IFERROR(VLOOKUP($A123,'[1]Pricing Calculator'!$A$17:$G$187,7,FALSE),"")=TRUE,"P","")</f>
        <v/>
      </c>
    </row>
    <row r="124" spans="1:8" ht="17" hidden="1" outlineLevel="1" x14ac:dyDescent="0.2">
      <c r="A124" s="650">
        <v>115</v>
      </c>
      <c r="B124" s="657" t="str">
        <f>IFERROR(VLOOKUP($A124,'[1]Pricing Calculator'!$A$17:$G$187,2,FALSE),"")</f>
        <v/>
      </c>
      <c r="C124" s="652" t="s">
        <v>11</v>
      </c>
      <c r="D124" s="658" t="str">
        <f>IF(IFERROR(VLOOKUP($A124,'[1]Pricing Calculator'!$A$17:$G$187,5,FALSE),"")=TRUE,"P","")</f>
        <v/>
      </c>
      <c r="E124" s="654"/>
      <c r="F124" s="659" t="str">
        <f>IF(IFERROR(VLOOKUP($A124,'[1]Pricing Calculator'!$A$17:$G$187,6,FALSE),"")=TRUE,"P","")</f>
        <v/>
      </c>
      <c r="G124" s="654"/>
      <c r="H124" s="660" t="str">
        <f>IF(IFERROR(VLOOKUP($A124,'[1]Pricing Calculator'!$A$17:$G$187,7,FALSE),"")=TRUE,"P","")</f>
        <v/>
      </c>
    </row>
    <row r="125" spans="1:8" ht="17" hidden="1" outlineLevel="1" x14ac:dyDescent="0.2">
      <c r="A125" s="650">
        <v>116</v>
      </c>
      <c r="B125" s="657" t="str">
        <f>IFERROR(VLOOKUP($A125,'[1]Pricing Calculator'!$A$17:$G$187,2,FALSE),"")</f>
        <v/>
      </c>
      <c r="C125" s="652" t="s">
        <v>11</v>
      </c>
      <c r="D125" s="658" t="str">
        <f>IF(IFERROR(VLOOKUP($A125,'[1]Pricing Calculator'!$A$17:$G$187,5,FALSE),"")=TRUE,"P","")</f>
        <v/>
      </c>
      <c r="E125" s="654"/>
      <c r="F125" s="659" t="str">
        <f>IF(IFERROR(VLOOKUP($A125,'[1]Pricing Calculator'!$A$17:$G$187,6,FALSE),"")=TRUE,"P","")</f>
        <v/>
      </c>
      <c r="G125" s="654"/>
      <c r="H125" s="660" t="str">
        <f>IF(IFERROR(VLOOKUP($A125,'[1]Pricing Calculator'!$A$17:$G$187,7,FALSE),"")=TRUE,"P","")</f>
        <v/>
      </c>
    </row>
    <row r="126" spans="1:8" ht="17" hidden="1" outlineLevel="1" x14ac:dyDescent="0.2">
      <c r="A126" s="650">
        <v>117</v>
      </c>
      <c r="B126" s="657" t="str">
        <f>IFERROR(VLOOKUP($A126,'[1]Pricing Calculator'!$A$17:$G$187,2,FALSE),"")</f>
        <v/>
      </c>
      <c r="C126" s="652" t="s">
        <v>11</v>
      </c>
      <c r="D126" s="658" t="str">
        <f>IF(IFERROR(VLOOKUP($A126,'[1]Pricing Calculator'!$A$17:$G$187,5,FALSE),"")=TRUE,"P","")</f>
        <v/>
      </c>
      <c r="E126" s="654"/>
      <c r="F126" s="659" t="str">
        <f>IF(IFERROR(VLOOKUP($A126,'[1]Pricing Calculator'!$A$17:$G$187,6,FALSE),"")=TRUE,"P","")</f>
        <v/>
      </c>
      <c r="G126" s="654"/>
      <c r="H126" s="660" t="str">
        <f>IF(IFERROR(VLOOKUP($A126,'[1]Pricing Calculator'!$A$17:$G$187,7,FALSE),"")=TRUE,"P","")</f>
        <v/>
      </c>
    </row>
    <row r="127" spans="1:8" ht="17" hidden="1" outlineLevel="1" x14ac:dyDescent="0.2">
      <c r="A127" s="650">
        <v>118</v>
      </c>
      <c r="B127" s="657" t="str">
        <f>IFERROR(VLOOKUP($A127,'[1]Pricing Calculator'!$A$17:$G$187,2,FALSE),"")</f>
        <v/>
      </c>
      <c r="C127" s="652" t="s">
        <v>11</v>
      </c>
      <c r="D127" s="658" t="str">
        <f>IF(IFERROR(VLOOKUP($A127,'[1]Pricing Calculator'!$A$17:$G$187,5,FALSE),"")=TRUE,"P","")</f>
        <v/>
      </c>
      <c r="E127" s="654"/>
      <c r="F127" s="659" t="str">
        <f>IF(IFERROR(VLOOKUP($A127,'[1]Pricing Calculator'!$A$17:$G$187,6,FALSE),"")=TRUE,"P","")</f>
        <v/>
      </c>
      <c r="G127" s="654"/>
      <c r="H127" s="660" t="str">
        <f>IF(IFERROR(VLOOKUP($A127,'[1]Pricing Calculator'!$A$17:$G$187,7,FALSE),"")=TRUE,"P","")</f>
        <v/>
      </c>
    </row>
    <row r="128" spans="1:8" ht="17" hidden="1" outlineLevel="1" x14ac:dyDescent="0.2">
      <c r="A128" s="650">
        <v>119</v>
      </c>
      <c r="B128" s="657" t="str">
        <f>IFERROR(VLOOKUP($A128,'[1]Pricing Calculator'!$A$17:$G$187,2,FALSE),"")</f>
        <v/>
      </c>
      <c r="C128" s="652" t="s">
        <v>11</v>
      </c>
      <c r="D128" s="658" t="str">
        <f>IF(IFERROR(VLOOKUP($A128,'[1]Pricing Calculator'!$A$17:$G$187,5,FALSE),"")=TRUE,"P","")</f>
        <v/>
      </c>
      <c r="E128" s="654"/>
      <c r="F128" s="659" t="str">
        <f>IF(IFERROR(VLOOKUP($A128,'[1]Pricing Calculator'!$A$17:$G$187,6,FALSE),"")=TRUE,"P","")</f>
        <v/>
      </c>
      <c r="G128" s="654"/>
      <c r="H128" s="660" t="str">
        <f>IF(IFERROR(VLOOKUP($A128,'[1]Pricing Calculator'!$A$17:$G$187,7,FALSE),"")=TRUE,"P","")</f>
        <v/>
      </c>
    </row>
    <row r="129" spans="1:8" ht="17" hidden="1" outlineLevel="1" x14ac:dyDescent="0.2">
      <c r="A129" s="650">
        <v>120</v>
      </c>
      <c r="B129" s="657" t="str">
        <f>IFERROR(VLOOKUP($A129,'[1]Pricing Calculator'!$A$17:$G$187,2,FALSE),"")</f>
        <v/>
      </c>
      <c r="C129" s="652" t="s">
        <v>11</v>
      </c>
      <c r="D129" s="658" t="str">
        <f>IF(IFERROR(VLOOKUP($A129,'[1]Pricing Calculator'!$A$17:$G$187,5,FALSE),"")=TRUE,"P","")</f>
        <v/>
      </c>
      <c r="E129" s="654"/>
      <c r="F129" s="659" t="str">
        <f>IF(IFERROR(VLOOKUP($A129,'[1]Pricing Calculator'!$A$17:$G$187,6,FALSE),"")=TRUE,"P","")</f>
        <v/>
      </c>
      <c r="G129" s="654"/>
      <c r="H129" s="660" t="str">
        <f>IF(IFERROR(VLOOKUP($A129,'[1]Pricing Calculator'!$A$17:$G$187,7,FALSE),"")=TRUE,"P","")</f>
        <v/>
      </c>
    </row>
    <row r="130" spans="1:8" ht="17" hidden="1" outlineLevel="1" x14ac:dyDescent="0.2">
      <c r="A130" s="650">
        <v>121</v>
      </c>
      <c r="B130" s="657" t="str">
        <f>IFERROR(VLOOKUP($A130,'[1]Pricing Calculator'!$A$17:$G$187,2,FALSE),"")</f>
        <v/>
      </c>
      <c r="C130" s="652" t="s">
        <v>11</v>
      </c>
      <c r="D130" s="658" t="str">
        <f>IF(IFERROR(VLOOKUP($A130,'[1]Pricing Calculator'!$A$17:$G$187,5,FALSE),"")=TRUE,"P","")</f>
        <v/>
      </c>
      <c r="E130" s="654"/>
      <c r="F130" s="659" t="str">
        <f>IF(IFERROR(VLOOKUP($A130,'[1]Pricing Calculator'!$A$17:$G$187,6,FALSE),"")=TRUE,"P","")</f>
        <v/>
      </c>
      <c r="G130" s="654"/>
      <c r="H130" s="660" t="str">
        <f>IF(IFERROR(VLOOKUP($A130,'[1]Pricing Calculator'!$A$17:$G$187,7,FALSE),"")=TRUE,"P","")</f>
        <v/>
      </c>
    </row>
    <row r="131" spans="1:8" ht="17" hidden="1" outlineLevel="1" x14ac:dyDescent="0.2">
      <c r="A131" s="650">
        <v>122</v>
      </c>
      <c r="B131" s="657" t="str">
        <f>IFERROR(VLOOKUP($A131,'[1]Pricing Calculator'!$A$17:$G$187,2,FALSE),"")</f>
        <v/>
      </c>
      <c r="C131" s="652" t="s">
        <v>11</v>
      </c>
      <c r="D131" s="658" t="str">
        <f>IF(IFERROR(VLOOKUP($A131,'[1]Pricing Calculator'!$A$17:$G$187,5,FALSE),"")=TRUE,"P","")</f>
        <v/>
      </c>
      <c r="E131" s="654"/>
      <c r="F131" s="659" t="str">
        <f>IF(IFERROR(VLOOKUP($A131,'[1]Pricing Calculator'!$A$17:$G$187,6,FALSE),"")=TRUE,"P","")</f>
        <v/>
      </c>
      <c r="G131" s="654"/>
      <c r="H131" s="660" t="str">
        <f>IF(IFERROR(VLOOKUP($A131,'[1]Pricing Calculator'!$A$17:$G$187,7,FALSE),"")=TRUE,"P","")</f>
        <v/>
      </c>
    </row>
    <row r="132" spans="1:8" ht="17" hidden="1" outlineLevel="1" x14ac:dyDescent="0.2">
      <c r="A132" s="650">
        <v>123</v>
      </c>
      <c r="B132" s="657" t="str">
        <f>IFERROR(VLOOKUP($A132,'[1]Pricing Calculator'!$A$17:$G$187,2,FALSE),"")</f>
        <v/>
      </c>
      <c r="C132" s="652" t="s">
        <v>11</v>
      </c>
      <c r="D132" s="658" t="str">
        <f>IF(IFERROR(VLOOKUP($A132,'[1]Pricing Calculator'!$A$17:$G$187,5,FALSE),"")=TRUE,"P","")</f>
        <v/>
      </c>
      <c r="E132" s="654"/>
      <c r="F132" s="659" t="str">
        <f>IF(IFERROR(VLOOKUP($A132,'[1]Pricing Calculator'!$A$17:$G$187,6,FALSE),"")=TRUE,"P","")</f>
        <v/>
      </c>
      <c r="G132" s="654"/>
      <c r="H132" s="660" t="str">
        <f>IF(IFERROR(VLOOKUP($A132,'[1]Pricing Calculator'!$A$17:$G$187,7,FALSE),"")=TRUE,"P","")</f>
        <v/>
      </c>
    </row>
    <row r="133" spans="1:8" ht="17" hidden="1" outlineLevel="1" x14ac:dyDescent="0.2">
      <c r="A133" s="650">
        <v>124</v>
      </c>
      <c r="B133" s="657" t="str">
        <f>IFERROR(VLOOKUP($A133,'[1]Pricing Calculator'!$A$17:$G$187,2,FALSE),"")</f>
        <v/>
      </c>
      <c r="C133" s="652" t="s">
        <v>11</v>
      </c>
      <c r="D133" s="658" t="str">
        <f>IF(IFERROR(VLOOKUP($A133,'[1]Pricing Calculator'!$A$17:$G$187,5,FALSE),"")=TRUE,"P","")</f>
        <v/>
      </c>
      <c r="E133" s="654"/>
      <c r="F133" s="659" t="str">
        <f>IF(IFERROR(VLOOKUP($A133,'[1]Pricing Calculator'!$A$17:$G$187,6,FALSE),"")=TRUE,"P","")</f>
        <v/>
      </c>
      <c r="G133" s="654"/>
      <c r="H133" s="660" t="str">
        <f>IF(IFERROR(VLOOKUP($A133,'[1]Pricing Calculator'!$A$17:$G$187,7,FALSE),"")=TRUE,"P","")</f>
        <v/>
      </c>
    </row>
    <row r="134" spans="1:8" ht="17" hidden="1" outlineLevel="1" x14ac:dyDescent="0.2">
      <c r="A134" s="650">
        <v>125</v>
      </c>
      <c r="B134" s="657" t="str">
        <f>IFERROR(VLOOKUP($A134,'[1]Pricing Calculator'!$A$17:$G$187,2,FALSE),"")</f>
        <v/>
      </c>
      <c r="C134" s="652" t="s">
        <v>11</v>
      </c>
      <c r="D134" s="658" t="str">
        <f>IF(IFERROR(VLOOKUP($A134,'[1]Pricing Calculator'!$A$17:$G$187,5,FALSE),"")=TRUE,"P","")</f>
        <v/>
      </c>
      <c r="E134" s="654"/>
      <c r="F134" s="659" t="str">
        <f>IF(IFERROR(VLOOKUP($A134,'[1]Pricing Calculator'!$A$17:$G$187,6,FALSE),"")=TRUE,"P","")</f>
        <v/>
      </c>
      <c r="G134" s="654"/>
      <c r="H134" s="660" t="str">
        <f>IF(IFERROR(VLOOKUP($A134,'[1]Pricing Calculator'!$A$17:$G$187,7,FALSE),"")=TRUE,"P","")</f>
        <v/>
      </c>
    </row>
    <row r="135" spans="1:8" ht="17" hidden="1" outlineLevel="1" x14ac:dyDescent="0.2">
      <c r="A135" s="650">
        <v>126</v>
      </c>
      <c r="B135" s="657" t="str">
        <f>IFERROR(VLOOKUP($A135,'[1]Pricing Calculator'!$A$17:$G$187,2,FALSE),"")</f>
        <v/>
      </c>
      <c r="C135" s="652" t="s">
        <v>11</v>
      </c>
      <c r="D135" s="658" t="str">
        <f>IF(IFERROR(VLOOKUP($A135,'[1]Pricing Calculator'!$A$17:$G$187,5,FALSE),"")=TRUE,"P","")</f>
        <v/>
      </c>
      <c r="E135" s="654"/>
      <c r="F135" s="659" t="str">
        <f>IF(IFERROR(VLOOKUP($A135,'[1]Pricing Calculator'!$A$17:$G$187,6,FALSE),"")=TRUE,"P","")</f>
        <v/>
      </c>
      <c r="G135" s="654"/>
      <c r="H135" s="660" t="str">
        <f>IF(IFERROR(VLOOKUP($A135,'[1]Pricing Calculator'!$A$17:$G$187,7,FALSE),"")=TRUE,"P","")</f>
        <v/>
      </c>
    </row>
    <row r="136" spans="1:8" ht="17" hidden="1" outlineLevel="1" x14ac:dyDescent="0.2">
      <c r="A136" s="650">
        <v>127</v>
      </c>
      <c r="B136" s="657" t="str">
        <f>IFERROR(VLOOKUP($A136,'[1]Pricing Calculator'!$A$17:$G$187,2,FALSE),"")</f>
        <v/>
      </c>
      <c r="C136" s="652" t="s">
        <v>11</v>
      </c>
      <c r="D136" s="658" t="str">
        <f>IF(IFERROR(VLOOKUP($A136,'[1]Pricing Calculator'!$A$17:$G$187,5,FALSE),"")=TRUE,"P","")</f>
        <v/>
      </c>
      <c r="E136" s="654"/>
      <c r="F136" s="659" t="str">
        <f>IF(IFERROR(VLOOKUP($A136,'[1]Pricing Calculator'!$A$17:$G$187,6,FALSE),"")=TRUE,"P","")</f>
        <v/>
      </c>
      <c r="G136" s="654"/>
      <c r="H136" s="660" t="str">
        <f>IF(IFERROR(VLOOKUP($A136,'[1]Pricing Calculator'!$A$17:$G$187,7,FALSE),"")=TRUE,"P","")</f>
        <v/>
      </c>
    </row>
    <row r="137" spans="1:8" ht="17" hidden="1" outlineLevel="1" x14ac:dyDescent="0.2">
      <c r="A137" s="650">
        <v>128</v>
      </c>
      <c r="B137" s="657" t="str">
        <f>IFERROR(VLOOKUP($A137,'[1]Pricing Calculator'!$A$17:$G$187,2,FALSE),"")</f>
        <v/>
      </c>
      <c r="C137" s="652" t="s">
        <v>11</v>
      </c>
      <c r="D137" s="658" t="str">
        <f>IF(IFERROR(VLOOKUP($A137,'[1]Pricing Calculator'!$A$17:$G$187,5,FALSE),"")=TRUE,"P","")</f>
        <v/>
      </c>
      <c r="E137" s="654"/>
      <c r="F137" s="659" t="str">
        <f>IF(IFERROR(VLOOKUP($A137,'[1]Pricing Calculator'!$A$17:$G$187,6,FALSE),"")=TRUE,"P","")</f>
        <v/>
      </c>
      <c r="G137" s="654"/>
      <c r="H137" s="660" t="str">
        <f>IF(IFERROR(VLOOKUP($A137,'[1]Pricing Calculator'!$A$17:$G$187,7,FALSE),"")=TRUE,"P","")</f>
        <v/>
      </c>
    </row>
    <row r="138" spans="1:8" ht="17" hidden="1" outlineLevel="1" x14ac:dyDescent="0.2">
      <c r="A138" s="650">
        <v>129</v>
      </c>
      <c r="B138" s="657" t="str">
        <f>IFERROR(VLOOKUP($A138,'[1]Pricing Calculator'!$A$17:$G$187,2,FALSE),"")</f>
        <v/>
      </c>
      <c r="C138" s="652" t="s">
        <v>11</v>
      </c>
      <c r="D138" s="658" t="str">
        <f>IF(IFERROR(VLOOKUP($A138,'[1]Pricing Calculator'!$A$17:$G$187,5,FALSE),"")=TRUE,"P","")</f>
        <v/>
      </c>
      <c r="E138" s="654"/>
      <c r="F138" s="659" t="str">
        <f>IF(IFERROR(VLOOKUP($A138,'[1]Pricing Calculator'!$A$17:$G$187,6,FALSE),"")=TRUE,"P","")</f>
        <v/>
      </c>
      <c r="G138" s="654"/>
      <c r="H138" s="660" t="str">
        <f>IF(IFERROR(VLOOKUP($A138,'[1]Pricing Calculator'!$A$17:$G$187,7,FALSE),"")=TRUE,"P","")</f>
        <v/>
      </c>
    </row>
    <row r="139" spans="1:8" ht="17" hidden="1" outlineLevel="1" x14ac:dyDescent="0.2">
      <c r="A139" s="650">
        <v>130</v>
      </c>
      <c r="B139" s="657" t="str">
        <f>IFERROR(VLOOKUP($A139,'[1]Pricing Calculator'!$A$17:$G$187,2,FALSE),"")</f>
        <v/>
      </c>
      <c r="C139" s="652" t="s">
        <v>11</v>
      </c>
      <c r="D139" s="658" t="str">
        <f>IF(IFERROR(VLOOKUP($A139,'[1]Pricing Calculator'!$A$17:$G$187,5,FALSE),"")=TRUE,"P","")</f>
        <v/>
      </c>
      <c r="E139" s="654"/>
      <c r="F139" s="659" t="str">
        <f>IF(IFERROR(VLOOKUP($A139,'[1]Pricing Calculator'!$A$17:$G$187,6,FALSE),"")=TRUE,"P","")</f>
        <v/>
      </c>
      <c r="G139" s="654"/>
      <c r="H139" s="660" t="str">
        <f>IF(IFERROR(VLOOKUP($A139,'[1]Pricing Calculator'!$A$17:$G$187,7,FALSE),"")=TRUE,"P","")</f>
        <v/>
      </c>
    </row>
    <row r="140" spans="1:8" ht="17" hidden="1" outlineLevel="1" x14ac:dyDescent="0.2">
      <c r="A140" s="650">
        <v>131</v>
      </c>
      <c r="B140" s="657" t="str">
        <f>IFERROR(VLOOKUP($A140,'[1]Pricing Calculator'!$A$17:$G$187,2,FALSE),"")</f>
        <v/>
      </c>
      <c r="C140" s="652" t="s">
        <v>11</v>
      </c>
      <c r="D140" s="658" t="str">
        <f>IF(IFERROR(VLOOKUP($A140,'[1]Pricing Calculator'!$A$17:$G$187,5,FALSE),"")=TRUE,"P","")</f>
        <v/>
      </c>
      <c r="E140" s="654"/>
      <c r="F140" s="659" t="str">
        <f>IF(IFERROR(VLOOKUP($A140,'[1]Pricing Calculator'!$A$17:$G$187,6,FALSE),"")=TRUE,"P","")</f>
        <v/>
      </c>
      <c r="G140" s="654"/>
      <c r="H140" s="660" t="str">
        <f>IF(IFERROR(VLOOKUP($A140,'[1]Pricing Calculator'!$A$17:$G$187,7,FALSE),"")=TRUE,"P","")</f>
        <v/>
      </c>
    </row>
    <row r="141" spans="1:8" ht="17" hidden="1" outlineLevel="1" x14ac:dyDescent="0.2">
      <c r="A141" s="650">
        <v>132</v>
      </c>
      <c r="B141" s="657" t="str">
        <f>IFERROR(VLOOKUP($A141,'[1]Pricing Calculator'!$A$17:$G$187,2,FALSE),"")</f>
        <v/>
      </c>
      <c r="C141" s="652" t="s">
        <v>11</v>
      </c>
      <c r="D141" s="658" t="str">
        <f>IF(IFERROR(VLOOKUP($A141,'[1]Pricing Calculator'!$A$17:$G$187,5,FALSE),"")=TRUE,"P","")</f>
        <v/>
      </c>
      <c r="E141" s="654"/>
      <c r="F141" s="659" t="str">
        <f>IF(IFERROR(VLOOKUP($A141,'[1]Pricing Calculator'!$A$17:$G$187,6,FALSE),"")=TRUE,"P","")</f>
        <v/>
      </c>
      <c r="G141" s="654"/>
      <c r="H141" s="660" t="str">
        <f>IF(IFERROR(VLOOKUP($A141,'[1]Pricing Calculator'!$A$17:$G$187,7,FALSE),"")=TRUE,"P","")</f>
        <v/>
      </c>
    </row>
    <row r="142" spans="1:8" ht="17" hidden="1" outlineLevel="1" x14ac:dyDescent="0.2">
      <c r="A142" s="650">
        <v>133</v>
      </c>
      <c r="B142" s="657" t="str">
        <f>IFERROR(VLOOKUP($A142,'[1]Pricing Calculator'!$A$17:$G$187,2,FALSE),"")</f>
        <v/>
      </c>
      <c r="C142" s="652" t="s">
        <v>11</v>
      </c>
      <c r="D142" s="658" t="str">
        <f>IF(IFERROR(VLOOKUP($A142,'[1]Pricing Calculator'!$A$17:$G$187,5,FALSE),"")=TRUE,"P","")</f>
        <v/>
      </c>
      <c r="E142" s="654"/>
      <c r="F142" s="659" t="str">
        <f>IF(IFERROR(VLOOKUP($A142,'[1]Pricing Calculator'!$A$17:$G$187,6,FALSE),"")=TRUE,"P","")</f>
        <v/>
      </c>
      <c r="G142" s="654"/>
      <c r="H142" s="660" t="str">
        <f>IF(IFERROR(VLOOKUP($A142,'[1]Pricing Calculator'!$A$17:$G$187,7,FALSE),"")=TRUE,"P","")</f>
        <v/>
      </c>
    </row>
    <row r="143" spans="1:8" ht="17" hidden="1" outlineLevel="1" x14ac:dyDescent="0.2">
      <c r="A143" s="650">
        <v>134</v>
      </c>
      <c r="B143" s="657" t="str">
        <f>IFERROR(VLOOKUP($A143,'[1]Pricing Calculator'!$A$17:$G$187,2,FALSE),"")</f>
        <v/>
      </c>
      <c r="C143" s="652" t="s">
        <v>11</v>
      </c>
      <c r="D143" s="658" t="str">
        <f>IF(IFERROR(VLOOKUP($A143,'[1]Pricing Calculator'!$A$17:$G$187,5,FALSE),"")=TRUE,"P","")</f>
        <v/>
      </c>
      <c r="E143" s="654"/>
      <c r="F143" s="659" t="str">
        <f>IF(IFERROR(VLOOKUP($A143,'[1]Pricing Calculator'!$A$17:$G$187,6,FALSE),"")=TRUE,"P","")</f>
        <v/>
      </c>
      <c r="G143" s="654"/>
      <c r="H143" s="660" t="str">
        <f>IF(IFERROR(VLOOKUP($A143,'[1]Pricing Calculator'!$A$17:$G$187,7,FALSE),"")=TRUE,"P","")</f>
        <v/>
      </c>
    </row>
    <row r="144" spans="1:8" ht="17" hidden="1" outlineLevel="1" x14ac:dyDescent="0.2">
      <c r="A144" s="650">
        <v>135</v>
      </c>
      <c r="B144" s="657" t="str">
        <f>IFERROR(VLOOKUP($A144,'[1]Pricing Calculator'!$A$17:$G$187,2,FALSE),"")</f>
        <v/>
      </c>
      <c r="C144" s="652" t="s">
        <v>11</v>
      </c>
      <c r="D144" s="658" t="str">
        <f>IF(IFERROR(VLOOKUP($A144,'[1]Pricing Calculator'!$A$17:$G$187,5,FALSE),"")=TRUE,"P","")</f>
        <v/>
      </c>
      <c r="E144" s="654"/>
      <c r="F144" s="659" t="str">
        <f>IF(IFERROR(VLOOKUP($A144,'[1]Pricing Calculator'!$A$17:$G$187,6,FALSE),"")=TRUE,"P","")</f>
        <v/>
      </c>
      <c r="G144" s="654"/>
      <c r="H144" s="660" t="str">
        <f>IF(IFERROR(VLOOKUP($A144,'[1]Pricing Calculator'!$A$17:$G$187,7,FALSE),"")=TRUE,"P","")</f>
        <v/>
      </c>
    </row>
    <row r="145" spans="1:8" ht="17" hidden="1" outlineLevel="1" x14ac:dyDescent="0.2">
      <c r="A145" s="650">
        <v>136</v>
      </c>
      <c r="B145" s="657" t="str">
        <f>IFERROR(VLOOKUP($A145,'[1]Pricing Calculator'!$A$17:$G$187,2,FALSE),"")</f>
        <v/>
      </c>
      <c r="C145" s="652" t="s">
        <v>11</v>
      </c>
      <c r="D145" s="658" t="str">
        <f>IF(IFERROR(VLOOKUP($A145,'[1]Pricing Calculator'!$A$17:$G$187,5,FALSE),"")=TRUE,"P","")</f>
        <v/>
      </c>
      <c r="E145" s="654"/>
      <c r="F145" s="659" t="str">
        <f>IF(IFERROR(VLOOKUP($A145,'[1]Pricing Calculator'!$A$17:$G$187,6,FALSE),"")=TRUE,"P","")</f>
        <v/>
      </c>
      <c r="G145" s="654"/>
      <c r="H145" s="660" t="str">
        <f>IF(IFERROR(VLOOKUP($A145,'[1]Pricing Calculator'!$A$17:$G$187,7,FALSE),"")=TRUE,"P","")</f>
        <v/>
      </c>
    </row>
    <row r="146" spans="1:8" ht="17" hidden="1" outlineLevel="1" x14ac:dyDescent="0.2">
      <c r="A146" s="650">
        <v>137</v>
      </c>
      <c r="B146" s="657" t="str">
        <f>IFERROR(VLOOKUP($A146,'[1]Pricing Calculator'!$A$17:$G$187,2,FALSE),"")</f>
        <v/>
      </c>
      <c r="C146" s="652" t="s">
        <v>11</v>
      </c>
      <c r="D146" s="658" t="str">
        <f>IF(IFERROR(VLOOKUP($A146,'[1]Pricing Calculator'!$A$17:$G$187,5,FALSE),"")=TRUE,"P","")</f>
        <v/>
      </c>
      <c r="E146" s="654"/>
      <c r="F146" s="659" t="str">
        <f>IF(IFERROR(VLOOKUP($A146,'[1]Pricing Calculator'!$A$17:$G$187,6,FALSE),"")=TRUE,"P","")</f>
        <v/>
      </c>
      <c r="G146" s="654"/>
      <c r="H146" s="660" t="str">
        <f>IF(IFERROR(VLOOKUP($A146,'[1]Pricing Calculator'!$A$17:$G$187,7,FALSE),"")=TRUE,"P","")</f>
        <v/>
      </c>
    </row>
    <row r="147" spans="1:8" ht="17" hidden="1" outlineLevel="1" x14ac:dyDescent="0.2">
      <c r="A147" s="650">
        <v>138</v>
      </c>
      <c r="B147" s="657" t="str">
        <f>IFERROR(VLOOKUP($A147,'[1]Pricing Calculator'!$A$17:$G$187,2,FALSE),"")</f>
        <v/>
      </c>
      <c r="C147" s="652" t="s">
        <v>11</v>
      </c>
      <c r="D147" s="658" t="str">
        <f>IF(IFERROR(VLOOKUP($A147,'[1]Pricing Calculator'!$A$17:$G$187,5,FALSE),"")=TRUE,"P","")</f>
        <v/>
      </c>
      <c r="E147" s="654"/>
      <c r="F147" s="659" t="str">
        <f>IF(IFERROR(VLOOKUP($A147,'[1]Pricing Calculator'!$A$17:$G$187,6,FALSE),"")=TRUE,"P","")</f>
        <v/>
      </c>
      <c r="G147" s="654"/>
      <c r="H147" s="660" t="str">
        <f>IF(IFERROR(VLOOKUP($A147,'[1]Pricing Calculator'!$A$17:$G$187,7,FALSE),"")=TRUE,"P","")</f>
        <v/>
      </c>
    </row>
    <row r="148" spans="1:8" ht="17" hidden="1" outlineLevel="1" x14ac:dyDescent="0.2">
      <c r="A148" s="650">
        <v>139</v>
      </c>
      <c r="B148" s="657" t="str">
        <f>IFERROR(VLOOKUP($A148,'[1]Pricing Calculator'!$A$17:$G$187,2,FALSE),"")</f>
        <v/>
      </c>
      <c r="C148" s="652" t="s">
        <v>11</v>
      </c>
      <c r="D148" s="658" t="str">
        <f>IF(IFERROR(VLOOKUP($A148,'[1]Pricing Calculator'!$A$17:$G$187,5,FALSE),"")=TRUE,"P","")</f>
        <v/>
      </c>
      <c r="E148" s="654"/>
      <c r="F148" s="659" t="str">
        <f>IF(IFERROR(VLOOKUP($A148,'[1]Pricing Calculator'!$A$17:$G$187,6,FALSE),"")=TRUE,"P","")</f>
        <v/>
      </c>
      <c r="G148" s="654"/>
      <c r="H148" s="660" t="str">
        <f>IF(IFERROR(VLOOKUP($A148,'[1]Pricing Calculator'!$A$17:$G$187,7,FALSE),"")=TRUE,"P","")</f>
        <v/>
      </c>
    </row>
    <row r="149" spans="1:8" ht="17" hidden="1" outlineLevel="1" x14ac:dyDescent="0.2">
      <c r="A149" s="650">
        <v>140</v>
      </c>
      <c r="B149" s="657" t="str">
        <f>IFERROR(VLOOKUP($A149,'[1]Pricing Calculator'!$A$17:$G$187,2,FALSE),"")</f>
        <v/>
      </c>
      <c r="C149" s="652" t="s">
        <v>11</v>
      </c>
      <c r="D149" s="658" t="str">
        <f>IF(IFERROR(VLOOKUP($A149,'[1]Pricing Calculator'!$A$17:$G$187,5,FALSE),"")=TRUE,"P","")</f>
        <v/>
      </c>
      <c r="E149" s="654"/>
      <c r="F149" s="659" t="str">
        <f>IF(IFERROR(VLOOKUP($A149,'[1]Pricing Calculator'!$A$17:$G$187,6,FALSE),"")=TRUE,"P","")</f>
        <v/>
      </c>
      <c r="G149" s="654"/>
      <c r="H149" s="660" t="str">
        <f>IF(IFERROR(VLOOKUP($A149,'[1]Pricing Calculator'!$A$17:$G$187,7,FALSE),"")=TRUE,"P","")</f>
        <v/>
      </c>
    </row>
    <row r="150" spans="1:8" ht="17" hidden="1" outlineLevel="1" x14ac:dyDescent="0.2">
      <c r="A150" s="650">
        <v>141</v>
      </c>
      <c r="B150" s="657" t="str">
        <f>IFERROR(VLOOKUP($A150,'[1]Pricing Calculator'!$A$17:$G$187,2,FALSE),"")</f>
        <v/>
      </c>
      <c r="C150" s="652" t="s">
        <v>11</v>
      </c>
      <c r="D150" s="658" t="str">
        <f>IF(IFERROR(VLOOKUP($A150,'[1]Pricing Calculator'!$A$17:$G$187,5,FALSE),"")=TRUE,"P","")</f>
        <v/>
      </c>
      <c r="E150" s="654"/>
      <c r="F150" s="659" t="str">
        <f>IF(IFERROR(VLOOKUP($A150,'[1]Pricing Calculator'!$A$17:$G$187,6,FALSE),"")=TRUE,"P","")</f>
        <v/>
      </c>
      <c r="G150" s="654"/>
      <c r="H150" s="660" t="str">
        <f>IF(IFERROR(VLOOKUP($A150,'[1]Pricing Calculator'!$A$17:$G$187,7,FALSE),"")=TRUE,"P","")</f>
        <v/>
      </c>
    </row>
    <row r="151" spans="1:8" ht="17" hidden="1" outlineLevel="1" x14ac:dyDescent="0.2">
      <c r="A151" s="650">
        <v>142</v>
      </c>
      <c r="B151" s="657" t="str">
        <f>IFERROR(VLOOKUP($A151,'[1]Pricing Calculator'!$A$17:$G$187,2,FALSE),"")</f>
        <v/>
      </c>
      <c r="C151" s="652" t="s">
        <v>11</v>
      </c>
      <c r="D151" s="658" t="str">
        <f>IF(IFERROR(VLOOKUP($A151,'[1]Pricing Calculator'!$A$17:$G$187,5,FALSE),"")=TRUE,"P","")</f>
        <v/>
      </c>
      <c r="E151" s="654"/>
      <c r="F151" s="659" t="str">
        <f>IF(IFERROR(VLOOKUP($A151,'[1]Pricing Calculator'!$A$17:$G$187,6,FALSE),"")=TRUE,"P","")</f>
        <v/>
      </c>
      <c r="G151" s="654"/>
      <c r="H151" s="660" t="str">
        <f>IF(IFERROR(VLOOKUP($A151,'[1]Pricing Calculator'!$A$17:$G$187,7,FALSE),"")=TRUE,"P","")</f>
        <v/>
      </c>
    </row>
    <row r="152" spans="1:8" ht="17" hidden="1" outlineLevel="1" x14ac:dyDescent="0.2">
      <c r="A152" s="650">
        <v>143</v>
      </c>
      <c r="B152" s="657" t="str">
        <f>IFERROR(VLOOKUP($A152,'[1]Pricing Calculator'!$A$17:$G$187,2,FALSE),"")</f>
        <v/>
      </c>
      <c r="C152" s="652" t="s">
        <v>11</v>
      </c>
      <c r="D152" s="658" t="str">
        <f>IF(IFERROR(VLOOKUP($A152,'[1]Pricing Calculator'!$A$17:$G$187,5,FALSE),"")=TRUE,"P","")</f>
        <v/>
      </c>
      <c r="E152" s="654"/>
      <c r="F152" s="659" t="str">
        <f>IF(IFERROR(VLOOKUP($A152,'[1]Pricing Calculator'!$A$17:$G$187,6,FALSE),"")=TRUE,"P","")</f>
        <v/>
      </c>
      <c r="G152" s="654"/>
      <c r="H152" s="660" t="str">
        <f>IF(IFERROR(VLOOKUP($A152,'[1]Pricing Calculator'!$A$17:$G$187,7,FALSE),"")=TRUE,"P","")</f>
        <v/>
      </c>
    </row>
    <row r="153" spans="1:8" ht="17" hidden="1" outlineLevel="1" x14ac:dyDescent="0.2">
      <c r="A153" s="650">
        <v>144</v>
      </c>
      <c r="B153" s="657" t="str">
        <f>IFERROR(VLOOKUP($A153,'[1]Pricing Calculator'!$A$17:$G$187,2,FALSE),"")</f>
        <v/>
      </c>
      <c r="C153" s="652" t="s">
        <v>11</v>
      </c>
      <c r="D153" s="658" t="str">
        <f>IF(IFERROR(VLOOKUP($A153,'[1]Pricing Calculator'!$A$17:$G$187,5,FALSE),"")=TRUE,"P","")</f>
        <v/>
      </c>
      <c r="E153" s="654"/>
      <c r="F153" s="659" t="str">
        <f>IF(IFERROR(VLOOKUP($A153,'[1]Pricing Calculator'!$A$17:$G$187,6,FALSE),"")=TRUE,"P","")</f>
        <v/>
      </c>
      <c r="G153" s="654"/>
      <c r="H153" s="660" t="str">
        <f>IF(IFERROR(VLOOKUP($A153,'[1]Pricing Calculator'!$A$17:$G$187,7,FALSE),"")=TRUE,"P","")</f>
        <v/>
      </c>
    </row>
    <row r="154" spans="1:8" ht="17" hidden="1" outlineLevel="1" x14ac:dyDescent="0.2">
      <c r="A154" s="650">
        <v>145</v>
      </c>
      <c r="B154" s="657" t="str">
        <f>IFERROR(VLOOKUP($A154,'[1]Pricing Calculator'!$A$17:$G$187,2,FALSE),"")</f>
        <v/>
      </c>
      <c r="C154" s="652" t="s">
        <v>11</v>
      </c>
      <c r="D154" s="658" t="str">
        <f>IF(IFERROR(VLOOKUP($A154,'[1]Pricing Calculator'!$A$17:$G$187,5,FALSE),"")=TRUE,"P","")</f>
        <v/>
      </c>
      <c r="E154" s="654"/>
      <c r="F154" s="659" t="str">
        <f>IF(IFERROR(VLOOKUP($A154,'[1]Pricing Calculator'!$A$17:$G$187,6,FALSE),"")=TRUE,"P","")</f>
        <v/>
      </c>
      <c r="G154" s="654"/>
      <c r="H154" s="660" t="str">
        <f>IF(IFERROR(VLOOKUP($A154,'[1]Pricing Calculator'!$A$17:$G$187,7,FALSE),"")=TRUE,"P","")</f>
        <v/>
      </c>
    </row>
    <row r="155" spans="1:8" ht="17" hidden="1" outlineLevel="1" x14ac:dyDescent="0.2">
      <c r="A155" s="650">
        <v>146</v>
      </c>
      <c r="B155" s="657" t="str">
        <f>IFERROR(VLOOKUP($A155,'[1]Pricing Calculator'!$A$17:$G$187,2,FALSE),"")</f>
        <v/>
      </c>
      <c r="C155" s="652" t="s">
        <v>11</v>
      </c>
      <c r="D155" s="658" t="str">
        <f>IF(IFERROR(VLOOKUP($A155,'[1]Pricing Calculator'!$A$17:$G$187,5,FALSE),"")=TRUE,"P","")</f>
        <v/>
      </c>
      <c r="E155" s="654"/>
      <c r="F155" s="659" t="str">
        <f>IF(IFERROR(VLOOKUP($A155,'[1]Pricing Calculator'!$A$17:$G$187,6,FALSE),"")=TRUE,"P","")</f>
        <v/>
      </c>
      <c r="G155" s="654"/>
      <c r="H155" s="660" t="str">
        <f>IF(IFERROR(VLOOKUP($A155,'[1]Pricing Calculator'!$A$17:$G$187,7,FALSE),"")=TRUE,"P","")</f>
        <v/>
      </c>
    </row>
    <row r="156" spans="1:8" ht="17" hidden="1" outlineLevel="1" x14ac:dyDescent="0.2">
      <c r="A156" s="650">
        <v>147</v>
      </c>
      <c r="B156" s="657" t="str">
        <f>IFERROR(VLOOKUP($A156,'[1]Pricing Calculator'!$A$17:$G$187,2,FALSE),"")</f>
        <v/>
      </c>
      <c r="C156" s="652" t="s">
        <v>11</v>
      </c>
      <c r="D156" s="658" t="str">
        <f>IF(IFERROR(VLOOKUP($A156,'[1]Pricing Calculator'!$A$17:$G$187,5,FALSE),"")=TRUE,"P","")</f>
        <v/>
      </c>
      <c r="E156" s="654"/>
      <c r="F156" s="659" t="str">
        <f>IF(IFERROR(VLOOKUP($A156,'[1]Pricing Calculator'!$A$17:$G$187,6,FALSE),"")=TRUE,"P","")</f>
        <v/>
      </c>
      <c r="G156" s="654"/>
      <c r="H156" s="660" t="str">
        <f>IF(IFERROR(VLOOKUP($A156,'[1]Pricing Calculator'!$A$17:$G$187,7,FALSE),"")=TRUE,"P","")</f>
        <v/>
      </c>
    </row>
    <row r="157" spans="1:8" ht="17" hidden="1" outlineLevel="1" x14ac:dyDescent="0.2">
      <c r="A157" s="650">
        <v>148</v>
      </c>
      <c r="B157" s="657" t="str">
        <f>IFERROR(VLOOKUP($A157,'[1]Pricing Calculator'!$A$17:$G$187,2,FALSE),"")</f>
        <v/>
      </c>
      <c r="C157" s="652" t="s">
        <v>11</v>
      </c>
      <c r="D157" s="658" t="str">
        <f>IF(IFERROR(VLOOKUP($A157,'[1]Pricing Calculator'!$A$17:$G$187,5,FALSE),"")=TRUE,"P","")</f>
        <v/>
      </c>
      <c r="E157" s="654"/>
      <c r="F157" s="659" t="str">
        <f>IF(IFERROR(VLOOKUP($A157,'[1]Pricing Calculator'!$A$17:$G$187,6,FALSE),"")=TRUE,"P","")</f>
        <v/>
      </c>
      <c r="G157" s="654"/>
      <c r="H157" s="660" t="str">
        <f>IF(IFERROR(VLOOKUP($A157,'[1]Pricing Calculator'!$A$17:$G$187,7,FALSE),"")=TRUE,"P","")</f>
        <v/>
      </c>
    </row>
    <row r="158" spans="1:8" ht="17" hidden="1" outlineLevel="1" x14ac:dyDescent="0.2">
      <c r="A158" s="650">
        <v>149</v>
      </c>
      <c r="B158" s="657" t="str">
        <f>IFERROR(VLOOKUP($A158,'[1]Pricing Calculator'!$A$17:$G$187,2,FALSE),"")</f>
        <v/>
      </c>
      <c r="C158" s="652" t="s">
        <v>11</v>
      </c>
      <c r="D158" s="658" t="str">
        <f>IF(IFERROR(VLOOKUP($A158,'[1]Pricing Calculator'!$A$17:$G$187,5,FALSE),"")=TRUE,"P","")</f>
        <v/>
      </c>
      <c r="E158" s="654"/>
      <c r="F158" s="659" t="str">
        <f>IF(IFERROR(VLOOKUP($A158,'[1]Pricing Calculator'!$A$17:$G$187,6,FALSE),"")=TRUE,"P","")</f>
        <v/>
      </c>
      <c r="G158" s="654"/>
      <c r="H158" s="660" t="str">
        <f>IF(IFERROR(VLOOKUP($A158,'[1]Pricing Calculator'!$A$17:$G$187,7,FALSE),"")=TRUE,"P","")</f>
        <v/>
      </c>
    </row>
    <row r="159" spans="1:8" ht="17" hidden="1" outlineLevel="1" x14ac:dyDescent="0.2">
      <c r="A159" s="650">
        <v>150</v>
      </c>
      <c r="B159" s="657" t="str">
        <f>IFERROR(VLOOKUP($A159,'[1]Pricing Calculator'!$A$17:$G$187,2,FALSE),"")</f>
        <v/>
      </c>
      <c r="C159" s="652" t="s">
        <v>11</v>
      </c>
      <c r="D159" s="658" t="str">
        <f>IF(IFERROR(VLOOKUP($A159,'[1]Pricing Calculator'!$A$17:$G$187,5,FALSE),"")=TRUE,"P","")</f>
        <v/>
      </c>
      <c r="E159" s="654"/>
      <c r="F159" s="659" t="str">
        <f>IF(IFERROR(VLOOKUP($A159,'[1]Pricing Calculator'!$A$17:$G$187,6,FALSE),"")=TRUE,"P","")</f>
        <v/>
      </c>
      <c r="G159" s="654"/>
      <c r="H159" s="660" t="str">
        <f>IF(IFERROR(VLOOKUP($A159,'[1]Pricing Calculator'!$A$17:$G$187,7,FALSE),"")=TRUE,"P","")</f>
        <v/>
      </c>
    </row>
    <row r="160" spans="1:8" ht="17" hidden="1" outlineLevel="1" x14ac:dyDescent="0.2">
      <c r="A160" s="650">
        <v>151</v>
      </c>
      <c r="B160" s="657" t="str">
        <f>IFERROR(VLOOKUP($A160,'[1]Pricing Calculator'!$A$17:$G$187,2,FALSE),"")</f>
        <v/>
      </c>
      <c r="C160" s="652" t="s">
        <v>11</v>
      </c>
      <c r="D160" s="658" t="str">
        <f>IF(IFERROR(VLOOKUP($A160,'[1]Pricing Calculator'!$A$17:$G$187,5,FALSE),"")=TRUE,"P","")</f>
        <v/>
      </c>
      <c r="E160" s="654"/>
      <c r="F160" s="659" t="str">
        <f>IF(IFERROR(VLOOKUP($A160,'[1]Pricing Calculator'!$A$17:$G$187,6,FALSE),"")=TRUE,"P","")</f>
        <v/>
      </c>
      <c r="G160" s="654"/>
      <c r="H160" s="660" t="str">
        <f>IF(IFERROR(VLOOKUP($A160,'[1]Pricing Calculator'!$A$17:$G$187,7,FALSE),"")=TRUE,"P","")</f>
        <v/>
      </c>
    </row>
    <row r="161" spans="1:8" ht="17" hidden="1" outlineLevel="1" x14ac:dyDescent="0.2">
      <c r="A161" s="650">
        <v>152</v>
      </c>
      <c r="B161" s="657" t="str">
        <f>IFERROR(VLOOKUP($A161,'[1]Pricing Calculator'!$A$17:$G$187,2,FALSE),"")</f>
        <v/>
      </c>
      <c r="C161" s="652" t="s">
        <v>11</v>
      </c>
      <c r="D161" s="658" t="str">
        <f>IF(IFERROR(VLOOKUP($A161,'[1]Pricing Calculator'!$A$17:$G$187,5,FALSE),"")=TRUE,"P","")</f>
        <v/>
      </c>
      <c r="E161" s="654"/>
      <c r="F161" s="659" t="str">
        <f>IF(IFERROR(VLOOKUP($A161,'[1]Pricing Calculator'!$A$17:$G$187,6,FALSE),"")=TRUE,"P","")</f>
        <v/>
      </c>
      <c r="G161" s="654"/>
      <c r="H161" s="660" t="str">
        <f>IF(IFERROR(VLOOKUP($A161,'[1]Pricing Calculator'!$A$17:$G$187,7,FALSE),"")=TRUE,"P","")</f>
        <v/>
      </c>
    </row>
    <row r="162" spans="1:8" ht="17" hidden="1" outlineLevel="1" x14ac:dyDescent="0.2">
      <c r="A162" s="650">
        <v>153</v>
      </c>
      <c r="B162" s="657" t="str">
        <f>IFERROR(VLOOKUP($A162,'[1]Pricing Calculator'!$A$17:$G$187,2,FALSE),"")</f>
        <v/>
      </c>
      <c r="C162" s="652" t="s">
        <v>11</v>
      </c>
      <c r="D162" s="658" t="str">
        <f>IF(IFERROR(VLOOKUP($A162,'[1]Pricing Calculator'!$A$17:$G$187,5,FALSE),"")=TRUE,"P","")</f>
        <v/>
      </c>
      <c r="E162" s="654"/>
      <c r="F162" s="659" t="str">
        <f>IF(IFERROR(VLOOKUP($A162,'[1]Pricing Calculator'!$A$17:$G$187,6,FALSE),"")=TRUE,"P","")</f>
        <v/>
      </c>
      <c r="G162" s="654"/>
      <c r="H162" s="660" t="str">
        <f>IF(IFERROR(VLOOKUP($A162,'[1]Pricing Calculator'!$A$17:$G$187,7,FALSE),"")=TRUE,"P","")</f>
        <v/>
      </c>
    </row>
    <row r="163" spans="1:8" ht="17" hidden="1" outlineLevel="1" x14ac:dyDescent="0.2">
      <c r="A163" s="650">
        <v>154</v>
      </c>
      <c r="B163" s="657" t="str">
        <f>IFERROR(VLOOKUP($A163,'[1]Pricing Calculator'!$A$17:$G$187,2,FALSE),"")</f>
        <v/>
      </c>
      <c r="C163" s="652" t="s">
        <v>11</v>
      </c>
      <c r="D163" s="658" t="str">
        <f>IF(IFERROR(VLOOKUP($A163,'[1]Pricing Calculator'!$A$17:$G$187,5,FALSE),"")=TRUE,"P","")</f>
        <v/>
      </c>
      <c r="E163" s="654"/>
      <c r="F163" s="659" t="str">
        <f>IF(IFERROR(VLOOKUP($A163,'[1]Pricing Calculator'!$A$17:$G$187,6,FALSE),"")=TRUE,"P","")</f>
        <v/>
      </c>
      <c r="G163" s="654"/>
      <c r="H163" s="660" t="str">
        <f>IF(IFERROR(VLOOKUP($A163,'[1]Pricing Calculator'!$A$17:$G$187,7,FALSE),"")=TRUE,"P","")</f>
        <v/>
      </c>
    </row>
    <row r="164" spans="1:8" ht="17" hidden="1" outlineLevel="1" x14ac:dyDescent="0.2">
      <c r="A164" s="650">
        <v>155</v>
      </c>
      <c r="B164" s="657" t="str">
        <f>IFERROR(VLOOKUP($A164,'[1]Pricing Calculator'!$A$17:$G$187,2,FALSE),"")</f>
        <v/>
      </c>
      <c r="C164" s="652" t="s">
        <v>11</v>
      </c>
      <c r="D164" s="658" t="str">
        <f>IF(IFERROR(VLOOKUP($A164,'[1]Pricing Calculator'!$A$17:$G$187,5,FALSE),"")=TRUE,"P","")</f>
        <v/>
      </c>
      <c r="E164" s="654"/>
      <c r="F164" s="659" t="str">
        <f>IF(IFERROR(VLOOKUP($A164,'[1]Pricing Calculator'!$A$17:$G$187,6,FALSE),"")=TRUE,"P","")</f>
        <v/>
      </c>
      <c r="G164" s="654"/>
      <c r="H164" s="660" t="str">
        <f>IF(IFERROR(VLOOKUP($A164,'[1]Pricing Calculator'!$A$17:$G$187,7,FALSE),"")=TRUE,"P","")</f>
        <v/>
      </c>
    </row>
    <row r="165" spans="1:8" ht="17" hidden="1" outlineLevel="1" x14ac:dyDescent="0.2">
      <c r="A165" s="650">
        <v>156</v>
      </c>
      <c r="B165" s="657" t="str">
        <f>IFERROR(VLOOKUP($A165,'[1]Pricing Calculator'!$A$17:$G$187,2,FALSE),"")</f>
        <v/>
      </c>
      <c r="C165" s="652" t="s">
        <v>11</v>
      </c>
      <c r="D165" s="658" t="str">
        <f>IF(IFERROR(VLOOKUP($A165,'[1]Pricing Calculator'!$A$17:$G$187,5,FALSE),"")=TRUE,"P","")</f>
        <v/>
      </c>
      <c r="E165" s="654"/>
      <c r="F165" s="659" t="str">
        <f>IF(IFERROR(VLOOKUP($A165,'[1]Pricing Calculator'!$A$17:$G$187,6,FALSE),"")=TRUE,"P","")</f>
        <v/>
      </c>
      <c r="G165" s="654"/>
      <c r="H165" s="660" t="str">
        <f>IF(IFERROR(VLOOKUP($A165,'[1]Pricing Calculator'!$A$17:$G$187,7,FALSE),"")=TRUE,"P","")</f>
        <v/>
      </c>
    </row>
    <row r="166" spans="1:8" ht="17" hidden="1" outlineLevel="1" x14ac:dyDescent="0.2">
      <c r="A166" s="650">
        <v>157</v>
      </c>
      <c r="B166" s="657" t="str">
        <f>IFERROR(VLOOKUP($A166,'[1]Pricing Calculator'!$A$17:$G$187,2,FALSE),"")</f>
        <v/>
      </c>
      <c r="C166" s="652" t="s">
        <v>11</v>
      </c>
      <c r="D166" s="658" t="str">
        <f>IF(IFERROR(VLOOKUP($A166,'[1]Pricing Calculator'!$A$17:$G$187,5,FALSE),"")=TRUE,"P","")</f>
        <v/>
      </c>
      <c r="E166" s="654"/>
      <c r="F166" s="659" t="str">
        <f>IF(IFERROR(VLOOKUP($A166,'[1]Pricing Calculator'!$A$17:$G$187,6,FALSE),"")=TRUE,"P","")</f>
        <v/>
      </c>
      <c r="G166" s="654"/>
      <c r="H166" s="660" t="str">
        <f>IF(IFERROR(VLOOKUP($A166,'[1]Pricing Calculator'!$A$17:$G$187,7,FALSE),"")=TRUE,"P","")</f>
        <v/>
      </c>
    </row>
    <row r="167" spans="1:8" ht="17" hidden="1" outlineLevel="1" x14ac:dyDescent="0.2">
      <c r="A167" s="650">
        <v>158</v>
      </c>
      <c r="B167" s="657" t="str">
        <f>IFERROR(VLOOKUP($A167,'[1]Pricing Calculator'!$A$17:$G$187,2,FALSE),"")</f>
        <v/>
      </c>
      <c r="C167" s="652" t="s">
        <v>11</v>
      </c>
      <c r="D167" s="658" t="str">
        <f>IF(IFERROR(VLOOKUP($A167,'[1]Pricing Calculator'!$A$17:$G$187,5,FALSE),"")=TRUE,"P","")</f>
        <v/>
      </c>
      <c r="E167" s="654"/>
      <c r="F167" s="659" t="str">
        <f>IF(IFERROR(VLOOKUP($A167,'[1]Pricing Calculator'!$A$17:$G$187,6,FALSE),"")=TRUE,"P","")</f>
        <v/>
      </c>
      <c r="G167" s="654"/>
      <c r="H167" s="660" t="str">
        <f>IF(IFERROR(VLOOKUP($A167,'[1]Pricing Calculator'!$A$17:$G$187,7,FALSE),"")=TRUE,"P","")</f>
        <v/>
      </c>
    </row>
    <row r="168" spans="1:8" ht="17" hidden="1" outlineLevel="1" x14ac:dyDescent="0.2">
      <c r="A168" s="650">
        <v>159</v>
      </c>
      <c r="B168" s="657" t="str">
        <f>IFERROR(VLOOKUP($A168,'[1]Pricing Calculator'!$A$17:$G$187,2,FALSE),"")</f>
        <v/>
      </c>
      <c r="C168" s="652" t="s">
        <v>11</v>
      </c>
      <c r="D168" s="658" t="str">
        <f>IF(IFERROR(VLOOKUP($A168,'[1]Pricing Calculator'!$A$17:$G$187,5,FALSE),"")=TRUE,"P","")</f>
        <v/>
      </c>
      <c r="E168" s="654"/>
      <c r="F168" s="659" t="str">
        <f>IF(IFERROR(VLOOKUP($A168,'[1]Pricing Calculator'!$A$17:$G$187,6,FALSE),"")=TRUE,"P","")</f>
        <v/>
      </c>
      <c r="G168" s="654"/>
      <c r="H168" s="660" t="str">
        <f>IF(IFERROR(VLOOKUP($A168,'[1]Pricing Calculator'!$A$17:$G$187,7,FALSE),"")=TRUE,"P","")</f>
        <v/>
      </c>
    </row>
    <row r="169" spans="1:8" ht="17" hidden="1" outlineLevel="1" x14ac:dyDescent="0.2">
      <c r="A169" s="650">
        <v>160</v>
      </c>
      <c r="B169" s="657" t="str">
        <f>IFERROR(VLOOKUP($A169,'[1]Pricing Calculator'!$A$17:$G$187,2,FALSE),"")</f>
        <v/>
      </c>
      <c r="C169" s="652" t="s">
        <v>11</v>
      </c>
      <c r="D169" s="658" t="str">
        <f>IF(IFERROR(VLOOKUP($A169,'[1]Pricing Calculator'!$A$17:$G$187,5,FALSE),"")=TRUE,"P","")</f>
        <v/>
      </c>
      <c r="E169" s="654"/>
      <c r="F169" s="659" t="str">
        <f>IF(IFERROR(VLOOKUP($A169,'[1]Pricing Calculator'!$A$17:$G$187,6,FALSE),"")=TRUE,"P","")</f>
        <v/>
      </c>
      <c r="G169" s="654"/>
      <c r="H169" s="660" t="str">
        <f>IF(IFERROR(VLOOKUP($A169,'[1]Pricing Calculator'!$A$17:$G$187,7,FALSE),"")=TRUE,"P","")</f>
        <v/>
      </c>
    </row>
    <row r="170" spans="1:8" ht="17" hidden="1" outlineLevel="1" x14ac:dyDescent="0.2">
      <c r="A170" s="650">
        <v>161</v>
      </c>
      <c r="B170" s="657" t="str">
        <f>IFERROR(VLOOKUP($A170,'[1]Pricing Calculator'!$A$17:$G$187,2,FALSE),"")</f>
        <v/>
      </c>
      <c r="C170" s="652" t="s">
        <v>11</v>
      </c>
      <c r="D170" s="658" t="str">
        <f>IF(IFERROR(VLOOKUP($A170,'[1]Pricing Calculator'!$A$17:$G$187,5,FALSE),"")=TRUE,"P","")</f>
        <v/>
      </c>
      <c r="E170" s="654"/>
      <c r="F170" s="659" t="str">
        <f>IF(IFERROR(VLOOKUP($A170,'[1]Pricing Calculator'!$A$17:$G$187,6,FALSE),"")=TRUE,"P","")</f>
        <v/>
      </c>
      <c r="G170" s="654"/>
      <c r="H170" s="660" t="str">
        <f>IF(IFERROR(VLOOKUP($A170,'[1]Pricing Calculator'!$A$17:$G$187,7,FALSE),"")=TRUE,"P","")</f>
        <v/>
      </c>
    </row>
    <row r="171" spans="1:8" ht="17" hidden="1" outlineLevel="1" x14ac:dyDescent="0.2">
      <c r="A171" s="650">
        <v>162</v>
      </c>
      <c r="B171" s="657" t="str">
        <f>IFERROR(VLOOKUP($A171,'[1]Pricing Calculator'!$A$17:$G$187,2,FALSE),"")</f>
        <v/>
      </c>
      <c r="C171" s="652" t="s">
        <v>11</v>
      </c>
      <c r="D171" s="658" t="str">
        <f>IF(IFERROR(VLOOKUP($A171,'[1]Pricing Calculator'!$A$17:$G$187,5,FALSE),"")=TRUE,"P","")</f>
        <v/>
      </c>
      <c r="E171" s="654"/>
      <c r="F171" s="659" t="str">
        <f>IF(IFERROR(VLOOKUP($A171,'[1]Pricing Calculator'!$A$17:$G$187,6,FALSE),"")=TRUE,"P","")</f>
        <v/>
      </c>
      <c r="G171" s="654"/>
      <c r="H171" s="660" t="str">
        <f>IF(IFERROR(VLOOKUP($A171,'[1]Pricing Calculator'!$A$17:$G$187,7,FALSE),"")=TRUE,"P","")</f>
        <v/>
      </c>
    </row>
    <row r="172" spans="1:8" ht="17" hidden="1" outlineLevel="1" x14ac:dyDescent="0.2">
      <c r="A172" s="650">
        <v>163</v>
      </c>
      <c r="B172" s="657" t="str">
        <f>IFERROR(VLOOKUP($A172,'[1]Pricing Calculator'!$A$17:$G$187,2,FALSE),"")</f>
        <v/>
      </c>
      <c r="C172" s="652" t="s">
        <v>11</v>
      </c>
      <c r="D172" s="658" t="str">
        <f>IF(IFERROR(VLOOKUP($A172,'[1]Pricing Calculator'!$A$17:$G$187,5,FALSE),"")=TRUE,"P","")</f>
        <v/>
      </c>
      <c r="E172" s="654"/>
      <c r="F172" s="659" t="str">
        <f>IF(IFERROR(VLOOKUP($A172,'[1]Pricing Calculator'!$A$17:$G$187,6,FALSE),"")=TRUE,"P","")</f>
        <v/>
      </c>
      <c r="G172" s="654"/>
      <c r="H172" s="660" t="str">
        <f>IF(IFERROR(VLOOKUP($A172,'[1]Pricing Calculator'!$A$17:$G$187,7,FALSE),"")=TRUE,"P","")</f>
        <v/>
      </c>
    </row>
    <row r="173" spans="1:8" ht="17" hidden="1" outlineLevel="1" x14ac:dyDescent="0.2">
      <c r="A173" s="650">
        <v>164</v>
      </c>
      <c r="B173" s="657" t="str">
        <f>IFERROR(VLOOKUP($A173,'[1]Pricing Calculator'!$A$17:$G$187,2,FALSE),"")</f>
        <v/>
      </c>
      <c r="C173" s="652" t="s">
        <v>11</v>
      </c>
      <c r="D173" s="658" t="str">
        <f>IF(IFERROR(VLOOKUP($A173,'[1]Pricing Calculator'!$A$17:$G$187,5,FALSE),"")=TRUE,"P","")</f>
        <v/>
      </c>
      <c r="E173" s="654"/>
      <c r="F173" s="659" t="str">
        <f>IF(IFERROR(VLOOKUP($A173,'[1]Pricing Calculator'!$A$17:$G$187,6,FALSE),"")=TRUE,"P","")</f>
        <v/>
      </c>
      <c r="G173" s="654"/>
      <c r="H173" s="660" t="str">
        <f>IF(IFERROR(VLOOKUP($A173,'[1]Pricing Calculator'!$A$17:$G$187,7,FALSE),"")=TRUE,"P","")</f>
        <v/>
      </c>
    </row>
    <row r="174" spans="1:8" ht="18" hidden="1" outlineLevel="1" thickBot="1" x14ac:dyDescent="0.25">
      <c r="A174" s="650">
        <v>165</v>
      </c>
      <c r="B174" s="661" t="str">
        <f>IFERROR(VLOOKUP($A174,'[1]Pricing Calculator'!$A$17:$G$187,2,FALSE),"")</f>
        <v/>
      </c>
      <c r="C174" s="652" t="s">
        <v>11</v>
      </c>
      <c r="D174" s="662" t="str">
        <f>IF(IFERROR(VLOOKUP($A174,'[1]Pricing Calculator'!$A$17:$G$187,5,FALSE),"")=TRUE,"P","")</f>
        <v/>
      </c>
      <c r="E174" s="654"/>
      <c r="F174" s="663" t="str">
        <f>IF(IFERROR(VLOOKUP($A174,'[1]Pricing Calculator'!$A$17:$G$187,6,FALSE),"")=TRUE,"P","")</f>
        <v/>
      </c>
      <c r="G174" s="654"/>
      <c r="H174" s="664" t="str">
        <f>IF(IFERROR(VLOOKUP($A174,'[1]Pricing Calculator'!$A$17:$G$187,7,FALSE),"")=TRUE,"P","")</f>
        <v/>
      </c>
    </row>
    <row r="175" spans="1:8" ht="15" customHeight="1" collapsed="1" x14ac:dyDescent="0.2">
      <c r="A175" s="39" t="s">
        <v>243</v>
      </c>
      <c r="B175" s="161"/>
      <c r="C175" s="652" t="s">
        <v>11</v>
      </c>
      <c r="D175" s="667"/>
      <c r="E175" s="667"/>
      <c r="F175" s="667"/>
      <c r="G175" s="667"/>
      <c r="H175" s="667"/>
    </row>
    <row r="176" spans="1:8" ht="8.25" customHeight="1" x14ac:dyDescent="0.2">
      <c r="A176" s="39"/>
      <c r="B176" s="161"/>
      <c r="C176" s="2"/>
      <c r="D176" s="162"/>
      <c r="E176" s="162"/>
      <c r="F176" s="162"/>
      <c r="G176" s="162"/>
      <c r="H176" s="162"/>
    </row>
    <row r="177" spans="1:8" x14ac:dyDescent="0.2">
      <c r="A177" s="39"/>
      <c r="B177" s="669"/>
      <c r="C177" s="2"/>
      <c r="D177" s="162"/>
      <c r="E177" s="162"/>
      <c r="F177" s="162"/>
      <c r="G177" s="162"/>
      <c r="H177" s="162"/>
    </row>
    <row r="178" spans="1:8" ht="8.25" customHeight="1" x14ac:dyDescent="0.2">
      <c r="A178" s="39"/>
      <c r="B178" s="161"/>
      <c r="C178" s="2"/>
      <c r="D178" s="162"/>
      <c r="E178" s="162"/>
      <c r="F178" s="162"/>
      <c r="G178" s="162"/>
      <c r="H178" s="162"/>
    </row>
    <row r="179" spans="1:8" x14ac:dyDescent="0.2">
      <c r="A179" s="39"/>
      <c r="B179" s="669"/>
      <c r="C179" s="2"/>
      <c r="D179" s="162"/>
      <c r="E179" s="162"/>
      <c r="F179" s="162"/>
      <c r="G179" s="162"/>
      <c r="H179" s="162"/>
    </row>
    <row r="180" spans="1:8" ht="8.25" customHeight="1" thickBot="1" x14ac:dyDescent="0.25">
      <c r="A180" s="39"/>
      <c r="B180" s="161"/>
      <c r="C180" s="2"/>
      <c r="D180" s="162"/>
      <c r="E180" s="162"/>
      <c r="F180" s="162"/>
      <c r="G180" s="162"/>
      <c r="H180" s="162"/>
    </row>
    <row r="181" spans="1:8" s="524" customFormat="1" ht="20" thickBot="1" x14ac:dyDescent="0.3">
      <c r="B181" s="525" t="str">
        <f>IF('[1]Pricing Summary'!$B$4="Yes","","Total Excluding Technology &amp; Admin Fee")</f>
        <v>Total Excluding Technology &amp; Admin Fee</v>
      </c>
      <c r="C181" s="526"/>
      <c r="D181" s="529">
        <f>IF('[1]Pricing Summary'!$B$31="T&amp;M",'[1]Pricing Summary'!$D$14,IF('[1]Pricing Summary'!$B$31="VP Calculation",'[1]Pricing Summary'!$J$14,'[1]Pricing Summary'!$P$14))</f>
        <v>23000</v>
      </c>
      <c r="F181" s="530">
        <f>IF('[1]Pricing Summary'!$B$31="T&amp;M",'[1]Pricing Summary'!$F$14,IF('[1]Pricing Summary'!$B$31="VP Calculation",'[1]Pricing Summary'!$L$14,'[1]Pricing Summary'!$R$14))</f>
        <v>23000</v>
      </c>
      <c r="H181" s="531">
        <f>IF('[1]Pricing Summary'!$B$31="T&amp;M",'[1]Pricing Summary'!$H$14,IF('[1]Pricing Summary'!$B$31="VP Calculation",'[1]Pricing Summary'!$N$14,'[1]Pricing Summary'!$T$14))</f>
        <v>23000</v>
      </c>
    </row>
    <row r="182" spans="1:8" ht="8.25" customHeight="1" thickBot="1" x14ac:dyDescent="0.25">
      <c r="A182" s="39"/>
      <c r="B182" s="161"/>
      <c r="C182" s="2"/>
      <c r="D182" s="162"/>
      <c r="E182" s="162"/>
      <c r="F182" s="162"/>
      <c r="G182" s="162"/>
      <c r="H182" s="162"/>
    </row>
    <row r="183" spans="1:8" s="524" customFormat="1" ht="20" thickBot="1" x14ac:dyDescent="0.3">
      <c r="B183" s="525" t="str">
        <f>IF('[1]Pricing Summary'!$B$4="Yes","","Technology &amp; Admin Fee")</f>
        <v>Technology &amp; Admin Fee</v>
      </c>
      <c r="C183" s="526"/>
      <c r="D183" s="529">
        <f>D185-D181</f>
        <v>1610</v>
      </c>
      <c r="F183" s="530">
        <f>F185-F181</f>
        <v>1610</v>
      </c>
      <c r="H183" s="531">
        <f>H185-H181</f>
        <v>1610</v>
      </c>
    </row>
    <row r="184" spans="1:8" ht="8.25" customHeight="1" thickBot="1" x14ac:dyDescent="0.25">
      <c r="A184" s="39"/>
      <c r="B184" s="161"/>
      <c r="C184" s="2"/>
      <c r="D184" s="162"/>
      <c r="E184" s="162"/>
      <c r="F184" s="162"/>
      <c r="G184" s="162"/>
      <c r="H184" s="162"/>
    </row>
    <row r="185" spans="1:8" s="524" customFormat="1" ht="20" thickBot="1" x14ac:dyDescent="0.3">
      <c r="B185" s="525" t="s">
        <v>244</v>
      </c>
      <c r="C185" s="526"/>
      <c r="D185" s="529">
        <f>IF('[1]Pricing Summary'!$B$31="T&amp;M",'[1]Pricing Summary'!$D$16,IF('[1]Pricing Summary'!$B$31="VP Calculation",'[1]Pricing Summary'!$J$16,'[1]Pricing Summary'!$P$16))</f>
        <v>24610</v>
      </c>
      <c r="F185" s="530">
        <f>IF('[1]Pricing Summary'!$B$31="T&amp;M",'[1]Pricing Summary'!$F$16,IF('[1]Pricing Summary'!$B$31="VP Calculation",'[1]Pricing Summary'!$L$16,'[1]Pricing Summary'!$R$16))</f>
        <v>24610</v>
      </c>
      <c r="H185" s="531">
        <f>IF('[1]Pricing Summary'!$B$31="T&amp;M",'[1]Pricing Summary'!$H$16,IF('[1]Pricing Summary'!$B$31="VP Calculation",'[1]Pricing Summary'!$N$16,'[1]Pricing Summary'!$T$16))</f>
        <v>24610</v>
      </c>
    </row>
    <row r="186" spans="1:8" ht="8.25" hidden="1" customHeight="1" x14ac:dyDescent="0.2">
      <c r="A186" s="162"/>
      <c r="B186" s="161"/>
      <c r="C186" s="2"/>
      <c r="D186" s="162"/>
      <c r="E186" s="162"/>
      <c r="F186" s="162"/>
      <c r="G186" s="162"/>
      <c r="H186" s="162"/>
    </row>
    <row r="187" spans="1:8" ht="48" hidden="1" outlineLevel="1" x14ac:dyDescent="0.2">
      <c r="B187" s="670" t="s">
        <v>245</v>
      </c>
      <c r="D187" s="671" t="str">
        <f>IF(D$185&gt;=100000,'[1]Other Lookups'!$F$6,IF('[1]Service Recap'!D$185&gt;=50000,'[1]Other Lookups'!$F$5,'[1]Other Lookups'!$F$4))</f>
        <v>50% Upfront / 50% Complete</v>
      </c>
      <c r="E187" s="512"/>
      <c r="F187" s="671" t="str">
        <f>IF(F$185&gt;=100000,'[1]Other Lookups'!$F$6,IF('[1]Service Recap'!F$185&gt;=50000,'[1]Other Lookups'!$F$5,'[1]Other Lookups'!$F$4))</f>
        <v>50% Upfront / 50% Complete</v>
      </c>
      <c r="H187" s="671" t="str">
        <f>IF(H$185&gt;=100000,'[1]Other Lookups'!$F$6,IF('[1]Service Recap'!H$185&gt;=50000,'[1]Other Lookups'!$F$5,'[1]Other Lookups'!$F$4))</f>
        <v>50% Upfront / 50% Complete</v>
      </c>
    </row>
    <row r="188" spans="1:8" ht="19" hidden="1" collapsed="1" x14ac:dyDescent="0.25">
      <c r="A188" s="445" t="s">
        <v>246</v>
      </c>
      <c r="B188" s="525"/>
      <c r="D188" s="512"/>
      <c r="E188" s="512"/>
      <c r="F188" s="512"/>
    </row>
    <row r="189" spans="1:8" ht="19" hidden="1" x14ac:dyDescent="0.25">
      <c r="A189" s="445"/>
      <c r="B189" s="525" t="s">
        <v>247</v>
      </c>
      <c r="D189" s="512"/>
      <c r="E189" s="512"/>
      <c r="F189" s="512"/>
    </row>
    <row r="190" spans="1:8" ht="19" hidden="1" x14ac:dyDescent="0.25">
      <c r="B190" s="672" t="s">
        <v>248</v>
      </c>
      <c r="D190" s="512"/>
      <c r="E190" s="512"/>
      <c r="F190" s="512"/>
    </row>
    <row r="191" spans="1:8" ht="8.25" hidden="1" customHeight="1" x14ac:dyDescent="0.2">
      <c r="A191" s="162"/>
      <c r="B191" s="161"/>
      <c r="C191" s="2"/>
      <c r="D191" s="162"/>
      <c r="E191" s="162"/>
      <c r="F191" s="162"/>
      <c r="G191" s="162"/>
      <c r="H191" s="162"/>
    </row>
    <row r="192" spans="1:8" hidden="1" x14ac:dyDescent="0.2">
      <c r="B192" s="673" t="str">
        <f>IF(_xlfn.XLOOKUP($B$190,'[1]Other Lookups'!$F$2:$F$7,'[1]Other Lookups'!$G$2:$G$7)="","",_xlfn.XLOOKUP($B$190,'[1]Other Lookups'!$F$2:$F$7,'[1]Other Lookups'!$G$2:$G$7))</f>
        <v>Due on Signing</v>
      </c>
      <c r="D192" s="674">
        <f>D185-SUM(D193:D201)</f>
        <v>24610</v>
      </c>
      <c r="F192" s="674">
        <f>F185-SUM(F193:F201)</f>
        <v>24610</v>
      </c>
      <c r="H192" s="674">
        <f>H185-SUM(H193:H201)</f>
        <v>24610</v>
      </c>
    </row>
    <row r="193" spans="2:8" hidden="1" x14ac:dyDescent="0.2">
      <c r="B193" s="673" t="str">
        <f>IF(_xlfn.XLOOKUP($B$190,'[1]Other Lookups'!$F$2:$F$7,'[1]Other Lookups'!$H$2:$H$7)="","",_xlfn.XLOOKUP($B$190,'[1]Other Lookups'!$F$2:$F$7,'[1]Other Lookups'!$H$2:$H$7))</f>
        <v/>
      </c>
      <c r="D193" s="674" t="str">
        <f>IF(D$185*SUMIF('[1]Other Lookups'!$F:$F,$B$190,'[1]Other Lookups'!$R:$R)=0,"",ROUND(D$185*SUMIF('[1]Other Lookups'!$F:$F,$B$190,'[1]Other Lookups'!$R:$R),0))</f>
        <v/>
      </c>
      <c r="F193" s="674" t="str">
        <f>IF(F$185*SUMIF('[1]Other Lookups'!$F:$F,$B$190,'[1]Other Lookups'!$R:$R)=0,"",ROUND(F$185*SUMIF('[1]Other Lookups'!$F:$F,$B$190,'[1]Other Lookups'!$R:$R),0))</f>
        <v/>
      </c>
      <c r="H193" s="674" t="str">
        <f>IF(H$185*SUMIF('[1]Other Lookups'!$F:$F,$B$190,'[1]Other Lookups'!$R:$R)=0,"",ROUND(H$185*SUMIF('[1]Other Lookups'!$F:$F,$B$190,'[1]Other Lookups'!$R:$R),0))</f>
        <v/>
      </c>
    </row>
    <row r="194" spans="2:8" hidden="1" x14ac:dyDescent="0.2">
      <c r="B194" s="673" t="str">
        <f>IF(_xlfn.XLOOKUP($B$190,'[1]Other Lookups'!$F$2:$F$7,'[1]Other Lookups'!$I$2:$I$7)="","",_xlfn.XLOOKUP($B$190,'[1]Other Lookups'!$F$2:$F$7,'[1]Other Lookups'!$I$2:$I$7))</f>
        <v/>
      </c>
      <c r="D194" s="674" t="str">
        <f>IF(D$185*SUMIF('[1]Other Lookups'!$F:$F,$B$190,'[1]Other Lookups'!$S:$S)=0,"",ROUND(D$185*SUMIF('[1]Other Lookups'!$F:$F,$B$190,'[1]Other Lookups'!$S:$S),0))</f>
        <v/>
      </c>
      <c r="F194" s="674" t="str">
        <f>IF(F$185*SUMIF('[1]Other Lookups'!$F:$F,$B$190,'[1]Other Lookups'!$S:$S)=0,"",ROUND(F$185*SUMIF('[1]Other Lookups'!$F:$F,$B$190,'[1]Other Lookups'!$S:$S),0))</f>
        <v/>
      </c>
      <c r="H194" s="674" t="str">
        <f>IF(H$185*SUMIF('[1]Other Lookups'!$F:$F,$B$190,'[1]Other Lookups'!$S:$S)=0,"",ROUND(H$185*SUMIF('[1]Other Lookups'!$F:$F,$B$190,'[1]Other Lookups'!$S:$S),0))</f>
        <v/>
      </c>
    </row>
    <row r="195" spans="2:8" hidden="1" x14ac:dyDescent="0.2">
      <c r="B195" s="673" t="str">
        <f>IF(_xlfn.XLOOKUP($B$190,'[1]Other Lookups'!$F$2:$F$7,'[1]Other Lookups'!$J$2:$J$7)="","",_xlfn.XLOOKUP($B$190,'[1]Other Lookups'!$F$2:$F$7,'[1]Other Lookups'!$J$2:$J$7))</f>
        <v/>
      </c>
      <c r="D195" s="674" t="str">
        <f>IF(D$185*SUMIF('[1]Other Lookups'!$F:$F,$B$190,'[1]Other Lookups'!$T:$T)=0,"",ROUND(D$185*SUMIF('[1]Other Lookups'!$F:$F,$B$190,'[1]Other Lookups'!$T:$T),0))</f>
        <v/>
      </c>
      <c r="F195" s="674" t="str">
        <f>IF(F$185*SUMIF('[1]Other Lookups'!$F:$F,$B$190,'[1]Other Lookups'!$T:$T)=0,"",ROUND(F$185*SUMIF('[1]Other Lookups'!$F:$F,$B$190,'[1]Other Lookups'!$T:$T),0))</f>
        <v/>
      </c>
      <c r="H195" s="674" t="str">
        <f>IF(H$185*SUMIF('[1]Other Lookups'!$F:$F,$B$190,'[1]Other Lookups'!$T:$T)=0,"",ROUND(H$185*SUMIF('[1]Other Lookups'!$F:$F,$B$190,'[1]Other Lookups'!$T:$T),0))</f>
        <v/>
      </c>
    </row>
    <row r="196" spans="2:8" hidden="1" x14ac:dyDescent="0.2">
      <c r="B196" s="673" t="str">
        <f>IF(_xlfn.XLOOKUP($B$190,'[1]Other Lookups'!$F$2:$F$7,'[1]Other Lookups'!$K$2:$K$7)="","",_xlfn.XLOOKUP($B$190,'[1]Other Lookups'!$F$2:$F$7,'[1]Other Lookups'!$K$2:$K$7))</f>
        <v/>
      </c>
      <c r="D196" s="674" t="str">
        <f>IF(D$185*SUMIF('[1]Other Lookups'!$F:$F,$B$190,'[1]Other Lookups'!$U:$U)=0,"",ROUND(D$185*SUMIF('[1]Other Lookups'!$F:$F,$B$190,'[1]Other Lookups'!$U:$U),0))</f>
        <v/>
      </c>
      <c r="F196" s="674" t="str">
        <f>IF(F$185*SUMIF('[1]Other Lookups'!$F:$F,$B$190,'[1]Other Lookups'!$U:$U)=0,"",ROUND(F$185*SUMIF('[1]Other Lookups'!$F:$F,$B$190,'[1]Other Lookups'!$U:$U),0))</f>
        <v/>
      </c>
      <c r="H196" s="674" t="str">
        <f>IF(H$185*SUMIF('[1]Other Lookups'!$F:$F,$B$190,'[1]Other Lookups'!$U:$U)=0,"",ROUND(H$185*SUMIF('[1]Other Lookups'!$F:$F,$B$190,'[1]Other Lookups'!$U:$U),0))</f>
        <v/>
      </c>
    </row>
    <row r="197" spans="2:8" hidden="1" x14ac:dyDescent="0.2">
      <c r="B197" s="673" t="str">
        <f>IF(_xlfn.XLOOKUP($B$190,'[1]Other Lookups'!$F$2:$F$7,'[1]Other Lookups'!$L$2:$L$7)="","",_xlfn.XLOOKUP($B$190,'[1]Other Lookups'!$F$2:$F$7,'[1]Other Lookups'!$L$2:$L$7))</f>
        <v/>
      </c>
      <c r="D197" s="674" t="str">
        <f>IF(D$185*SUMIF('[1]Other Lookups'!$F:$F,$B$190,'[1]Other Lookups'!$V:$V)=0,"",ROUND(D$185*SUMIF('[1]Other Lookups'!$F:$F,$B$190,'[1]Other Lookups'!$V:$V),0))</f>
        <v/>
      </c>
      <c r="F197" s="674" t="str">
        <f>IF(F$185*SUMIF('[1]Other Lookups'!$F:$F,$B$190,'[1]Other Lookups'!$V:$V)=0,"",ROUND(F$185*SUMIF('[1]Other Lookups'!$F:$F,$B$190,'[1]Other Lookups'!$V:$V),0))</f>
        <v/>
      </c>
      <c r="H197" s="674" t="str">
        <f>IF(H$185*SUMIF('[1]Other Lookups'!$F:$F,$B$190,'[1]Other Lookups'!$V:$V)=0,"",ROUND(H$185*SUMIF('[1]Other Lookups'!$F:$F,$B$190,'[1]Other Lookups'!$V:$V),0))</f>
        <v/>
      </c>
    </row>
    <row r="198" spans="2:8" hidden="1" x14ac:dyDescent="0.2">
      <c r="B198" s="673" t="str">
        <f>IF(_xlfn.XLOOKUP($B$190,'[1]Other Lookups'!$F$2:$F$7,'[1]Other Lookups'!$M$2:$M$7)="","",_xlfn.XLOOKUP($B$190,'[1]Other Lookups'!$F$2:$F$7,'[1]Other Lookups'!$M$2:$M$7))</f>
        <v/>
      </c>
      <c r="D198" s="674" t="str">
        <f>IF(D$185*SUMIF('[1]Other Lookups'!$F:$F,$B$190,'[1]Other Lookups'!$W:$W)=0,"",ROUND(D$185*SUMIF('[1]Other Lookups'!$F:$F,$B$190,'[1]Other Lookups'!$W:$W),0))</f>
        <v/>
      </c>
      <c r="F198" s="674" t="str">
        <f>IF(F$185*SUMIF('[1]Other Lookups'!$F:$F,$B$190,'[1]Other Lookups'!$W:$W)=0,"",ROUND(F$185*SUMIF('[1]Other Lookups'!$F:$F,$B$190,'[1]Other Lookups'!$W:$W),0))</f>
        <v/>
      </c>
      <c r="H198" s="674" t="str">
        <f>IF(H$185*SUMIF('[1]Other Lookups'!$F:$F,$B$190,'[1]Other Lookups'!$W:$W)=0,"",ROUND(H$185*SUMIF('[1]Other Lookups'!$F:$F,$B$190,'[1]Other Lookups'!$W:$W),0))</f>
        <v/>
      </c>
    </row>
    <row r="199" spans="2:8" hidden="1" x14ac:dyDescent="0.2">
      <c r="B199" s="673" t="str">
        <f>IF(_xlfn.XLOOKUP($B$190,'[1]Other Lookups'!$F$2:$F$7,'[1]Other Lookups'!$N$2:$N$7)="","",_xlfn.XLOOKUP($B$190,'[1]Other Lookups'!$F$2:$F$7,'[1]Other Lookups'!$N$2:$N$7))</f>
        <v/>
      </c>
      <c r="D199" s="674" t="str">
        <f>IF(D$185*SUMIF('[1]Other Lookups'!$F:$F,$B$190,'[1]Other Lookups'!$X:$X)=0,"",ROUND(D$185*SUMIF('[1]Other Lookups'!$F:$F,$B$190,'[1]Other Lookups'!$X:$X),0))</f>
        <v/>
      </c>
      <c r="F199" s="674" t="str">
        <f>IF(F$185*SUMIF('[1]Other Lookups'!$F:$F,$B$190,'[1]Other Lookups'!$X:$X)=0,"",ROUND(F$185*SUMIF('[1]Other Lookups'!$F:$F,$B$190,'[1]Other Lookups'!$X:$X),0))</f>
        <v/>
      </c>
      <c r="H199" s="674" t="str">
        <f>IF(H$185*SUMIF('[1]Other Lookups'!$F:$F,$B$190,'[1]Other Lookups'!$X:$X)=0,"",ROUND(H$185*SUMIF('[1]Other Lookups'!$F:$F,$B$190,'[1]Other Lookups'!$X:$X),0))</f>
        <v/>
      </c>
    </row>
    <row r="200" spans="2:8" hidden="1" x14ac:dyDescent="0.2">
      <c r="B200" s="673" t="str">
        <f>IF(_xlfn.XLOOKUP($B$190,'[1]Other Lookups'!$F$2:$F$7,'[1]Other Lookups'!$O$2:$O$7)="","",_xlfn.XLOOKUP($B$190,'[1]Other Lookups'!$F$2:$F$7,'[1]Other Lookups'!$O$2:$O$7))</f>
        <v/>
      </c>
      <c r="D200" s="674" t="str">
        <f>IF(D$185*SUMIF('[1]Other Lookups'!$F:$F,$B$190,'[1]Other Lookups'!$Y:$Y)=0,"",ROUND(D$185*SUMIF('[1]Other Lookups'!$F:$F,$B$190,'[1]Other Lookups'!$Y:$Y),0))</f>
        <v/>
      </c>
      <c r="F200" s="674" t="str">
        <f>IF(F$185*SUMIF('[1]Other Lookups'!$F:$F,$B$190,'[1]Other Lookups'!$Y:$Y)=0,"",ROUND(F$185*SUMIF('[1]Other Lookups'!$F:$F,$B$190,'[1]Other Lookups'!$Y:$Y),0))</f>
        <v/>
      </c>
      <c r="H200" s="674" t="str">
        <f>IF(H$185*SUMIF('[1]Other Lookups'!$F:$F,$B$190,'[1]Other Lookups'!$Y:$Y)=0,"",ROUND(H$185*SUMIF('[1]Other Lookups'!$F:$F,$B$190,'[1]Other Lookups'!$Y:$Y),0))</f>
        <v/>
      </c>
    </row>
    <row r="201" spans="2:8" hidden="1" x14ac:dyDescent="0.2">
      <c r="B201" s="673" t="str">
        <f>IF(_xlfn.XLOOKUP($B$190,'[1]Other Lookups'!$F$2:$F$7,'[1]Other Lookups'!$P$2:$P$7)="","",_xlfn.XLOOKUP($B$190,'[1]Other Lookups'!$F$2:$F$7,'[1]Other Lookups'!$P$2:$P$7))</f>
        <v/>
      </c>
      <c r="D201" s="674" t="str">
        <f>IF(D$185*SUMIF('[1]Other Lookups'!$F:$F,$B$190,'[1]Other Lookups'!$Z:$Z)=0,"",ROUND(D$185*SUMIF('[1]Other Lookups'!$F:$F,$B$190,'[1]Other Lookups'!$Z:$Z),0))</f>
        <v/>
      </c>
      <c r="F201" s="674" t="str">
        <f>IF(F$185*SUMIF('[1]Other Lookups'!$F:$F,$B$190,'[1]Other Lookups'!$Z:$Z)=0,"",ROUND(F$185*SUMIF('[1]Other Lookups'!$F:$F,$B$190,'[1]Other Lookups'!$Z:$Z),0))</f>
        <v/>
      </c>
      <c r="H201" s="674" t="str">
        <f>IF(H$185*SUMIF('[1]Other Lookups'!$F:$F,$B$190,'[1]Other Lookups'!$Z:$Z)=0,"",ROUND(H$185*SUMIF('[1]Other Lookups'!$F:$F,$B$190,'[1]Other Lookups'!$Z:$Z),0))</f>
        <v/>
      </c>
    </row>
  </sheetData>
  <mergeCells count="1">
    <mergeCell ref="I1:I2"/>
  </mergeCells>
  <conditionalFormatting sqref="A8:A57 A59:A83 A85:A174">
    <cfRule type="expression" dxfId="98" priority="1">
      <formula>$B8=""</formula>
    </cfRule>
  </conditionalFormatting>
  <dataValidations count="1">
    <dataValidation type="decimal" operator="greaterThanOrEqual" allowBlank="1" showInputMessage="1" showErrorMessage="1" sqref="G175:H184 E175:E184 G84:H84 E84 G58:H58 E58" xr:uid="{601C2841-5E49-BF49-972D-E4609A6CB92F}">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E715-363B-8447-85BD-61749543AE36}">
  <dimension ref="A1:GQ200"/>
  <sheetViews>
    <sheetView topLeftCell="BW1" workbookViewId="0">
      <selection activeCell="CG15" sqref="CG15"/>
    </sheetView>
  </sheetViews>
  <sheetFormatPr baseColWidth="10" defaultColWidth="8.83203125" defaultRowHeight="16" outlineLevelRow="1" outlineLevelCol="1" x14ac:dyDescent="0.2"/>
  <cols>
    <col min="1" max="1" width="22.6640625" style="912" customWidth="1"/>
    <col min="2" max="2" width="25.33203125" style="845" customWidth="1"/>
    <col min="3" max="21" width="10.33203125" style="845" hidden="1" customWidth="1" outlineLevel="1"/>
    <col min="22" max="22" width="15.83203125" style="681" customWidth="1" collapsed="1"/>
    <col min="23" max="27" width="14.33203125" style="681" customWidth="1"/>
    <col min="28" max="28" width="23.1640625" style="681" customWidth="1"/>
    <col min="29" max="29" width="16.6640625" style="681" customWidth="1"/>
    <col min="30" max="30" width="9.6640625" style="681" customWidth="1"/>
    <col min="31" max="32" width="17" style="681" customWidth="1"/>
    <col min="33" max="33" width="27.1640625" style="681" customWidth="1"/>
    <col min="34" max="34" width="11.1640625" style="681" customWidth="1"/>
    <col min="35" max="36" width="11.6640625" style="681" customWidth="1"/>
    <col min="37" max="38" width="14" style="681" customWidth="1"/>
    <col min="39" max="39" width="12" style="681" customWidth="1"/>
    <col min="40" max="40" width="12" style="807" customWidth="1"/>
    <col min="41" max="41" width="12.1640625" style="807" customWidth="1"/>
    <col min="42" max="42" width="18.1640625" style="681" customWidth="1"/>
    <col min="43" max="43" width="12.1640625" style="681" customWidth="1"/>
    <col min="44" max="44" width="13" style="681" customWidth="1"/>
    <col min="45" max="45" width="13.1640625" style="913" customWidth="1"/>
    <col min="46" max="46" width="13.1640625" style="681" customWidth="1"/>
    <col min="47" max="47" width="25" style="681" customWidth="1"/>
    <col min="48" max="48" width="17.6640625" style="681" customWidth="1"/>
    <col min="49" max="49" width="22.1640625" style="681" customWidth="1"/>
    <col min="50" max="50" width="12.83203125" style="681" customWidth="1"/>
    <col min="51" max="51" width="13.1640625" style="681" customWidth="1"/>
    <col min="52" max="52" width="16.5" style="681" customWidth="1"/>
    <col min="53" max="53" width="22.83203125" style="681" customWidth="1"/>
    <col min="54" max="54" width="22" style="681" customWidth="1"/>
    <col min="55" max="55" width="11.5" style="681" customWidth="1"/>
    <col min="56" max="56" width="16" style="681" customWidth="1"/>
    <col min="57" max="61" width="23.6640625" style="681" customWidth="1"/>
    <col min="62" max="62" width="27.5" style="681" customWidth="1"/>
    <col min="63" max="63" width="12.5" style="681" customWidth="1"/>
    <col min="64" max="64" width="11.83203125" style="681" customWidth="1"/>
    <col min="65" max="65" width="15.1640625" style="681" customWidth="1"/>
    <col min="66" max="66" width="19.5" style="681" customWidth="1"/>
    <col min="67" max="67" width="13.6640625" style="681" customWidth="1"/>
    <col min="68" max="68" width="14.5" style="681" customWidth="1"/>
    <col min="69" max="69" width="15.5" style="681" bestFit="1" customWidth="1"/>
    <col min="70" max="70" width="8.83203125" style="681"/>
    <col min="71" max="71" width="17.83203125" style="681" customWidth="1"/>
    <col min="72" max="84" width="10.1640625" style="681" customWidth="1"/>
    <col min="85" max="85" width="8.1640625" bestFit="1" customWidth="1"/>
    <col min="86" max="86" width="13.1640625" bestFit="1" customWidth="1"/>
    <col min="87" max="87" width="8.1640625" bestFit="1" customWidth="1"/>
    <col min="88" max="88" width="6.6640625" bestFit="1" customWidth="1"/>
    <col min="89" max="89" width="7.33203125" bestFit="1" customWidth="1"/>
    <col min="90" max="90" width="7.5" bestFit="1" customWidth="1"/>
    <col min="91" max="91" width="65" customWidth="1"/>
    <col min="92" max="94" width="10.33203125" style="681" customWidth="1"/>
    <col min="95" max="95" width="8" style="681" customWidth="1"/>
    <col min="96" max="96" width="11.33203125" style="681" bestFit="1" customWidth="1"/>
    <col min="97" max="97" width="14.5" style="681" bestFit="1" customWidth="1"/>
    <col min="98" max="98" width="15" style="681" bestFit="1" customWidth="1"/>
    <col min="99" max="16384" width="8.83203125" style="681"/>
  </cols>
  <sheetData>
    <row r="1" spans="1:199" ht="30" thickBot="1" x14ac:dyDescent="0.25">
      <c r="A1" s="675" t="s">
        <v>249</v>
      </c>
      <c r="B1" s="676"/>
      <c r="C1" s="676"/>
      <c r="D1" s="676"/>
      <c r="E1" s="676"/>
      <c r="F1" s="676"/>
      <c r="G1" s="676"/>
      <c r="H1" s="676"/>
      <c r="I1" s="676"/>
      <c r="J1" s="676"/>
      <c r="K1" s="676"/>
      <c r="L1" s="676"/>
      <c r="M1" s="676"/>
      <c r="N1" s="676"/>
      <c r="O1" s="676"/>
      <c r="P1" s="676"/>
      <c r="Q1" s="676"/>
      <c r="R1" s="676"/>
      <c r="S1" s="676"/>
      <c r="T1" s="676"/>
      <c r="U1" s="676"/>
      <c r="V1" s="677" t="s">
        <v>250</v>
      </c>
      <c r="W1" s="676"/>
      <c r="X1" s="676"/>
      <c r="Y1" s="676"/>
      <c r="Z1" s="676"/>
      <c r="AA1" s="676"/>
      <c r="AB1" s="676"/>
      <c r="AC1" s="676"/>
      <c r="AD1" s="676"/>
      <c r="AE1" s="676"/>
      <c r="AF1" s="676"/>
      <c r="AG1" s="676"/>
      <c r="AH1" s="676"/>
      <c r="AI1" s="678"/>
      <c r="AJ1" s="678"/>
      <c r="AK1" s="678"/>
      <c r="AL1" s="678"/>
      <c r="AM1" s="678"/>
      <c r="AN1" s="679"/>
      <c r="AO1" s="679"/>
      <c r="AP1" s="678"/>
      <c r="AQ1" s="678"/>
      <c r="AR1" s="678"/>
      <c r="AS1" s="680"/>
      <c r="AT1" s="678"/>
      <c r="AU1" s="678"/>
      <c r="AV1" s="678"/>
      <c r="AW1" s="678"/>
      <c r="AX1" s="678"/>
      <c r="AY1" s="678"/>
      <c r="AZ1" s="678"/>
      <c r="BA1" s="678"/>
      <c r="BB1" s="678"/>
      <c r="BC1" s="678"/>
      <c r="BD1" s="678"/>
      <c r="BE1" s="678"/>
      <c r="BF1" s="678"/>
      <c r="BG1" s="678"/>
      <c r="BH1" s="678"/>
      <c r="BI1" s="678"/>
      <c r="BJ1" s="678"/>
      <c r="BK1" s="678"/>
      <c r="BL1" s="678"/>
      <c r="BM1" s="678"/>
      <c r="BN1" s="678"/>
      <c r="BO1" s="678"/>
      <c r="BP1" s="678"/>
      <c r="BQ1" s="678"/>
      <c r="BR1" s="678"/>
      <c r="BS1" s="678"/>
      <c r="BT1" s="678"/>
      <c r="BU1" s="678"/>
      <c r="BV1" s="678"/>
      <c r="BW1" s="678"/>
      <c r="BX1" s="678"/>
      <c r="BY1" s="678"/>
      <c r="BZ1" s="678"/>
      <c r="CA1" s="678"/>
      <c r="CB1" s="678"/>
      <c r="CC1" s="678"/>
      <c r="CD1" s="678"/>
      <c r="CE1" s="678"/>
      <c r="CF1" s="678"/>
    </row>
    <row r="2" spans="1:199" s="687" customFormat="1" ht="18.75" hidden="1" customHeight="1" outlineLevel="1" x14ac:dyDescent="0.2">
      <c r="A2" s="682" t="s">
        <v>251</v>
      </c>
      <c r="B2" s="683"/>
      <c r="C2" s="683"/>
      <c r="D2" s="683"/>
      <c r="E2" s="683"/>
      <c r="F2" s="683"/>
      <c r="G2" s="683"/>
      <c r="H2" s="683"/>
      <c r="I2" s="683"/>
      <c r="J2" s="683"/>
      <c r="K2" s="683"/>
      <c r="L2" s="683"/>
      <c r="M2" s="683"/>
      <c r="N2" s="683"/>
      <c r="O2" s="683"/>
      <c r="P2" s="683"/>
      <c r="Q2" s="683"/>
      <c r="R2" s="683"/>
      <c r="S2" s="683"/>
      <c r="T2" s="683"/>
      <c r="U2" s="683"/>
      <c r="V2" s="683"/>
      <c r="W2" s="683"/>
      <c r="X2" s="683"/>
      <c r="Y2" s="683"/>
      <c r="Z2" s="683"/>
      <c r="AA2" s="683"/>
      <c r="AB2" s="683"/>
      <c r="AC2" s="683"/>
      <c r="AD2" s="683"/>
      <c r="AE2" s="683"/>
      <c r="AF2" s="683"/>
      <c r="AG2" s="683"/>
      <c r="AH2" s="683"/>
      <c r="AI2" s="684"/>
      <c r="AJ2" s="684"/>
      <c r="AK2" s="684"/>
      <c r="AL2" s="684"/>
      <c r="AM2" s="684"/>
      <c r="AN2" s="685"/>
      <c r="AO2" s="685"/>
      <c r="AP2" s="684"/>
      <c r="AQ2" s="684"/>
      <c r="AR2" s="684"/>
      <c r="AS2" s="686"/>
      <c r="AT2" s="684"/>
      <c r="AU2" s="684"/>
      <c r="AV2" s="684"/>
      <c r="AW2" s="684"/>
      <c r="AX2" s="684"/>
      <c r="AY2" s="684"/>
      <c r="AZ2" s="684"/>
      <c r="BA2" s="684"/>
      <c r="BB2" s="684"/>
      <c r="BC2" s="684"/>
      <c r="BD2" s="684"/>
      <c r="BE2" s="684"/>
      <c r="BF2" s="684"/>
      <c r="BG2" s="684"/>
      <c r="BH2" s="684"/>
      <c r="BI2" s="684"/>
      <c r="BJ2" s="684"/>
      <c r="BK2" s="684"/>
      <c r="BL2" s="684"/>
      <c r="BM2" s="684"/>
      <c r="BN2" s="684"/>
      <c r="BO2" s="684"/>
      <c r="BP2" s="684"/>
      <c r="BQ2" s="684"/>
      <c r="BR2" s="684"/>
      <c r="BS2" s="684"/>
      <c r="BT2" s="684"/>
      <c r="BU2" s="684"/>
      <c r="BV2" s="684"/>
      <c r="BW2" s="684"/>
      <c r="BX2" s="684"/>
      <c r="BY2" s="684"/>
      <c r="BZ2" s="684"/>
      <c r="CA2" s="684"/>
      <c r="CB2" s="684"/>
      <c r="CC2" s="684"/>
      <c r="CD2" s="684"/>
      <c r="CE2" s="684"/>
      <c r="CF2" s="684"/>
      <c r="CG2"/>
      <c r="CH2"/>
      <c r="CI2"/>
      <c r="CJ2"/>
      <c r="CK2"/>
      <c r="CL2"/>
      <c r="CM2"/>
      <c r="CN2" s="681"/>
      <c r="CO2" s="681"/>
      <c r="CP2" s="681"/>
      <c r="CQ2" s="681"/>
      <c r="CR2" s="681"/>
      <c r="CS2" s="681"/>
      <c r="CT2" s="681"/>
      <c r="CU2" s="681"/>
      <c r="CV2" s="681"/>
      <c r="CW2" s="681"/>
      <c r="CX2" s="681"/>
      <c r="CY2" s="681"/>
      <c r="CZ2" s="681"/>
      <c r="DA2" s="681"/>
      <c r="DB2" s="681"/>
      <c r="DC2" s="681"/>
      <c r="DD2" s="681"/>
      <c r="DE2" s="681"/>
      <c r="DF2" s="681"/>
      <c r="DG2" s="681"/>
      <c r="DH2" s="681"/>
      <c r="DI2" s="681"/>
      <c r="DJ2" s="681"/>
      <c r="DK2" s="681"/>
      <c r="DL2" s="681"/>
      <c r="DM2" s="681"/>
      <c r="DN2" s="681"/>
      <c r="DO2" s="681"/>
      <c r="DP2" s="681"/>
      <c r="DQ2" s="681"/>
      <c r="DR2" s="681"/>
      <c r="DS2" s="681"/>
      <c r="DT2" s="681"/>
      <c r="DU2" s="681"/>
      <c r="DV2" s="681"/>
      <c r="DW2" s="681"/>
      <c r="DX2" s="681"/>
      <c r="DY2" s="681"/>
      <c r="DZ2" s="681"/>
      <c r="EA2" s="681"/>
      <c r="EB2" s="681"/>
      <c r="EC2" s="681"/>
      <c r="ED2" s="681"/>
      <c r="EE2" s="681"/>
      <c r="EF2" s="681"/>
      <c r="EG2" s="681"/>
      <c r="EH2" s="681"/>
      <c r="EI2" s="681"/>
      <c r="EJ2" s="681"/>
      <c r="EK2" s="681"/>
      <c r="EL2" s="681"/>
      <c r="EM2" s="681"/>
      <c r="EN2" s="681"/>
      <c r="EO2" s="681"/>
      <c r="EP2" s="681"/>
      <c r="EQ2" s="681"/>
      <c r="ER2" s="681"/>
      <c r="ES2" s="681"/>
      <c r="ET2" s="681"/>
      <c r="EU2" s="681"/>
      <c r="EV2" s="681"/>
      <c r="EW2" s="681"/>
      <c r="EX2" s="681"/>
      <c r="EY2" s="681"/>
      <c r="EZ2" s="681"/>
      <c r="FA2" s="681"/>
      <c r="FB2" s="681"/>
      <c r="FC2" s="681"/>
      <c r="FD2" s="681"/>
      <c r="FE2" s="681"/>
      <c r="FF2" s="681"/>
      <c r="FG2" s="681"/>
      <c r="FH2" s="681"/>
      <c r="FI2" s="681"/>
      <c r="FJ2" s="681"/>
      <c r="FK2" s="681"/>
      <c r="FL2" s="681"/>
      <c r="FM2" s="681"/>
      <c r="FN2" s="681"/>
      <c r="FO2" s="681"/>
      <c r="FP2" s="681"/>
      <c r="FQ2" s="681"/>
      <c r="FR2" s="681"/>
      <c r="FS2" s="681"/>
      <c r="FT2" s="681"/>
      <c r="FU2" s="681"/>
      <c r="FV2" s="681"/>
      <c r="FW2" s="681"/>
      <c r="FX2" s="681"/>
      <c r="FY2" s="681"/>
      <c r="FZ2" s="681"/>
      <c r="GA2" s="681"/>
      <c r="GB2" s="681"/>
      <c r="GC2" s="681"/>
      <c r="GD2" s="681"/>
      <c r="GE2" s="681"/>
      <c r="GF2" s="681"/>
      <c r="GG2" s="681"/>
      <c r="GH2" s="681"/>
      <c r="GI2" s="681"/>
      <c r="GJ2" s="681"/>
      <c r="GK2" s="681"/>
      <c r="GL2" s="681"/>
      <c r="GM2" s="681"/>
      <c r="GN2" s="681"/>
      <c r="GO2" s="681"/>
      <c r="GP2" s="681"/>
      <c r="GQ2" s="681"/>
    </row>
    <row r="3" spans="1:199" s="689" customFormat="1" ht="18.75" hidden="1" customHeight="1" outlineLevel="1" x14ac:dyDescent="0.2">
      <c r="A3" s="688" t="s">
        <v>252</v>
      </c>
      <c r="B3" s="683"/>
      <c r="C3" s="683"/>
      <c r="D3" s="683"/>
      <c r="E3" s="683"/>
      <c r="F3" s="683"/>
      <c r="G3" s="683"/>
      <c r="H3" s="683"/>
      <c r="I3" s="683"/>
      <c r="J3" s="683"/>
      <c r="K3" s="683"/>
      <c r="L3" s="683"/>
      <c r="M3" s="683"/>
      <c r="N3" s="683"/>
      <c r="O3" s="683"/>
      <c r="P3" s="683"/>
      <c r="Q3" s="683"/>
      <c r="R3" s="683"/>
      <c r="S3" s="683"/>
      <c r="T3" s="683"/>
      <c r="U3" s="683"/>
      <c r="V3" s="683"/>
      <c r="W3" s="683"/>
      <c r="X3" s="683"/>
      <c r="Y3" s="683"/>
      <c r="Z3" s="683"/>
      <c r="AA3" s="683"/>
      <c r="AB3" s="683"/>
      <c r="AC3" s="683"/>
      <c r="AD3" s="683"/>
      <c r="AE3" s="683"/>
      <c r="AF3" s="683"/>
      <c r="AG3" s="683"/>
      <c r="AH3" s="683"/>
      <c r="AI3" s="684"/>
      <c r="AJ3" s="684"/>
      <c r="AK3" s="684"/>
      <c r="AL3" s="684"/>
      <c r="AM3" s="684"/>
      <c r="AN3" s="685"/>
      <c r="AO3" s="685"/>
      <c r="AP3" s="684"/>
      <c r="AQ3" s="684"/>
      <c r="AR3" s="684"/>
      <c r="AS3" s="686"/>
      <c r="AT3" s="684"/>
      <c r="AU3" s="684"/>
      <c r="AV3" s="684"/>
      <c r="AW3" s="684"/>
      <c r="AX3" s="684"/>
      <c r="AY3" s="684"/>
      <c r="AZ3" s="684"/>
      <c r="BA3" s="684"/>
      <c r="BB3" s="684"/>
      <c r="BC3" s="684"/>
      <c r="BD3" s="684"/>
      <c r="BE3" s="684"/>
      <c r="BF3" s="684"/>
      <c r="BG3" s="684"/>
      <c r="BH3" s="684"/>
      <c r="BI3" s="684"/>
      <c r="BJ3" s="684"/>
      <c r="BK3" s="684"/>
      <c r="BL3" s="684"/>
      <c r="BM3" s="684"/>
      <c r="BN3" s="684"/>
      <c r="BO3" s="684"/>
      <c r="BP3" s="684"/>
      <c r="BQ3" s="684"/>
      <c r="BR3" s="684"/>
      <c r="BS3" s="684"/>
      <c r="BT3" s="684"/>
      <c r="BU3" s="684"/>
      <c r="BV3" s="684"/>
      <c r="BW3" s="684"/>
      <c r="BX3" s="684"/>
      <c r="BY3" s="684"/>
      <c r="BZ3" s="684"/>
      <c r="CA3" s="684"/>
      <c r="CB3" s="684"/>
      <c r="CC3" s="684"/>
      <c r="CD3" s="684"/>
      <c r="CE3" s="684"/>
      <c r="CF3" s="684"/>
      <c r="CG3"/>
      <c r="CH3"/>
      <c r="CI3"/>
      <c r="CJ3"/>
      <c r="CK3"/>
      <c r="CL3"/>
      <c r="CM3"/>
      <c r="CN3" s="681"/>
      <c r="CO3" s="681"/>
      <c r="CP3" s="681"/>
      <c r="CQ3" s="681"/>
      <c r="CR3" s="681"/>
      <c r="CS3" s="681"/>
      <c r="CT3" s="681"/>
      <c r="CU3" s="681"/>
      <c r="CV3" s="681"/>
      <c r="CW3" s="681"/>
      <c r="CX3" s="681"/>
      <c r="CY3" s="681"/>
      <c r="CZ3" s="681"/>
      <c r="DA3" s="681"/>
      <c r="DB3" s="681"/>
      <c r="DC3" s="681"/>
      <c r="DD3" s="681"/>
      <c r="DE3" s="681"/>
      <c r="DF3" s="681"/>
      <c r="DG3" s="681"/>
      <c r="DH3" s="681"/>
      <c r="DI3" s="681"/>
      <c r="DJ3" s="681"/>
      <c r="DK3" s="681"/>
      <c r="DL3" s="681"/>
      <c r="DM3" s="681"/>
      <c r="DN3" s="681"/>
      <c r="DO3" s="681"/>
      <c r="DP3" s="681"/>
      <c r="DQ3" s="681"/>
      <c r="DR3" s="681"/>
      <c r="DS3" s="681"/>
      <c r="DT3" s="681"/>
      <c r="DU3" s="681"/>
      <c r="DV3" s="681"/>
      <c r="DW3" s="681"/>
      <c r="DX3" s="681"/>
      <c r="DY3" s="681"/>
      <c r="DZ3" s="681"/>
      <c r="EA3" s="681"/>
      <c r="EB3" s="681"/>
      <c r="EC3" s="681"/>
      <c r="ED3" s="681"/>
      <c r="EE3" s="681"/>
      <c r="EF3" s="681"/>
      <c r="EG3" s="681"/>
      <c r="EH3" s="681"/>
      <c r="EI3" s="681"/>
      <c r="EJ3" s="681"/>
      <c r="EK3" s="681"/>
      <c r="EL3" s="681"/>
      <c r="EM3" s="681"/>
      <c r="EN3" s="681"/>
      <c r="EO3" s="681"/>
      <c r="EP3" s="681"/>
      <c r="EQ3" s="681"/>
      <c r="ER3" s="681"/>
      <c r="ES3" s="681"/>
      <c r="ET3" s="681"/>
      <c r="EU3" s="681"/>
      <c r="EV3" s="681"/>
      <c r="EW3" s="681"/>
      <c r="EX3" s="681"/>
      <c r="EY3" s="681"/>
      <c r="EZ3" s="681"/>
      <c r="FA3" s="681"/>
      <c r="FB3" s="681"/>
      <c r="FC3" s="681"/>
      <c r="FD3" s="681"/>
      <c r="FE3" s="681"/>
      <c r="FF3" s="681"/>
      <c r="FG3" s="681"/>
      <c r="FH3" s="681"/>
      <c r="FI3" s="681"/>
      <c r="FJ3" s="681"/>
      <c r="FK3" s="681"/>
      <c r="FL3" s="681"/>
      <c r="FM3" s="681"/>
      <c r="FN3" s="681"/>
      <c r="FO3" s="681"/>
      <c r="FP3" s="681"/>
      <c r="FQ3" s="681"/>
      <c r="FR3" s="681"/>
      <c r="FS3" s="681"/>
      <c r="FT3" s="681"/>
      <c r="FU3" s="681"/>
      <c r="FV3" s="681"/>
      <c r="FW3" s="681"/>
      <c r="FX3" s="681"/>
      <c r="FY3" s="681"/>
      <c r="FZ3" s="681"/>
      <c r="GA3" s="681"/>
      <c r="GB3" s="681"/>
      <c r="GC3" s="681"/>
      <c r="GD3" s="681"/>
      <c r="GE3" s="681"/>
      <c r="GF3" s="681"/>
      <c r="GG3" s="681"/>
      <c r="GH3" s="681"/>
      <c r="GI3" s="681"/>
      <c r="GJ3" s="681"/>
      <c r="GK3" s="681"/>
      <c r="GL3" s="681"/>
      <c r="GM3" s="681"/>
      <c r="GN3" s="681"/>
      <c r="GO3" s="681"/>
      <c r="GP3" s="681"/>
      <c r="GQ3" s="681"/>
    </row>
    <row r="4" spans="1:199" s="690" customFormat="1" ht="18.75" hidden="1" customHeight="1" outlineLevel="1" x14ac:dyDescent="0.2">
      <c r="A4" s="688" t="s">
        <v>253</v>
      </c>
      <c r="B4" s="683"/>
      <c r="C4" s="683"/>
      <c r="D4" s="683"/>
      <c r="E4" s="683"/>
      <c r="F4" s="683"/>
      <c r="G4" s="683"/>
      <c r="H4" s="683"/>
      <c r="I4" s="683"/>
      <c r="J4" s="683"/>
      <c r="K4" s="683"/>
      <c r="L4" s="683"/>
      <c r="M4" s="683"/>
      <c r="N4" s="683"/>
      <c r="O4" s="683"/>
      <c r="P4" s="683"/>
      <c r="Q4" s="683"/>
      <c r="R4" s="683"/>
      <c r="S4" s="683"/>
      <c r="T4" s="683"/>
      <c r="U4" s="683"/>
      <c r="V4" s="683"/>
      <c r="W4" s="683"/>
      <c r="X4" s="683"/>
      <c r="Y4" s="683"/>
      <c r="Z4" s="683"/>
      <c r="AA4" s="683"/>
      <c r="AB4" s="683"/>
      <c r="AC4" s="683"/>
      <c r="AD4" s="683"/>
      <c r="AE4" s="683"/>
      <c r="AF4" s="683"/>
      <c r="AG4" s="683"/>
      <c r="AH4" s="683"/>
      <c r="AI4" s="684"/>
      <c r="AJ4" s="684"/>
      <c r="AK4" s="684"/>
      <c r="AL4" s="684"/>
      <c r="AM4" s="684"/>
      <c r="AN4" s="685"/>
      <c r="AO4" s="685"/>
      <c r="AP4" s="684"/>
      <c r="AQ4" s="684"/>
      <c r="AR4" s="684"/>
      <c r="AS4" s="686"/>
      <c r="AT4" s="684"/>
      <c r="AU4" s="684"/>
      <c r="AV4" s="684"/>
      <c r="AW4" s="684"/>
      <c r="AX4" s="684"/>
      <c r="AY4" s="684"/>
      <c r="AZ4" s="684"/>
      <c r="BA4" s="684"/>
      <c r="BB4" s="684"/>
      <c r="BC4" s="684"/>
      <c r="BD4" s="684"/>
      <c r="BE4" s="684"/>
      <c r="BF4" s="684"/>
      <c r="BG4" s="684"/>
      <c r="BH4" s="684"/>
      <c r="BI4" s="684"/>
      <c r="BJ4" s="684"/>
      <c r="BK4" s="684"/>
      <c r="BL4" s="684"/>
      <c r="BM4" s="684"/>
      <c r="BN4" s="684"/>
      <c r="BO4" s="684"/>
      <c r="BP4" s="684"/>
      <c r="BQ4" s="684"/>
      <c r="BR4" s="684"/>
      <c r="BS4" s="684"/>
      <c r="BT4" s="684"/>
      <c r="BU4" s="684"/>
      <c r="BV4" s="684"/>
      <c r="BW4" s="684"/>
      <c r="BX4" s="684"/>
      <c r="BY4" s="684"/>
      <c r="BZ4" s="684"/>
      <c r="CA4" s="684"/>
      <c r="CB4" s="684"/>
      <c r="CC4" s="684"/>
      <c r="CD4" s="684"/>
      <c r="CE4" s="684"/>
      <c r="CF4" s="684"/>
      <c r="CG4"/>
      <c r="CH4"/>
      <c r="CI4"/>
      <c r="CJ4"/>
      <c r="CK4"/>
      <c r="CL4"/>
      <c r="CM4"/>
      <c r="CN4" s="681"/>
      <c r="CO4" s="681"/>
      <c r="CP4" s="681"/>
      <c r="CQ4" s="681"/>
      <c r="CR4" s="681"/>
      <c r="CS4" s="681"/>
      <c r="CT4" s="681"/>
      <c r="CU4" s="681"/>
      <c r="CV4" s="681"/>
      <c r="CW4" s="681"/>
      <c r="CX4" s="681"/>
      <c r="CY4" s="681"/>
      <c r="CZ4" s="681"/>
      <c r="DA4" s="681"/>
      <c r="DB4" s="681"/>
      <c r="DC4" s="681"/>
      <c r="DD4" s="681"/>
      <c r="DE4" s="681"/>
      <c r="DF4" s="681"/>
      <c r="DG4" s="681"/>
      <c r="DH4" s="681"/>
      <c r="DI4" s="681"/>
      <c r="DJ4" s="681"/>
      <c r="DK4" s="681"/>
      <c r="DL4" s="681"/>
      <c r="DM4" s="681"/>
      <c r="DN4" s="681"/>
      <c r="DO4" s="681"/>
      <c r="DP4" s="681"/>
      <c r="DQ4" s="681"/>
      <c r="DR4" s="681"/>
      <c r="DS4" s="681"/>
      <c r="DT4" s="681"/>
      <c r="DU4" s="681"/>
      <c r="DV4" s="681"/>
      <c r="DW4" s="681"/>
      <c r="DX4" s="681"/>
      <c r="DY4" s="681"/>
      <c r="DZ4" s="681"/>
      <c r="EA4" s="681"/>
      <c r="EB4" s="681"/>
      <c r="EC4" s="681"/>
      <c r="ED4" s="681"/>
      <c r="EE4" s="681"/>
      <c r="EF4" s="681"/>
      <c r="EG4" s="681"/>
      <c r="EH4" s="681"/>
      <c r="EI4" s="681"/>
      <c r="EJ4" s="681"/>
      <c r="EK4" s="681"/>
      <c r="EL4" s="681"/>
      <c r="EM4" s="681"/>
      <c r="EN4" s="681"/>
      <c r="EO4" s="681"/>
      <c r="EP4" s="681"/>
      <c r="EQ4" s="681"/>
      <c r="ER4" s="681"/>
      <c r="ES4" s="681"/>
      <c r="ET4" s="681"/>
      <c r="EU4" s="681"/>
      <c r="EV4" s="681"/>
      <c r="EW4" s="681"/>
      <c r="EX4" s="681"/>
      <c r="EY4" s="681"/>
      <c r="EZ4" s="681"/>
      <c r="FA4" s="681"/>
      <c r="FB4" s="681"/>
      <c r="FC4" s="681"/>
      <c r="FD4" s="681"/>
      <c r="FE4" s="681"/>
      <c r="FF4" s="681"/>
      <c r="FG4" s="681"/>
      <c r="FH4" s="681"/>
      <c r="FI4" s="681"/>
      <c r="FJ4" s="681"/>
      <c r="FK4" s="681"/>
      <c r="FL4" s="681"/>
      <c r="FM4" s="681"/>
      <c r="FN4" s="681"/>
      <c r="FO4" s="681"/>
      <c r="FP4" s="681"/>
      <c r="FQ4" s="681"/>
      <c r="FR4" s="681"/>
      <c r="FS4" s="681"/>
      <c r="FT4" s="681"/>
      <c r="FU4" s="681"/>
      <c r="FV4" s="681"/>
      <c r="FW4" s="681"/>
      <c r="FX4" s="681"/>
      <c r="FY4" s="681"/>
      <c r="FZ4" s="681"/>
      <c r="GA4" s="681"/>
      <c r="GB4" s="681"/>
      <c r="GC4" s="681"/>
      <c r="GD4" s="681"/>
      <c r="GE4" s="681"/>
      <c r="GF4" s="681"/>
      <c r="GG4" s="681"/>
      <c r="GH4" s="681"/>
      <c r="GI4" s="681"/>
      <c r="GJ4" s="681"/>
      <c r="GK4" s="681"/>
      <c r="GL4" s="681"/>
      <c r="GM4" s="681"/>
      <c r="GN4" s="681"/>
      <c r="GO4" s="681"/>
      <c r="GP4" s="681"/>
      <c r="GQ4" s="681"/>
    </row>
    <row r="5" spans="1:199" s="689" customFormat="1" ht="18.75" hidden="1" customHeight="1" outlineLevel="1" x14ac:dyDescent="0.2">
      <c r="A5" s="688" t="s">
        <v>254</v>
      </c>
      <c r="B5" s="683"/>
      <c r="C5" s="683"/>
      <c r="D5" s="683"/>
      <c r="E5" s="683"/>
      <c r="F5" s="683"/>
      <c r="G5" s="683"/>
      <c r="H5" s="683"/>
      <c r="I5" s="683"/>
      <c r="J5" s="683"/>
      <c r="K5" s="683"/>
      <c r="L5" s="683"/>
      <c r="M5" s="683"/>
      <c r="N5" s="683"/>
      <c r="O5" s="683"/>
      <c r="P5" s="683"/>
      <c r="Q5" s="683"/>
      <c r="R5" s="683"/>
      <c r="S5" s="683"/>
      <c r="T5" s="683"/>
      <c r="U5" s="683"/>
      <c r="V5" s="683"/>
      <c r="W5" s="683"/>
      <c r="X5" s="683"/>
      <c r="Y5" s="683"/>
      <c r="Z5" s="683"/>
      <c r="AA5" s="683"/>
      <c r="AB5" s="683"/>
      <c r="AC5" s="683"/>
      <c r="AD5" s="683"/>
      <c r="AE5" s="683"/>
      <c r="AF5" s="683"/>
      <c r="AG5" s="683"/>
      <c r="AH5" s="683"/>
      <c r="AI5" s="684"/>
      <c r="AJ5" s="684"/>
      <c r="AK5" s="684"/>
      <c r="AL5" s="684"/>
      <c r="AM5" s="684"/>
      <c r="AN5" s="685"/>
      <c r="AO5" s="685"/>
      <c r="AP5" s="684"/>
      <c r="AQ5" s="684"/>
      <c r="AR5" s="684"/>
      <c r="AS5" s="686"/>
      <c r="AT5" s="684"/>
      <c r="AU5" s="684"/>
      <c r="AV5" s="684"/>
      <c r="AW5" s="684"/>
      <c r="AX5" s="684"/>
      <c r="AY5" s="684"/>
      <c r="AZ5" s="684"/>
      <c r="BA5" s="684"/>
      <c r="BB5" s="684"/>
      <c r="BC5" s="684"/>
      <c r="BD5" s="684"/>
      <c r="BE5" s="684"/>
      <c r="BF5" s="684"/>
      <c r="BG5" s="684"/>
      <c r="BH5" s="684"/>
      <c r="BI5" s="684"/>
      <c r="BJ5" s="684"/>
      <c r="BK5" s="684"/>
      <c r="BL5" s="684"/>
      <c r="BM5" s="684"/>
      <c r="BN5" s="684"/>
      <c r="BO5" s="684"/>
      <c r="BP5" s="684"/>
      <c r="BQ5" s="684"/>
      <c r="BR5" s="684"/>
      <c r="BS5" s="684"/>
      <c r="BT5" s="684"/>
      <c r="BU5" s="684"/>
      <c r="BV5" s="684"/>
      <c r="BW5" s="684"/>
      <c r="BX5" s="684"/>
      <c r="BY5" s="684"/>
      <c r="BZ5" s="684"/>
      <c r="CA5" s="684"/>
      <c r="CB5" s="684"/>
      <c r="CC5" s="684"/>
      <c r="CD5" s="691" t="s">
        <v>11</v>
      </c>
      <c r="CE5" s="691"/>
      <c r="CF5" s="684"/>
      <c r="CG5"/>
      <c r="CH5"/>
      <c r="CI5"/>
      <c r="CJ5"/>
      <c r="CK5"/>
      <c r="CL5"/>
      <c r="CM5"/>
      <c r="CN5" s="681"/>
      <c r="CO5" s="681"/>
      <c r="CP5" s="681"/>
      <c r="CQ5" s="681"/>
      <c r="CR5" s="681"/>
      <c r="CS5" s="681"/>
      <c r="CT5" s="681"/>
      <c r="CU5" s="681"/>
      <c r="CV5" s="681"/>
      <c r="CW5" s="681"/>
      <c r="CX5" s="681"/>
      <c r="CY5" s="681"/>
      <c r="CZ5" s="681"/>
      <c r="DA5" s="681"/>
      <c r="DB5" s="681"/>
      <c r="DC5" s="681"/>
      <c r="DD5" s="681"/>
      <c r="DE5" s="681"/>
      <c r="DF5" s="681"/>
      <c r="DG5" s="681"/>
      <c r="DH5" s="681"/>
      <c r="DI5" s="681"/>
      <c r="DJ5" s="681"/>
      <c r="DK5" s="681"/>
      <c r="DL5" s="681"/>
      <c r="DM5" s="681"/>
      <c r="DN5" s="681"/>
      <c r="DO5" s="681"/>
      <c r="DP5" s="681"/>
      <c r="DQ5" s="681"/>
      <c r="DR5" s="681"/>
      <c r="DS5" s="681"/>
      <c r="DT5" s="681"/>
      <c r="DU5" s="681"/>
      <c r="DV5" s="681"/>
      <c r="DW5" s="681"/>
      <c r="DX5" s="681"/>
      <c r="DY5" s="681"/>
      <c r="DZ5" s="681"/>
      <c r="EA5" s="681"/>
      <c r="EB5" s="681"/>
      <c r="EC5" s="681"/>
      <c r="ED5" s="681"/>
      <c r="EE5" s="681"/>
      <c r="EF5" s="681"/>
      <c r="EG5" s="681"/>
      <c r="EH5" s="681"/>
      <c r="EI5" s="681"/>
      <c r="EJ5" s="681"/>
      <c r="EK5" s="681"/>
      <c r="EL5" s="681"/>
      <c r="EM5" s="681"/>
      <c r="EN5" s="681"/>
      <c r="EO5" s="681"/>
      <c r="EP5" s="681"/>
      <c r="EQ5" s="681"/>
      <c r="ER5" s="681"/>
      <c r="ES5" s="681"/>
      <c r="ET5" s="681"/>
      <c r="EU5" s="681"/>
      <c r="EV5" s="681"/>
      <c r="EW5" s="681"/>
      <c r="EX5" s="681"/>
      <c r="EY5" s="681"/>
      <c r="EZ5" s="681"/>
      <c r="FA5" s="681"/>
      <c r="FB5" s="681"/>
      <c r="FC5" s="681"/>
      <c r="FD5" s="681"/>
      <c r="FE5" s="681"/>
      <c r="FF5" s="681"/>
      <c r="FG5" s="681"/>
      <c r="FH5" s="681"/>
      <c r="FI5" s="681"/>
      <c r="FJ5" s="681"/>
      <c r="FK5" s="681"/>
      <c r="FL5" s="681"/>
      <c r="FM5" s="681"/>
      <c r="FN5" s="681"/>
      <c r="FO5" s="681"/>
      <c r="FP5" s="681"/>
      <c r="FQ5" s="681"/>
      <c r="FR5" s="681"/>
      <c r="FS5" s="681"/>
      <c r="FT5" s="681"/>
      <c r="FU5" s="681"/>
      <c r="FV5" s="681"/>
      <c r="FW5" s="681"/>
      <c r="FX5" s="681"/>
      <c r="FY5" s="681"/>
      <c r="FZ5" s="681"/>
      <c r="GA5" s="681"/>
      <c r="GB5" s="681"/>
      <c r="GC5" s="681"/>
      <c r="GD5" s="681"/>
      <c r="GE5" s="681"/>
      <c r="GF5" s="681"/>
      <c r="GG5" s="681"/>
      <c r="GH5" s="681"/>
      <c r="GI5" s="681"/>
      <c r="GJ5" s="681"/>
      <c r="GK5" s="681"/>
      <c r="GL5" s="681"/>
      <c r="GM5" s="681"/>
      <c r="GN5" s="681"/>
      <c r="GO5" s="681"/>
      <c r="GP5" s="681"/>
      <c r="GQ5" s="681"/>
    </row>
    <row r="6" spans="1:199" s="689" customFormat="1" ht="18.75" hidden="1" customHeight="1" outlineLevel="1" x14ac:dyDescent="0.2">
      <c r="A6" s="688" t="s">
        <v>255</v>
      </c>
      <c r="B6" s="683"/>
      <c r="C6" s="683"/>
      <c r="D6" s="683"/>
      <c r="E6" s="683"/>
      <c r="F6" s="683"/>
      <c r="G6" s="683"/>
      <c r="H6" s="683"/>
      <c r="I6" s="683"/>
      <c r="J6" s="683"/>
      <c r="K6" s="683"/>
      <c r="L6" s="683"/>
      <c r="M6" s="683"/>
      <c r="N6" s="683"/>
      <c r="O6" s="683"/>
      <c r="P6" s="683"/>
      <c r="Q6" s="683"/>
      <c r="R6" s="683"/>
      <c r="S6" s="683"/>
      <c r="T6" s="683"/>
      <c r="U6" s="683"/>
      <c r="V6" s="683"/>
      <c r="W6" s="683"/>
      <c r="X6" s="683"/>
      <c r="Y6" s="683"/>
      <c r="Z6" s="683"/>
      <c r="AA6" s="683"/>
      <c r="AB6" s="683"/>
      <c r="AC6" s="683"/>
      <c r="AD6" s="683"/>
      <c r="AE6" s="683"/>
      <c r="AF6" s="683"/>
      <c r="AG6" s="683"/>
      <c r="AH6" s="683"/>
      <c r="AI6" s="684"/>
      <c r="AJ6" s="684"/>
      <c r="AK6" s="684"/>
      <c r="AL6" s="684"/>
      <c r="AM6" s="684"/>
      <c r="AN6" s="685"/>
      <c r="AO6" s="685"/>
      <c r="AP6" s="684"/>
      <c r="AQ6" s="684"/>
      <c r="AR6" s="684"/>
      <c r="AS6" s="686"/>
      <c r="AT6" s="684"/>
      <c r="AU6" s="684"/>
      <c r="AV6" s="684"/>
      <c r="AW6" s="684"/>
      <c r="AX6" s="684"/>
      <c r="AY6" s="684"/>
      <c r="AZ6" s="684"/>
      <c r="BA6" s="684"/>
      <c r="BB6" s="684"/>
      <c r="BC6" s="684"/>
      <c r="BD6" s="684"/>
      <c r="BE6" s="684"/>
      <c r="BF6" s="684"/>
      <c r="BG6" s="684"/>
      <c r="BH6" s="684"/>
      <c r="BI6" s="684"/>
      <c r="BJ6" s="684"/>
      <c r="BK6" s="684"/>
      <c r="BL6" s="684"/>
      <c r="BM6" s="684"/>
      <c r="BN6" s="684"/>
      <c r="BO6" s="684"/>
      <c r="BP6" s="684"/>
      <c r="BQ6" s="684"/>
      <c r="BR6" s="684"/>
      <c r="BS6" s="684"/>
      <c r="BT6" s="684"/>
      <c r="BU6" s="684"/>
      <c r="BV6" s="684"/>
      <c r="BW6" s="684"/>
      <c r="BX6" s="684"/>
      <c r="BY6" s="684"/>
      <c r="BZ6" s="684"/>
      <c r="CA6" s="684"/>
      <c r="CB6" s="684"/>
      <c r="CC6" s="684"/>
      <c r="CD6" s="684"/>
      <c r="CE6" s="684"/>
      <c r="CF6" s="684"/>
      <c r="CG6"/>
      <c r="CH6"/>
      <c r="CI6"/>
      <c r="CJ6"/>
      <c r="CK6"/>
      <c r="CL6"/>
      <c r="CM6"/>
      <c r="CN6" s="681"/>
      <c r="CO6" s="681"/>
      <c r="CP6" s="681"/>
      <c r="CQ6" s="681"/>
      <c r="CR6" s="681"/>
      <c r="CS6" s="681"/>
      <c r="CT6" s="681"/>
      <c r="CU6" s="681"/>
      <c r="CV6" s="681"/>
      <c r="CW6" s="681"/>
      <c r="CX6" s="681"/>
      <c r="CY6" s="681"/>
      <c r="CZ6" s="681"/>
      <c r="DA6" s="681"/>
      <c r="DB6" s="681"/>
      <c r="DC6" s="681"/>
      <c r="DD6" s="681"/>
      <c r="DE6" s="681"/>
      <c r="DF6" s="681"/>
      <c r="DG6" s="681"/>
      <c r="DH6" s="681"/>
      <c r="DI6" s="681"/>
      <c r="DJ6" s="681"/>
      <c r="DK6" s="681"/>
      <c r="DL6" s="681"/>
      <c r="DM6" s="681"/>
      <c r="DN6" s="681"/>
      <c r="DO6" s="681"/>
      <c r="DP6" s="681"/>
      <c r="DQ6" s="681"/>
      <c r="DR6" s="681"/>
      <c r="DS6" s="681"/>
      <c r="DT6" s="681"/>
      <c r="DU6" s="681"/>
      <c r="DV6" s="681"/>
      <c r="DW6" s="681"/>
      <c r="DX6" s="681"/>
      <c r="DY6" s="681"/>
      <c r="DZ6" s="681"/>
      <c r="EA6" s="681"/>
      <c r="EB6" s="681"/>
      <c r="EC6" s="681"/>
      <c r="ED6" s="681"/>
      <c r="EE6" s="681"/>
      <c r="EF6" s="681"/>
      <c r="EG6" s="681"/>
      <c r="EH6" s="681"/>
      <c r="EI6" s="681"/>
      <c r="EJ6" s="681"/>
      <c r="EK6" s="681"/>
      <c r="EL6" s="681"/>
      <c r="EM6" s="681"/>
      <c r="EN6" s="681"/>
      <c r="EO6" s="681"/>
      <c r="EP6" s="681"/>
      <c r="EQ6" s="681"/>
      <c r="ER6" s="681"/>
      <c r="ES6" s="681"/>
      <c r="ET6" s="681"/>
      <c r="EU6" s="681"/>
      <c r="EV6" s="681"/>
      <c r="EW6" s="681"/>
      <c r="EX6" s="681"/>
      <c r="EY6" s="681"/>
      <c r="EZ6" s="681"/>
      <c r="FA6" s="681"/>
      <c r="FB6" s="681"/>
      <c r="FC6" s="681"/>
      <c r="FD6" s="681"/>
      <c r="FE6" s="681"/>
      <c r="FF6" s="681"/>
      <c r="FG6" s="681"/>
      <c r="FH6" s="681"/>
      <c r="FI6" s="681"/>
      <c r="FJ6" s="681"/>
      <c r="FK6" s="681"/>
      <c r="FL6" s="681"/>
      <c r="FM6" s="681"/>
      <c r="FN6" s="681"/>
      <c r="FO6" s="681"/>
      <c r="FP6" s="681"/>
      <c r="FQ6" s="681"/>
      <c r="FR6" s="681"/>
      <c r="FS6" s="681"/>
      <c r="FT6" s="681"/>
      <c r="FU6" s="681"/>
      <c r="FV6" s="681"/>
      <c r="FW6" s="681"/>
      <c r="FX6" s="681"/>
      <c r="FY6" s="681"/>
      <c r="FZ6" s="681"/>
      <c r="GA6" s="681"/>
      <c r="GB6" s="681"/>
      <c r="GC6" s="681"/>
      <c r="GD6" s="681"/>
      <c r="GE6" s="681"/>
      <c r="GF6" s="681"/>
      <c r="GG6" s="681"/>
      <c r="GH6" s="681"/>
      <c r="GI6" s="681"/>
      <c r="GJ6" s="681"/>
      <c r="GK6" s="681"/>
      <c r="GL6" s="681"/>
      <c r="GM6" s="681"/>
      <c r="GN6" s="681"/>
      <c r="GO6" s="681"/>
      <c r="GP6" s="681"/>
      <c r="GQ6" s="681"/>
    </row>
    <row r="7" spans="1:199" s="689" customFormat="1" ht="18.75" hidden="1" customHeight="1" outlineLevel="1" x14ac:dyDescent="0.2">
      <c r="A7" s="692" t="s">
        <v>256</v>
      </c>
      <c r="B7" s="693"/>
      <c r="C7" s="693"/>
      <c r="D7" s="693"/>
      <c r="E7" s="693"/>
      <c r="F7" s="693"/>
      <c r="G7" s="693"/>
      <c r="H7" s="693"/>
      <c r="I7" s="693"/>
      <c r="J7" s="693"/>
      <c r="K7" s="693"/>
      <c r="L7" s="693"/>
      <c r="M7" s="693"/>
      <c r="N7" s="693"/>
      <c r="O7" s="693"/>
      <c r="P7" s="693"/>
      <c r="Q7" s="693"/>
      <c r="R7" s="693"/>
      <c r="S7" s="693"/>
      <c r="T7" s="693"/>
      <c r="U7" s="693"/>
      <c r="V7" s="694"/>
      <c r="W7" s="694"/>
      <c r="X7" s="694"/>
      <c r="Y7" s="694"/>
      <c r="Z7" s="694"/>
      <c r="AA7" s="694"/>
      <c r="AB7" s="694"/>
      <c r="AC7" s="694"/>
      <c r="AD7" s="694"/>
      <c r="AE7" s="694"/>
      <c r="AF7" s="694"/>
      <c r="AG7" s="694"/>
      <c r="AH7" s="694"/>
      <c r="AI7" s="695"/>
      <c r="AJ7" s="695"/>
      <c r="AK7" s="695"/>
      <c r="AL7" s="695"/>
      <c r="AM7" s="695"/>
      <c r="AN7" s="696"/>
      <c r="AO7" s="696"/>
      <c r="AP7" s="695"/>
      <c r="AQ7" s="695"/>
      <c r="AR7" s="695"/>
      <c r="AS7" s="697"/>
      <c r="AT7" s="695"/>
      <c r="AU7" s="695"/>
      <c r="AV7" s="695"/>
      <c r="AW7" s="695"/>
      <c r="AX7" s="695"/>
      <c r="AY7" s="695"/>
      <c r="AZ7" s="698"/>
      <c r="BA7" s="695"/>
      <c r="BB7" s="695"/>
      <c r="BC7" s="695"/>
      <c r="BD7" s="695"/>
      <c r="BE7" s="695"/>
      <c r="BF7" s="695"/>
      <c r="BG7" s="695"/>
      <c r="BH7" s="695"/>
      <c r="BI7" s="695"/>
      <c r="BJ7" s="695"/>
      <c r="BK7" s="695"/>
      <c r="BL7" s="695"/>
      <c r="BM7" s="698"/>
      <c r="BN7" s="698"/>
      <c r="BO7" s="695"/>
      <c r="BP7" s="695"/>
      <c r="BQ7" s="695"/>
      <c r="BR7" s="695"/>
      <c r="BS7" s="695"/>
      <c r="BT7" s="698"/>
      <c r="BU7" s="698"/>
      <c r="BV7" s="698"/>
      <c r="BW7" s="698"/>
      <c r="BX7" s="698"/>
      <c r="BY7" s="698"/>
      <c r="BZ7" s="698"/>
      <c r="CA7" s="698"/>
      <c r="CB7" s="698"/>
      <c r="CC7" s="698"/>
      <c r="CD7" s="698"/>
      <c r="CE7" s="698"/>
      <c r="CF7" s="698"/>
      <c r="CG7"/>
      <c r="CH7"/>
      <c r="CI7"/>
      <c r="CJ7"/>
      <c r="CK7"/>
      <c r="CL7"/>
      <c r="CM7"/>
      <c r="CN7" s="681"/>
      <c r="CO7" s="681"/>
      <c r="CP7" s="681"/>
      <c r="CQ7" s="681"/>
      <c r="CR7" s="681"/>
      <c r="CS7" s="681"/>
      <c r="CT7" s="681"/>
      <c r="CU7" s="681"/>
      <c r="CV7" s="681"/>
      <c r="CW7" s="681"/>
      <c r="CX7" s="681"/>
      <c r="CY7" s="681"/>
      <c r="CZ7" s="681"/>
      <c r="DA7" s="681"/>
      <c r="DB7" s="681"/>
      <c r="DC7" s="681"/>
      <c r="DD7" s="681"/>
      <c r="DE7" s="681"/>
      <c r="DF7" s="681"/>
      <c r="DG7" s="681"/>
      <c r="DH7" s="681"/>
      <c r="DI7" s="681"/>
      <c r="DJ7" s="681"/>
      <c r="DK7" s="681"/>
      <c r="DL7" s="681"/>
      <c r="DM7" s="681"/>
      <c r="DN7" s="681"/>
      <c r="DO7" s="681"/>
      <c r="DP7" s="681"/>
      <c r="DQ7" s="681"/>
      <c r="DR7" s="681"/>
      <c r="DS7" s="681"/>
      <c r="DT7" s="681"/>
      <c r="DU7" s="681"/>
      <c r="DV7" s="681"/>
      <c r="DW7" s="681"/>
      <c r="DX7" s="681"/>
      <c r="DY7" s="681"/>
      <c r="DZ7" s="681"/>
      <c r="EA7" s="681"/>
      <c r="EB7" s="681"/>
      <c r="EC7" s="681"/>
      <c r="ED7" s="681"/>
      <c r="EE7" s="681"/>
      <c r="EF7" s="681"/>
      <c r="EG7" s="681"/>
      <c r="EH7" s="681"/>
      <c r="EI7" s="681"/>
      <c r="EJ7" s="681"/>
      <c r="EK7" s="681"/>
      <c r="EL7" s="681"/>
      <c r="EM7" s="681"/>
      <c r="EN7" s="681"/>
      <c r="EO7" s="681"/>
      <c r="EP7" s="681"/>
      <c r="EQ7" s="681"/>
      <c r="ER7" s="681"/>
      <c r="ES7" s="681"/>
      <c r="ET7" s="681"/>
      <c r="EU7" s="681"/>
      <c r="EV7" s="681"/>
      <c r="EW7" s="681"/>
      <c r="EX7" s="681"/>
      <c r="EY7" s="681"/>
      <c r="EZ7" s="681"/>
      <c r="FA7" s="681"/>
      <c r="FB7" s="681"/>
      <c r="FC7" s="681"/>
      <c r="FD7" s="681"/>
      <c r="FE7" s="681"/>
      <c r="FF7" s="681"/>
      <c r="FG7" s="681"/>
      <c r="FH7" s="681"/>
      <c r="FI7" s="681"/>
      <c r="FJ7" s="681"/>
      <c r="FK7" s="681"/>
      <c r="FL7" s="681"/>
      <c r="FM7" s="681"/>
      <c r="FN7" s="681"/>
      <c r="FO7" s="681"/>
      <c r="FP7" s="681"/>
      <c r="FQ7" s="681"/>
      <c r="FR7" s="681"/>
      <c r="FS7" s="681"/>
      <c r="FT7" s="681"/>
      <c r="FU7" s="681"/>
      <c r="FV7" s="681"/>
      <c r="FW7" s="681"/>
      <c r="FX7" s="681"/>
      <c r="FY7" s="681"/>
      <c r="FZ7" s="681"/>
      <c r="GA7" s="681"/>
      <c r="GB7" s="681"/>
      <c r="GC7" s="681"/>
      <c r="GD7" s="681"/>
      <c r="GE7" s="681"/>
      <c r="GF7" s="681"/>
      <c r="GG7" s="681"/>
      <c r="GH7" s="681"/>
      <c r="GI7" s="681"/>
      <c r="GJ7" s="681"/>
      <c r="GK7" s="681"/>
      <c r="GL7" s="681"/>
      <c r="GM7" s="681"/>
      <c r="GN7" s="681"/>
      <c r="GO7" s="681"/>
      <c r="GP7" s="681"/>
      <c r="GQ7" s="681"/>
    </row>
    <row r="8" spans="1:199" ht="36.75" customHeight="1" collapsed="1" thickBot="1" x14ac:dyDescent="0.4">
      <c r="A8" s="699" t="s">
        <v>257</v>
      </c>
      <c r="B8" s="700"/>
      <c r="C8" s="701" t="s">
        <v>258</v>
      </c>
      <c r="D8" s="702"/>
      <c r="E8" s="702"/>
      <c r="F8" s="702"/>
      <c r="G8" s="702"/>
      <c r="H8" s="702"/>
      <c r="I8" s="702"/>
      <c r="J8" s="702"/>
      <c r="K8" s="702"/>
      <c r="L8" s="702"/>
      <c r="M8" s="702"/>
      <c r="N8" s="702"/>
      <c r="O8" s="702"/>
      <c r="P8" s="702"/>
      <c r="Q8" s="702"/>
      <c r="R8" s="702"/>
      <c r="S8" s="702"/>
      <c r="T8" s="702"/>
      <c r="U8" s="700"/>
      <c r="V8" s="703" t="s">
        <v>259</v>
      </c>
      <c r="W8" s="703"/>
      <c r="X8" s="703"/>
      <c r="Y8" s="703"/>
      <c r="Z8" s="703"/>
      <c r="AA8" s="703"/>
      <c r="AB8" s="703"/>
      <c r="AC8" s="703"/>
      <c r="AD8" s="703"/>
      <c r="AE8" s="703"/>
      <c r="AF8" s="703"/>
      <c r="AG8" s="703"/>
      <c r="AH8" s="703"/>
      <c r="AI8" s="703"/>
      <c r="AJ8" s="703"/>
      <c r="AK8" s="703"/>
      <c r="AL8" s="704"/>
      <c r="AM8" s="704"/>
      <c r="AN8" s="705"/>
      <c r="AO8" s="706"/>
      <c r="AP8" s="704"/>
      <c r="AQ8" s="704"/>
      <c r="AR8" s="704"/>
      <c r="AS8" s="707"/>
      <c r="AT8" s="708"/>
      <c r="AU8" s="708"/>
      <c r="AV8" s="708"/>
      <c r="AW8" s="708"/>
      <c r="AX8" s="709"/>
      <c r="AY8" s="710"/>
      <c r="AZ8" s="711" t="s">
        <v>260</v>
      </c>
      <c r="BA8" s="712"/>
      <c r="BB8" s="712"/>
      <c r="BC8" s="712"/>
      <c r="BD8" s="712"/>
      <c r="BE8" s="712"/>
      <c r="BF8" s="712"/>
      <c r="BG8" s="712"/>
      <c r="BH8" s="712"/>
      <c r="BI8" s="712"/>
      <c r="BJ8" s="712"/>
      <c r="BK8" s="712"/>
      <c r="BL8" s="712"/>
      <c r="BM8" s="713"/>
      <c r="BN8" s="714"/>
      <c r="BO8" s="715"/>
      <c r="BP8" s="716"/>
      <c r="BQ8" s="717" t="s">
        <v>261</v>
      </c>
      <c r="BR8" s="718"/>
      <c r="BS8" s="719"/>
      <c r="BT8" s="720" t="s">
        <v>262</v>
      </c>
      <c r="BU8" s="720"/>
      <c r="BV8" s="720"/>
      <c r="BW8" s="720"/>
      <c r="BX8" s="720"/>
      <c r="BY8" s="720"/>
      <c r="BZ8" s="720"/>
      <c r="CA8" s="720"/>
      <c r="CB8" s="720"/>
      <c r="CC8" s="720"/>
      <c r="CD8" s="720"/>
      <c r="CE8" s="720"/>
      <c r="CF8" s="721"/>
      <c r="CG8" s="722" t="s">
        <v>263</v>
      </c>
      <c r="CH8" s="723"/>
      <c r="CI8" s="723"/>
      <c r="CJ8" s="723"/>
      <c r="CK8" s="723"/>
      <c r="CL8" s="723"/>
      <c r="CM8" s="724"/>
      <c r="CN8" s="725" t="s">
        <v>264</v>
      </c>
      <c r="CO8" s="726"/>
      <c r="CP8" s="727"/>
    </row>
    <row r="9" spans="1:199" s="759" customFormat="1" ht="21.75" customHeight="1" thickBot="1" x14ac:dyDescent="0.35">
      <c r="A9" s="728"/>
      <c r="B9" s="729"/>
      <c r="C9" s="730"/>
      <c r="D9" s="730"/>
      <c r="E9" s="730"/>
      <c r="F9" s="730"/>
      <c r="G9" s="730"/>
      <c r="H9" s="730"/>
      <c r="I9" s="730"/>
      <c r="J9" s="730"/>
      <c r="K9" s="730"/>
      <c r="L9" s="730"/>
      <c r="M9" s="730"/>
      <c r="N9" s="730"/>
      <c r="O9" s="730"/>
      <c r="P9" s="730"/>
      <c r="Q9" s="730"/>
      <c r="R9" s="730"/>
      <c r="S9" s="730"/>
      <c r="T9" s="730"/>
      <c r="U9" s="729"/>
      <c r="V9" s="731"/>
      <c r="W9" s="731"/>
      <c r="X9" s="731"/>
      <c r="Y9" s="731"/>
      <c r="Z9" s="731"/>
      <c r="AA9" s="731"/>
      <c r="AB9" s="731"/>
      <c r="AC9" s="731"/>
      <c r="AD9" s="732"/>
      <c r="AE9" s="731"/>
      <c r="AF9" s="731"/>
      <c r="AG9" s="731"/>
      <c r="AH9" s="731"/>
      <c r="AI9" s="731"/>
      <c r="AJ9" s="731"/>
      <c r="AK9" s="731"/>
      <c r="AL9" s="731"/>
      <c r="AM9" s="731"/>
      <c r="AN9" s="731"/>
      <c r="AO9" s="731"/>
      <c r="AP9" s="731"/>
      <c r="AQ9" s="731"/>
      <c r="AR9" s="733"/>
      <c r="AS9" s="734"/>
      <c r="AT9" s="735"/>
      <c r="AU9" s="735"/>
      <c r="AV9" s="735"/>
      <c r="AW9" s="735"/>
      <c r="AX9" s="736" t="s">
        <v>265</v>
      </c>
      <c r="AY9" s="737"/>
      <c r="AZ9" s="738"/>
      <c r="BA9" s="739"/>
      <c r="BB9" s="740"/>
      <c r="BC9" s="740"/>
      <c r="BD9" s="740"/>
      <c r="BE9" s="740"/>
      <c r="BF9" s="740"/>
      <c r="BG9" s="740"/>
      <c r="BH9" s="740"/>
      <c r="BI9" s="741" t="s">
        <v>266</v>
      </c>
      <c r="BJ9" s="742"/>
      <c r="BK9" s="742"/>
      <c r="BL9" s="742"/>
      <c r="BM9" s="743" t="s">
        <v>267</v>
      </c>
      <c r="BN9" s="744"/>
      <c r="BO9" s="745" t="s">
        <v>268</v>
      </c>
      <c r="BP9" s="746"/>
      <c r="BQ9" s="747"/>
      <c r="BR9" s="747"/>
      <c r="BS9" s="748"/>
      <c r="BT9" s="749" t="s">
        <v>269</v>
      </c>
      <c r="BU9" s="750"/>
      <c r="BV9" s="750"/>
      <c r="BW9" s="751"/>
      <c r="BX9" s="751"/>
      <c r="BY9" s="751"/>
      <c r="BZ9" s="751"/>
      <c r="CA9" s="751"/>
      <c r="CB9" s="751"/>
      <c r="CC9" s="751"/>
      <c r="CD9" s="751"/>
      <c r="CE9" s="751"/>
      <c r="CF9" s="752"/>
      <c r="CG9" s="753"/>
      <c r="CH9" s="754"/>
      <c r="CI9" s="754"/>
      <c r="CJ9" s="754"/>
      <c r="CK9" s="754"/>
      <c r="CL9" s="754"/>
      <c r="CM9" s="755"/>
      <c r="CN9" s="756"/>
      <c r="CO9" s="757"/>
      <c r="CP9" s="758"/>
      <c r="CQ9" s="681"/>
      <c r="CR9" s="681"/>
      <c r="CS9" s="681"/>
      <c r="CT9" s="681"/>
      <c r="CU9" s="681"/>
      <c r="CV9" s="681"/>
      <c r="CW9" s="681"/>
      <c r="CX9" s="681"/>
      <c r="CY9" s="681"/>
      <c r="CZ9" s="681"/>
      <c r="DA9" s="681"/>
      <c r="DB9" s="681"/>
      <c r="DC9" s="681"/>
      <c r="DD9" s="681"/>
      <c r="DE9" s="681"/>
      <c r="DF9" s="681"/>
      <c r="DG9" s="681"/>
      <c r="DH9" s="681"/>
      <c r="DI9" s="681"/>
      <c r="DJ9" s="681"/>
      <c r="DK9" s="681"/>
      <c r="DL9" s="681"/>
      <c r="DM9" s="681"/>
      <c r="DN9" s="681"/>
      <c r="DO9" s="681"/>
      <c r="DP9" s="681"/>
      <c r="DQ9" s="681"/>
      <c r="DR9" s="681"/>
      <c r="DS9" s="681"/>
      <c r="DT9" s="681"/>
      <c r="DU9" s="681"/>
      <c r="DV9" s="681"/>
      <c r="DW9" s="681"/>
      <c r="DX9" s="681"/>
      <c r="DY9" s="681"/>
      <c r="DZ9" s="681"/>
      <c r="EA9" s="681"/>
      <c r="EB9" s="681"/>
      <c r="EC9" s="681"/>
      <c r="ED9" s="681"/>
      <c r="EE9" s="681"/>
      <c r="EF9" s="681"/>
      <c r="EG9" s="681"/>
      <c r="EH9" s="681"/>
      <c r="EI9" s="681"/>
      <c r="EJ9" s="681"/>
      <c r="EK9" s="681"/>
      <c r="EL9" s="681"/>
      <c r="EM9" s="681"/>
      <c r="EN9" s="681"/>
      <c r="EO9" s="681"/>
      <c r="EP9" s="681"/>
      <c r="EQ9" s="681"/>
      <c r="ER9" s="681"/>
      <c r="ES9" s="681"/>
      <c r="ET9" s="681"/>
      <c r="EU9" s="681"/>
      <c r="EV9" s="681"/>
      <c r="EW9" s="681"/>
      <c r="EX9" s="681"/>
      <c r="EY9" s="681"/>
      <c r="EZ9" s="681"/>
      <c r="FA9" s="681"/>
      <c r="FB9" s="681"/>
      <c r="FC9" s="681"/>
      <c r="FD9" s="681"/>
      <c r="FE9" s="681"/>
      <c r="FF9" s="681"/>
      <c r="FG9" s="681"/>
      <c r="FH9" s="681"/>
      <c r="FI9" s="681"/>
      <c r="FJ9" s="681"/>
      <c r="FK9" s="681"/>
      <c r="FL9" s="681"/>
      <c r="FM9" s="681"/>
      <c r="FN9" s="681"/>
      <c r="FO9" s="681"/>
      <c r="FP9" s="681"/>
      <c r="FQ9" s="681"/>
      <c r="FR9" s="681"/>
      <c r="FS9" s="681"/>
      <c r="FT9" s="681"/>
      <c r="FU9" s="681"/>
      <c r="FV9" s="681"/>
      <c r="FW9" s="681"/>
      <c r="FX9" s="681"/>
      <c r="FY9" s="681"/>
      <c r="FZ9" s="681"/>
      <c r="GA9" s="681"/>
      <c r="GB9" s="681"/>
      <c r="GC9" s="681"/>
      <c r="GD9" s="681"/>
      <c r="GE9" s="681"/>
      <c r="GF9" s="681"/>
      <c r="GG9" s="681"/>
      <c r="GH9" s="681"/>
      <c r="GI9" s="681"/>
      <c r="GJ9" s="681"/>
      <c r="GK9" s="681"/>
      <c r="GL9" s="681"/>
      <c r="GM9" s="681"/>
      <c r="GN9" s="681"/>
      <c r="GO9" s="681"/>
      <c r="GP9" s="681"/>
      <c r="GQ9" s="681"/>
    </row>
    <row r="10" spans="1:199" s="759" customFormat="1" ht="102" customHeight="1" thickBot="1" x14ac:dyDescent="0.4">
      <c r="A10" s="760" t="str">
        <f>IF('[1]Outputs Recap'!B15="","","Validation Error on Outputs Recap - Review with PDL")</f>
        <v/>
      </c>
      <c r="B10" s="761" t="str">
        <f>IF('[1]Pricing Summary'!A35="Margin is Below Benchmark - Requires PGL Approval","Margin is Below Benchmark - Requires PGL Approval","")</f>
        <v/>
      </c>
      <c r="C10" s="762"/>
      <c r="D10" s="762"/>
      <c r="E10" s="762"/>
      <c r="F10" s="763" t="s">
        <v>270</v>
      </c>
      <c r="G10" s="763" t="s">
        <v>270</v>
      </c>
      <c r="H10" s="764"/>
      <c r="I10" s="764"/>
      <c r="J10" s="763" t="s">
        <v>270</v>
      </c>
      <c r="K10" s="764"/>
      <c r="L10" s="763" t="s">
        <v>271</v>
      </c>
      <c r="M10" s="763"/>
      <c r="N10" s="762"/>
      <c r="O10" s="762"/>
      <c r="P10" s="765" t="s">
        <v>272</v>
      </c>
      <c r="Q10" s="766" t="s">
        <v>273</v>
      </c>
      <c r="R10" s="763" t="s">
        <v>270</v>
      </c>
      <c r="S10" s="763" t="s">
        <v>274</v>
      </c>
      <c r="T10" s="767" t="s">
        <v>275</v>
      </c>
      <c r="U10" s="766" t="s">
        <v>276</v>
      </c>
      <c r="V10" s="768" t="s">
        <v>277</v>
      </c>
      <c r="W10" s="769" t="s">
        <v>278</v>
      </c>
      <c r="X10" s="762" t="str">
        <f>"Last Updated "&amp;CHAR(10)&amp;TEXT([1]List!AA2,"mm/DD/yyyy")</f>
        <v>Last Updated 
01/27/2026</v>
      </c>
      <c r="Y10" s="769"/>
      <c r="Z10" s="769"/>
      <c r="AA10" s="769"/>
      <c r="AB10" s="769" t="s">
        <v>279</v>
      </c>
      <c r="AC10" s="769" t="s">
        <v>280</v>
      </c>
      <c r="AD10" s="770" t="s">
        <v>281</v>
      </c>
      <c r="AE10" s="771" t="s">
        <v>282</v>
      </c>
      <c r="AF10" s="772" t="s">
        <v>283</v>
      </c>
      <c r="AG10" s="773" t="s">
        <v>284</v>
      </c>
      <c r="AH10" s="769" t="s">
        <v>285</v>
      </c>
      <c r="AI10" s="774" t="s">
        <v>286</v>
      </c>
      <c r="AJ10" s="774" t="s">
        <v>287</v>
      </c>
      <c r="AK10" s="775" t="s">
        <v>270</v>
      </c>
      <c r="AL10" s="776" t="s">
        <v>288</v>
      </c>
      <c r="AM10" s="777" t="s">
        <v>289</v>
      </c>
      <c r="AN10" s="777"/>
      <c r="AO10" s="775" t="s">
        <v>290</v>
      </c>
      <c r="AP10" s="778" t="s">
        <v>291</v>
      </c>
      <c r="AQ10" s="778" t="s">
        <v>292</v>
      </c>
      <c r="AR10" s="779" t="s">
        <v>293</v>
      </c>
      <c r="AS10" s="780" t="s">
        <v>294</v>
      </c>
      <c r="AT10" s="781" t="s">
        <v>295</v>
      </c>
      <c r="AU10" s="782" t="s">
        <v>296</v>
      </c>
      <c r="AV10" s="782"/>
      <c r="AW10" s="783" t="s">
        <v>297</v>
      </c>
      <c r="AX10" s="784" t="s">
        <v>270</v>
      </c>
      <c r="AY10" s="785"/>
      <c r="AZ10" s="786" t="s">
        <v>270</v>
      </c>
      <c r="BA10" s="787"/>
      <c r="BB10" s="788" t="s">
        <v>298</v>
      </c>
      <c r="BC10" s="788"/>
      <c r="BD10" s="788"/>
      <c r="BE10" s="788"/>
      <c r="BF10" s="788"/>
      <c r="BG10" s="788"/>
      <c r="BH10" s="788"/>
      <c r="BI10" s="788" t="s">
        <v>299</v>
      </c>
      <c r="BJ10" s="789" t="s">
        <v>300</v>
      </c>
      <c r="BK10" s="773" t="s">
        <v>301</v>
      </c>
      <c r="BL10" s="790"/>
      <c r="BM10" s="791"/>
      <c r="BN10" s="792" t="s">
        <v>302</v>
      </c>
      <c r="BO10" s="793"/>
      <c r="BP10" s="794"/>
      <c r="BQ10" s="795" t="s">
        <v>303</v>
      </c>
      <c r="BR10" s="796" t="s">
        <v>304</v>
      </c>
      <c r="BS10" s="797" t="s">
        <v>304</v>
      </c>
      <c r="BT10" s="798" t="str">
        <f ca="1">_xlfn.LET(_xlpm.x,EOMONTH(IF($AF12&gt;1,$AF12,NOW()),-1)+1,TEXT(_xlpm.x,"mmm")&amp;"-"&amp;YEAR(_xlpm.x))</f>
        <v>Apr-2026</v>
      </c>
      <c r="BU10" s="798" t="str">
        <f ca="1">_xlfn.LET(_xlpm.x,EOMONTH(IF($AF12&gt;1,$AF12,NOW()),-1)+1+(COUNTA($BT10:BT10)*31),TEXT(_xlpm.x,"mmm")&amp;"-"&amp;YEAR(_xlpm.x))</f>
        <v>May-2026</v>
      </c>
      <c r="BV10" s="798" t="str">
        <f ca="1">_xlfn.LET(_xlpm.x,EOMONTH(IF($AF12&gt;1,$AF12,NOW()),-1)+1+(COUNTA($BT10:BU10)*31),TEXT(_xlpm.x,"mmm")&amp;"-"&amp;YEAR(_xlpm.x))</f>
        <v>Jun-2026</v>
      </c>
      <c r="BW10" s="798" t="str">
        <f ca="1">_xlfn.LET(_xlpm.x,EOMONTH(IF($AF12&gt;1,$AF12,NOW()),-1)+1+(COUNTA($BT10:BV10)*31),TEXT(_xlpm.x,"mmm")&amp;"-"&amp;YEAR(_xlpm.x))</f>
        <v>Jul-2026</v>
      </c>
      <c r="BX10" s="798" t="str">
        <f ca="1">_xlfn.LET(_xlpm.x,EOMONTH(IF($AF12&gt;1,$AF12,NOW()),-1)+1+(COUNTA($BT10:BW10)*31),TEXT(_xlpm.x,"mmm")&amp;"-"&amp;YEAR(_xlpm.x))</f>
        <v>Aug-2026</v>
      </c>
      <c r="BY10" s="798" t="str">
        <f ca="1">_xlfn.LET(_xlpm.x,EOMONTH(IF($AF12&gt;1,$AF12,NOW()),-1)+1+(COUNTA($BT10:BX10)*31),TEXT(_xlpm.x,"mmm")&amp;"-"&amp;YEAR(_xlpm.x))</f>
        <v>Sep-2026</v>
      </c>
      <c r="BZ10" s="798" t="str">
        <f ca="1">_xlfn.LET(_xlpm.x,EOMONTH(IF($AF12&gt;1,$AF12,NOW()),-1)+1+(COUNTA($BT10:BY10)*31),TEXT(_xlpm.x,"mmm")&amp;"-"&amp;YEAR(_xlpm.x))</f>
        <v>Oct-2026</v>
      </c>
      <c r="CA10" s="798" t="str">
        <f ca="1">_xlfn.LET(_xlpm.x,EOMONTH(IF($AF12&gt;1,$AF12,NOW()),-1)+1+(COUNTA($BT10:BZ10)*31),TEXT(_xlpm.x,"mmm")&amp;"-"&amp;YEAR(_xlpm.x))</f>
        <v>Nov-2026</v>
      </c>
      <c r="CB10" s="798" t="str">
        <f ca="1">_xlfn.LET(_xlpm.x,EOMONTH(IF($AF12&gt;1,$AF12,NOW()),-1)+1+(COUNTA($BT10:CA10)*31),TEXT(_xlpm.x,"mmm")&amp;"-"&amp;YEAR(_xlpm.x))</f>
        <v>Dec-2026</v>
      </c>
      <c r="CC10" s="798" t="str">
        <f ca="1">_xlfn.LET(_xlpm.x,EOMONTH(IF($AF12&gt;1,$AF12,NOW()),-1)+1+(COUNTA($BT10:CB10)*31),TEXT(_xlpm.x,"mmm")&amp;"-"&amp;YEAR(_xlpm.x))</f>
        <v>Jan-2027</v>
      </c>
      <c r="CD10" s="798" t="str">
        <f ca="1">_xlfn.LET(_xlpm.x,EOMONTH(IF($AF12&gt;1,$AF12,NOW()),-1)+1+(COUNTA($BT10:CC10)*31),TEXT(_xlpm.x,"mmm")&amp;"-"&amp;YEAR(_xlpm.x))</f>
        <v>Feb-2027</v>
      </c>
      <c r="CE10" s="798" t="str">
        <f ca="1">_xlfn.LET(_xlpm.x,EOMONTH(IF($AF12&gt;1,$AF12,NOW()),-1)+1+(COUNTA($BT10:CD10)*31),TEXT(_xlpm.x,"mmm")&amp;"-"&amp;YEAR(_xlpm.x))</f>
        <v>Mar-2027</v>
      </c>
      <c r="CF10" s="799"/>
      <c r="CG10" s="800"/>
      <c r="CH10" s="801"/>
      <c r="CI10" s="801"/>
      <c r="CJ10" s="801"/>
      <c r="CK10" s="801"/>
      <c r="CL10" s="801"/>
      <c r="CM10" s="802"/>
      <c r="CN10" s="803"/>
      <c r="CO10" s="804"/>
      <c r="CP10" s="805"/>
      <c r="CQ10" s="806"/>
      <c r="CR10" s="807"/>
      <c r="CS10" s="807"/>
      <c r="CT10" s="807"/>
      <c r="CU10" s="807"/>
      <c r="CV10" s="807"/>
      <c r="CW10" s="807"/>
      <c r="CX10" s="807"/>
      <c r="CY10" s="807"/>
      <c r="CZ10" s="807"/>
      <c r="DA10" s="807"/>
      <c r="DB10" s="807"/>
      <c r="DC10" s="807"/>
      <c r="DD10" s="807"/>
      <c r="DE10" s="807"/>
      <c r="DF10" s="807"/>
      <c r="DG10" s="807"/>
      <c r="DH10" s="807"/>
      <c r="DI10" s="807"/>
      <c r="DJ10" s="807"/>
      <c r="DK10" s="807"/>
      <c r="DL10" s="807"/>
      <c r="DM10" s="807"/>
      <c r="DN10" s="807"/>
      <c r="DO10" s="807"/>
      <c r="DP10" s="807"/>
      <c r="DQ10" s="807"/>
      <c r="DR10" s="807"/>
      <c r="DS10" s="807"/>
      <c r="DT10" s="807"/>
      <c r="DU10" s="807"/>
      <c r="DV10" s="807"/>
      <c r="DW10" s="807"/>
      <c r="DX10" s="807"/>
      <c r="DY10" s="807"/>
      <c r="DZ10" s="807"/>
      <c r="EA10" s="807"/>
      <c r="EB10" s="807"/>
      <c r="EC10" s="807"/>
      <c r="ED10" s="807"/>
      <c r="EE10" s="807"/>
      <c r="EF10" s="807"/>
      <c r="EG10" s="807"/>
      <c r="EH10" s="807"/>
      <c r="EI10" s="807"/>
      <c r="EJ10" s="807"/>
      <c r="EK10" s="807"/>
      <c r="EL10" s="807"/>
      <c r="EM10" s="807"/>
      <c r="EN10" s="807"/>
      <c r="EO10" s="807"/>
      <c r="EP10" s="807"/>
      <c r="EQ10" s="807"/>
      <c r="ER10" s="807"/>
      <c r="ES10" s="807"/>
      <c r="ET10" s="807"/>
      <c r="EU10" s="807"/>
      <c r="EV10" s="807"/>
      <c r="EW10" s="807"/>
      <c r="EX10" s="807"/>
      <c r="EY10" s="807"/>
      <c r="EZ10" s="807"/>
      <c r="FA10" s="807"/>
      <c r="FB10" s="807"/>
      <c r="FC10" s="807"/>
      <c r="FD10" s="807"/>
      <c r="FE10" s="807"/>
      <c r="FF10" s="807"/>
      <c r="FG10" s="807"/>
      <c r="FH10" s="807"/>
      <c r="FI10" s="807"/>
      <c r="FJ10" s="807"/>
      <c r="FK10" s="807"/>
      <c r="FL10" s="807"/>
      <c r="FM10" s="807"/>
      <c r="FN10" s="807"/>
      <c r="FO10" s="807"/>
      <c r="FP10" s="807"/>
      <c r="FQ10" s="807"/>
      <c r="FR10" s="807"/>
      <c r="FS10" s="807"/>
      <c r="FT10" s="807"/>
      <c r="FU10" s="807"/>
      <c r="FV10" s="807"/>
      <c r="FW10" s="807"/>
      <c r="FX10" s="807"/>
      <c r="FY10" s="807"/>
      <c r="FZ10" s="807"/>
      <c r="GA10" s="807"/>
      <c r="GB10" s="807"/>
      <c r="GC10" s="807"/>
      <c r="GD10" s="807"/>
      <c r="GE10" s="807"/>
      <c r="GF10" s="807"/>
      <c r="GG10" s="807"/>
      <c r="GH10" s="807"/>
      <c r="GI10" s="807"/>
      <c r="GJ10" s="807"/>
      <c r="GK10" s="807"/>
      <c r="GL10" s="807"/>
      <c r="GM10" s="807"/>
      <c r="GN10" s="807"/>
      <c r="GO10" s="807"/>
      <c r="GP10" s="807"/>
      <c r="GQ10" s="807"/>
    </row>
    <row r="11" spans="1:199" s="846" customFormat="1" ht="103" thickBot="1" x14ac:dyDescent="0.25">
      <c r="A11" s="808" t="s">
        <v>305</v>
      </c>
      <c r="B11" s="809" t="s">
        <v>306</v>
      </c>
      <c r="C11" s="810" t="s">
        <v>307</v>
      </c>
      <c r="D11" s="810" t="s">
        <v>308</v>
      </c>
      <c r="E11" s="810" t="s">
        <v>309</v>
      </c>
      <c r="F11" s="810" t="s">
        <v>310</v>
      </c>
      <c r="G11" s="810" t="s">
        <v>311</v>
      </c>
      <c r="H11" s="811" t="s">
        <v>312</v>
      </c>
      <c r="I11" s="811" t="s">
        <v>313</v>
      </c>
      <c r="J11" s="811" t="s">
        <v>314</v>
      </c>
      <c r="K11" s="811" t="s">
        <v>315</v>
      </c>
      <c r="L11" s="810" t="s">
        <v>316</v>
      </c>
      <c r="M11" s="810" t="s">
        <v>317</v>
      </c>
      <c r="N11" s="810" t="s">
        <v>318</v>
      </c>
      <c r="O11" s="810" t="s">
        <v>319</v>
      </c>
      <c r="P11" s="810" t="s">
        <v>320</v>
      </c>
      <c r="Q11" s="810" t="s">
        <v>321</v>
      </c>
      <c r="R11" s="810" t="s">
        <v>322</v>
      </c>
      <c r="S11" s="812" t="s">
        <v>323</v>
      </c>
      <c r="T11" s="810" t="s">
        <v>324</v>
      </c>
      <c r="U11" s="810" t="s">
        <v>325</v>
      </c>
      <c r="V11" s="813" t="s">
        <v>326</v>
      </c>
      <c r="W11" s="814" t="s">
        <v>327</v>
      </c>
      <c r="X11" s="814" t="s">
        <v>328</v>
      </c>
      <c r="Y11" s="814" t="s">
        <v>329</v>
      </c>
      <c r="Z11" s="814" t="s">
        <v>330</v>
      </c>
      <c r="AA11" s="814" t="s">
        <v>331</v>
      </c>
      <c r="AB11" s="814" t="s">
        <v>332</v>
      </c>
      <c r="AC11" s="814" t="s">
        <v>333</v>
      </c>
      <c r="AD11" s="815" t="s">
        <v>334</v>
      </c>
      <c r="AE11" s="816" t="s">
        <v>335</v>
      </c>
      <c r="AF11" s="816" t="s">
        <v>336</v>
      </c>
      <c r="AG11" s="816" t="s">
        <v>337</v>
      </c>
      <c r="AH11" s="814" t="s">
        <v>338</v>
      </c>
      <c r="AI11" s="814" t="s">
        <v>339</v>
      </c>
      <c r="AJ11" s="814" t="s">
        <v>340</v>
      </c>
      <c r="AK11" s="814" t="s">
        <v>218</v>
      </c>
      <c r="AL11" s="814" t="s">
        <v>341</v>
      </c>
      <c r="AM11" s="814" t="s">
        <v>342</v>
      </c>
      <c r="AN11" s="814" t="s">
        <v>343</v>
      </c>
      <c r="AO11" s="814" t="s">
        <v>344</v>
      </c>
      <c r="AP11" s="814" t="s">
        <v>345</v>
      </c>
      <c r="AQ11" s="814" t="s">
        <v>346</v>
      </c>
      <c r="AR11" s="817" t="s">
        <v>347</v>
      </c>
      <c r="AS11" s="818" t="s">
        <v>224</v>
      </c>
      <c r="AT11" s="819" t="s">
        <v>348</v>
      </c>
      <c r="AU11" s="819" t="s">
        <v>349</v>
      </c>
      <c r="AV11" s="819" t="s">
        <v>350</v>
      </c>
      <c r="AW11" s="820" t="s">
        <v>351</v>
      </c>
      <c r="AX11" s="821" t="s">
        <v>352</v>
      </c>
      <c r="AY11" s="822" t="s">
        <v>353</v>
      </c>
      <c r="AZ11" s="823" t="s">
        <v>354</v>
      </c>
      <c r="BA11" s="824" t="s">
        <v>355</v>
      </c>
      <c r="BB11" s="825" t="s">
        <v>356</v>
      </c>
      <c r="BC11" s="825" t="s">
        <v>357</v>
      </c>
      <c r="BD11" s="825" t="s">
        <v>358</v>
      </c>
      <c r="BE11" s="825" t="s">
        <v>359</v>
      </c>
      <c r="BF11" s="825" t="s">
        <v>360</v>
      </c>
      <c r="BG11" s="825" t="s">
        <v>361</v>
      </c>
      <c r="BH11" s="825" t="s">
        <v>362</v>
      </c>
      <c r="BI11" s="825" t="s">
        <v>363</v>
      </c>
      <c r="BJ11" s="826" t="s">
        <v>364</v>
      </c>
      <c r="BK11" s="827" t="s">
        <v>365</v>
      </c>
      <c r="BL11" s="828" t="s">
        <v>366</v>
      </c>
      <c r="BM11" s="829" t="s">
        <v>367</v>
      </c>
      <c r="BN11" s="830" t="s">
        <v>368</v>
      </c>
      <c r="BO11" s="831" t="s">
        <v>369</v>
      </c>
      <c r="BP11" s="831" t="s">
        <v>370</v>
      </c>
      <c r="BQ11" s="832" t="s">
        <v>371</v>
      </c>
      <c r="BR11" s="833" t="s">
        <v>372</v>
      </c>
      <c r="BS11" s="834" t="s">
        <v>373</v>
      </c>
      <c r="BT11" s="835" t="s">
        <v>374</v>
      </c>
      <c r="BU11" s="836" t="s">
        <v>375</v>
      </c>
      <c r="BV11" s="836" t="s">
        <v>376</v>
      </c>
      <c r="BW11" s="836" t="s">
        <v>377</v>
      </c>
      <c r="BX11" s="836" t="s">
        <v>378</v>
      </c>
      <c r="BY11" s="836" t="s">
        <v>379</v>
      </c>
      <c r="BZ11" s="836" t="s">
        <v>380</v>
      </c>
      <c r="CA11" s="836" t="s">
        <v>381</v>
      </c>
      <c r="CB11" s="836" t="s">
        <v>382</v>
      </c>
      <c r="CC11" s="836" t="s">
        <v>383</v>
      </c>
      <c r="CD11" s="836" t="s">
        <v>384</v>
      </c>
      <c r="CE11" s="836" t="s">
        <v>385</v>
      </c>
      <c r="CF11" s="837" t="s">
        <v>386</v>
      </c>
      <c r="CG11" s="838" t="s">
        <v>387</v>
      </c>
      <c r="CH11" s="839" t="s">
        <v>388</v>
      </c>
      <c r="CI11" s="839" t="s">
        <v>389</v>
      </c>
      <c r="CJ11" s="839" t="s">
        <v>390</v>
      </c>
      <c r="CK11" s="839" t="s">
        <v>391</v>
      </c>
      <c r="CL11" s="839" t="s">
        <v>392</v>
      </c>
      <c r="CM11" s="840" t="s">
        <v>393</v>
      </c>
      <c r="CN11" s="841" t="s">
        <v>394</v>
      </c>
      <c r="CO11" s="842" t="s">
        <v>395</v>
      </c>
      <c r="CP11" s="843" t="s">
        <v>396</v>
      </c>
      <c r="CQ11" s="844"/>
      <c r="CR11" s="845"/>
      <c r="CS11" s="845"/>
      <c r="CT11" s="845"/>
      <c r="CU11" s="845"/>
      <c r="CV11" s="845"/>
      <c r="CW11" s="845"/>
      <c r="CX11" s="845"/>
      <c r="CY11" s="845"/>
      <c r="CZ11" s="845"/>
      <c r="DA11" s="845"/>
      <c r="DB11" s="845"/>
      <c r="DC11" s="845"/>
      <c r="DD11" s="845"/>
      <c r="DE11" s="845"/>
      <c r="DF11" s="845"/>
      <c r="DG11" s="845"/>
      <c r="DH11" s="845"/>
      <c r="DI11" s="845"/>
      <c r="DJ11" s="845"/>
      <c r="DK11" s="845"/>
      <c r="DL11" s="845"/>
      <c r="DM11" s="845"/>
      <c r="DN11" s="845"/>
      <c r="DO11" s="845"/>
      <c r="DP11" s="845"/>
      <c r="DQ11" s="845"/>
      <c r="DR11" s="845"/>
      <c r="DS11" s="845"/>
      <c r="DT11" s="845"/>
      <c r="DU11" s="845"/>
      <c r="DV11" s="845"/>
      <c r="DW11" s="845"/>
      <c r="DX11" s="845"/>
      <c r="DY11" s="845"/>
      <c r="DZ11" s="845"/>
      <c r="EA11" s="845"/>
      <c r="EB11" s="845"/>
      <c r="EC11" s="845"/>
      <c r="ED11" s="845"/>
      <c r="EE11" s="845"/>
      <c r="EF11" s="845"/>
      <c r="EG11" s="845"/>
      <c r="EH11" s="845"/>
      <c r="EI11" s="845"/>
      <c r="EJ11" s="845"/>
      <c r="EK11" s="845"/>
      <c r="EL11" s="845"/>
      <c r="EM11" s="845"/>
      <c r="EN11" s="845"/>
      <c r="EO11" s="845"/>
      <c r="EP11" s="845"/>
      <c r="EQ11" s="845"/>
      <c r="ER11" s="845"/>
      <c r="ES11" s="845"/>
      <c r="ET11" s="845"/>
      <c r="EU11" s="845"/>
      <c r="EV11" s="845"/>
      <c r="EW11" s="845"/>
      <c r="EX11" s="845"/>
      <c r="EY11" s="845"/>
      <c r="EZ11" s="845"/>
      <c r="FA11" s="845"/>
      <c r="FB11" s="845"/>
      <c r="FC11" s="845"/>
      <c r="FD11" s="845"/>
      <c r="FE11" s="845"/>
      <c r="FF11" s="845"/>
      <c r="FG11" s="845"/>
      <c r="FH11" s="845"/>
      <c r="FI11" s="845"/>
      <c r="FJ11" s="845"/>
      <c r="FK11" s="845"/>
      <c r="FL11" s="845"/>
      <c r="FM11" s="845"/>
      <c r="FN11" s="845"/>
      <c r="FO11" s="845"/>
      <c r="FP11" s="845"/>
      <c r="FQ11" s="845"/>
      <c r="FR11" s="845"/>
      <c r="FS11" s="845"/>
      <c r="FT11" s="845"/>
      <c r="FU11" s="845"/>
      <c r="FV11" s="845"/>
      <c r="FW11" s="845"/>
      <c r="FX11" s="845"/>
      <c r="FY11" s="845"/>
      <c r="FZ11" s="845"/>
      <c r="GA11" s="845"/>
      <c r="GB11" s="845"/>
      <c r="GC11" s="845"/>
      <c r="GD11" s="845"/>
      <c r="GE11" s="845"/>
      <c r="GF11" s="845"/>
      <c r="GG11" s="845"/>
      <c r="GH11" s="845"/>
      <c r="GI11" s="845"/>
      <c r="GJ11" s="845"/>
      <c r="GK11" s="845"/>
      <c r="GL11" s="845"/>
      <c r="GM11" s="845"/>
      <c r="GN11" s="845"/>
      <c r="GO11" s="845"/>
      <c r="GP11" s="845"/>
      <c r="GQ11" s="845"/>
    </row>
    <row r="12" spans="1:199" s="893" customFormat="1" x14ac:dyDescent="0.2">
      <c r="A12" s="847" t="str">
        <f>IF('[1]Core Assumptions'!B32="","",'[1]Core Assumptions'!B32)</f>
        <v>A Business</v>
      </c>
      <c r="B12" s="848"/>
      <c r="C12" s="849"/>
      <c r="D12" s="850"/>
      <c r="E12" s="850"/>
      <c r="F12" s="850"/>
      <c r="G12" s="850"/>
      <c r="H12" s="850"/>
      <c r="I12" s="850"/>
      <c r="J12" s="850"/>
      <c r="K12" s="850"/>
      <c r="L12" s="850"/>
      <c r="M12" s="850"/>
      <c r="N12" s="850"/>
      <c r="O12" s="850"/>
      <c r="P12" s="850"/>
      <c r="Q12" s="850"/>
      <c r="R12" s="850"/>
      <c r="S12" s="850"/>
      <c r="T12" s="850"/>
      <c r="U12" s="851"/>
      <c r="V12" s="852"/>
      <c r="W12" s="853"/>
      <c r="X12" s="853"/>
      <c r="Y12" s="853"/>
      <c r="Z12" s="853"/>
      <c r="AA12" s="853"/>
      <c r="AB12" s="854">
        <f>_xlfn.XLOOKUP(Table17[[#This Row],[Project Delivery Lead]],[1]List!Y:Y,[1]List!AC:AC)</f>
        <v>0</v>
      </c>
      <c r="AC12" s="853" t="str">
        <f>IF($A12="","",'[1]Core Assumptions'!$D32)</f>
        <v>Corporation Return</v>
      </c>
      <c r="AD12" s="855"/>
      <c r="AE12" s="856"/>
      <c r="AF12" s="857"/>
      <c r="AG12" s="857"/>
      <c r="AH12" s="853"/>
      <c r="AI12" s="858"/>
      <c r="AJ12" s="858"/>
      <c r="AK12" s="858" t="str">
        <f>IF($A12="","",IF('[1]Pricing Summary'!$B$31="T&amp;M","Time and Material","Fixed Fee"))</f>
        <v>Fixed Fee</v>
      </c>
      <c r="AL12" s="856"/>
      <c r="AM12" s="859">
        <f>IF($A12="","",'[1]Outputs Recap'!$Z71)</f>
        <v>10</v>
      </c>
      <c r="AN12" s="860">
        <f>IF($A12="","",'[1]Outputs Recap'!$C$12)</f>
        <v>0.81391304347826088</v>
      </c>
      <c r="AO12" s="861">
        <f>IF($A12="","",VLOOKUP('[1]Outputs Recap'!$C$11,[1]List!$I:$J,2,FALSE))</f>
        <v>100</v>
      </c>
      <c r="AP12" s="856" t="str" cm="1">
        <f t="array" ref="AP12">IF($A12="","",_xlfn.IFS('[1]Pricing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Tax 100%</v>
      </c>
      <c r="AQ12" s="862" t="str">
        <f>IF($A12="","",_xlfn.XLOOKUP('[1]Core Assumptions'!$D$20,'[1]Other Lookups'!$AH:$AH,'[1]Other Lookups'!$AI:$AI))</f>
        <v>National Rate</v>
      </c>
      <c r="AR12" s="863">
        <f>IF($A12="","",'[1]Outputs Recap'!$AE71)</f>
        <v>5675.3246753246749</v>
      </c>
      <c r="AS12" s="864">
        <f>IF($A12="","",'[1]Outputs Recap'!$C$13)</f>
        <v>7.0000000000000007E-2</v>
      </c>
      <c r="AT12" s="865"/>
      <c r="AU12" s="865"/>
      <c r="AV12" s="865">
        <f>IF($A12="","",IFERROR(+Table17[[#This Row],[Total Contract Amount]]*Table17[[#This Row],[First-year, one-time Onboarding/Setup Fee %]],0))</f>
        <v>0</v>
      </c>
      <c r="AW12" s="866"/>
      <c r="AX12" s="867"/>
      <c r="AY12" s="868"/>
      <c r="AZ12" s="869"/>
      <c r="BA12" s="870"/>
      <c r="BB12" s="871"/>
      <c r="BC12" s="872"/>
      <c r="BD12" s="872"/>
      <c r="BE12" s="872"/>
      <c r="BF12" s="872"/>
      <c r="BG12" s="872"/>
      <c r="BH12" s="872"/>
      <c r="BI12" s="873"/>
      <c r="BJ12" s="874"/>
      <c r="BK12" s="874"/>
      <c r="BL12" s="875"/>
      <c r="BM12" s="876"/>
      <c r="BN12" s="877"/>
      <c r="BO12" s="878"/>
      <c r="BP12" s="879"/>
      <c r="BQ12" s="880"/>
      <c r="BR12" s="881"/>
      <c r="BS12" s="882"/>
      <c r="BT12" s="883"/>
      <c r="BU12" s="884"/>
      <c r="BV12" s="884"/>
      <c r="BW12" s="884"/>
      <c r="BX12" s="884"/>
      <c r="BY12" s="884"/>
      <c r="BZ12" s="884"/>
      <c r="CA12" s="884"/>
      <c r="CB12" s="884"/>
      <c r="CC12" s="884"/>
      <c r="CD12" s="884"/>
      <c r="CE12" s="885"/>
      <c r="CF12" s="885">
        <f>IF($A12="","",IF(AR12&lt;&gt;0,AR12-SUM(BT12:CE12),""))</f>
        <v>5675.3246753246749</v>
      </c>
      <c r="CG12" s="886" t="str">
        <f>IF(ISBLANK($X12)=FALSE,"NextGenApp Advisory LLC","")</f>
        <v/>
      </c>
      <c r="CH12" s="887" t="str">
        <f>_xlfn.IFNA(INDEX([1]List!AC:AC,MATCH(X12,[1]List!Y:Y,0)),"")</f>
        <v/>
      </c>
      <c r="CI12" s="887" t="str">
        <f>IF(ISBLANK(AC12)=FALSE,IF(IFERROR(FIND("Corporation Return",AC12),0)&lt;&gt;0,"Tax - Corp",IF(IFERROR(FIND("Return",AC12),0)&lt;&gt;0,"Tax Return Project Template","Tax Consulting/Other Template")),"")</f>
        <v>Tax - Corp</v>
      </c>
      <c r="CJ12" s="887" t="str">
        <f>IF(ISBLANK(AC12)=FALSE,IF(IFERROR(FIND("Return",AC12),0)&lt;&gt;0,"Yes","No"),"")</f>
        <v>Yes</v>
      </c>
      <c r="CK12" s="887" t="str">
        <f>IF(ISBLANK($X12)=FALSE,IF(LEN(AD12)=5,LEFT(AD12,2),"0"&amp;LEFT(AD12,1)),"")</f>
        <v/>
      </c>
      <c r="CL12" s="887" t="str">
        <f>IF(ISBLANK($X12)=FALSE,"20"&amp;RIGHT(AD12,2),"")</f>
        <v/>
      </c>
      <c r="CM12" s="888" t="str">
        <f>IF(ISBLANK($AC12)=FALSE,+B12&amp;SUBSTITUTE(AC12,"Tax -","")&amp;" - "&amp;CL12&amp;"/"&amp;CK12,"")</f>
        <v>Corporation Return - /</v>
      </c>
      <c r="CN12" s="889"/>
      <c r="CO12" s="890"/>
      <c r="CP12" s="891"/>
      <c r="CQ12" s="892"/>
      <c r="CR12" s="681"/>
      <c r="CS12" s="681"/>
      <c r="CT12" s="681"/>
      <c r="CU12" s="681"/>
      <c r="CV12" s="681"/>
      <c r="CW12" s="681"/>
      <c r="CX12" s="681"/>
      <c r="CY12" s="681"/>
      <c r="CZ12" s="681"/>
      <c r="DA12" s="681"/>
      <c r="DB12" s="681"/>
      <c r="DC12" s="681"/>
      <c r="DD12" s="681"/>
      <c r="DE12" s="681"/>
      <c r="DF12" s="681"/>
      <c r="DG12" s="681"/>
      <c r="DH12" s="681"/>
      <c r="DI12" s="681"/>
      <c r="DJ12" s="681"/>
      <c r="DK12" s="681"/>
      <c r="DL12" s="681"/>
      <c r="DM12" s="681"/>
      <c r="DN12" s="681"/>
      <c r="DO12" s="681"/>
      <c r="DP12" s="681"/>
      <c r="DQ12" s="681"/>
      <c r="DR12" s="681"/>
      <c r="DS12" s="681"/>
      <c r="DT12" s="681"/>
      <c r="DU12" s="681"/>
      <c r="DV12" s="681"/>
      <c r="DW12" s="681"/>
      <c r="DX12" s="681"/>
      <c r="DY12" s="681"/>
      <c r="DZ12" s="681"/>
      <c r="EA12" s="681"/>
      <c r="EB12" s="681"/>
      <c r="EC12" s="681"/>
      <c r="ED12" s="681"/>
      <c r="EE12" s="681"/>
      <c r="EF12" s="681"/>
      <c r="EG12" s="681"/>
      <c r="EH12" s="681"/>
      <c r="EI12" s="681"/>
      <c r="EJ12" s="681"/>
      <c r="EK12" s="681"/>
      <c r="EL12" s="681"/>
      <c r="EM12" s="681"/>
      <c r="EN12" s="681"/>
      <c r="EO12" s="681"/>
      <c r="EP12" s="681"/>
      <c r="EQ12" s="681"/>
      <c r="ER12" s="681"/>
      <c r="ES12" s="681"/>
      <c r="ET12" s="681"/>
      <c r="EU12" s="681"/>
      <c r="EV12" s="681"/>
      <c r="EW12" s="681"/>
      <c r="EX12" s="681"/>
      <c r="EY12" s="681"/>
      <c r="EZ12" s="681"/>
      <c r="FA12" s="681"/>
      <c r="FB12" s="681"/>
      <c r="FC12" s="681"/>
      <c r="FD12" s="681"/>
      <c r="FE12" s="681"/>
      <c r="FF12" s="681"/>
      <c r="FG12" s="681"/>
      <c r="FH12" s="681"/>
      <c r="FI12" s="681"/>
      <c r="FJ12" s="681"/>
      <c r="FK12" s="681"/>
      <c r="FL12" s="681"/>
      <c r="FM12" s="681"/>
      <c r="FN12" s="681"/>
      <c r="FO12" s="681"/>
      <c r="FP12" s="681"/>
      <c r="FQ12" s="681"/>
      <c r="FR12" s="681"/>
      <c r="FS12" s="681"/>
      <c r="FT12" s="681"/>
      <c r="FU12" s="681"/>
      <c r="FV12" s="681"/>
      <c r="FW12" s="681"/>
      <c r="FX12" s="681"/>
      <c r="FY12" s="681"/>
      <c r="FZ12" s="681"/>
      <c r="GA12" s="681"/>
      <c r="GB12" s="681"/>
      <c r="GC12" s="681"/>
      <c r="GD12" s="681"/>
      <c r="GE12" s="681"/>
      <c r="GF12" s="681"/>
      <c r="GG12" s="681"/>
      <c r="GH12" s="681"/>
      <c r="GI12" s="681"/>
      <c r="GJ12" s="681"/>
      <c r="GK12" s="681"/>
      <c r="GL12" s="681"/>
      <c r="GM12" s="681"/>
      <c r="GN12" s="681"/>
      <c r="GO12" s="681"/>
      <c r="GP12" s="681"/>
      <c r="GQ12" s="681"/>
    </row>
    <row r="13" spans="1:199" s="893" customFormat="1" x14ac:dyDescent="0.2">
      <c r="A13" s="894" t="str">
        <f>IF('[1]Core Assumptions'!B33="","",'[1]Core Assumptions'!B33)</f>
        <v>B Corp</v>
      </c>
      <c r="B13" s="895"/>
      <c r="C13" s="896"/>
      <c r="D13" s="897"/>
      <c r="E13" s="897"/>
      <c r="F13" s="897"/>
      <c r="G13" s="897"/>
      <c r="H13" s="897"/>
      <c r="I13" s="897"/>
      <c r="J13" s="897"/>
      <c r="K13" s="897"/>
      <c r="L13" s="897"/>
      <c r="M13" s="897"/>
      <c r="N13" s="897"/>
      <c r="O13" s="897"/>
      <c r="P13" s="897"/>
      <c r="Q13" s="897"/>
      <c r="R13" s="897"/>
      <c r="S13" s="897"/>
      <c r="T13" s="897"/>
      <c r="U13" s="895"/>
      <c r="V13" s="852"/>
      <c r="W13" s="853"/>
      <c r="X13" s="853"/>
      <c r="Y13" s="853"/>
      <c r="Z13" s="853"/>
      <c r="AA13" s="853"/>
      <c r="AB13" s="854">
        <f>_xlfn.XLOOKUP(Table17[[#This Row],[Project Delivery Lead]],[1]List!Y:Y,[1]List!AC:AC)</f>
        <v>0</v>
      </c>
      <c r="AC13" s="853" t="str">
        <f>IF($A13="","",'[1]Core Assumptions'!$D33)</f>
        <v>Corporation Return</v>
      </c>
      <c r="AD13" s="855"/>
      <c r="AE13" s="856"/>
      <c r="AF13" s="857"/>
      <c r="AG13" s="857"/>
      <c r="AH13" s="853"/>
      <c r="AI13" s="858"/>
      <c r="AJ13" s="858"/>
      <c r="AK13" s="858" t="str">
        <f>IF($A13="","",IF('[1]Pricing Summary'!$B$31="T&amp;M","Time and Material","Fixed Fee"))</f>
        <v>Fixed Fee</v>
      </c>
      <c r="AL13" s="856"/>
      <c r="AM13" s="859">
        <f>IF($A13="","",'[1]Outputs Recap'!$Z72)</f>
        <v>10</v>
      </c>
      <c r="AN13" s="860">
        <f>IF($A13="","",'[1]Outputs Recap'!$C$12)</f>
        <v>0.81391304347826088</v>
      </c>
      <c r="AO13" s="861">
        <f>IF($A13="","",VLOOKUP('[1]Outputs Recap'!$C$11,[1]List!$I:$J,2,FALSE))</f>
        <v>100</v>
      </c>
      <c r="AP13" s="856" t="str" cm="1">
        <f t="array" ref="AP13">IF($A13="","",_xlfn.IFS('[1]Pricing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Tax 100%</v>
      </c>
      <c r="AQ13" s="862" t="str">
        <f>IF($A13="","",_xlfn.XLOOKUP('[1]Core Assumptions'!$D$20,'[1]Other Lookups'!$AH:$AH,'[1]Other Lookups'!$AI:$AI))</f>
        <v>National Rate</v>
      </c>
      <c r="AR13" s="863">
        <f>IF($A13="","",'[1]Outputs Recap'!$AE72)</f>
        <v>5774.8917748917747</v>
      </c>
      <c r="AS13" s="864">
        <f>IF($A13="","",'[1]Outputs Recap'!$C$13)</f>
        <v>7.0000000000000007E-2</v>
      </c>
      <c r="AT13" s="865"/>
      <c r="AU13" s="865"/>
      <c r="AV13" s="865">
        <f>IF($A13="","",IFERROR(+Table17[[#This Row],[Total Contract Amount]]*Table17[[#This Row],[First-year, one-time Onboarding/Setup Fee %]],0))</f>
        <v>0</v>
      </c>
      <c r="AW13" s="866"/>
      <c r="AX13" s="867"/>
      <c r="AY13" s="868"/>
      <c r="AZ13" s="869"/>
      <c r="BA13" s="870"/>
      <c r="BB13" s="871"/>
      <c r="BC13" s="872"/>
      <c r="BD13" s="872"/>
      <c r="BE13" s="872"/>
      <c r="BF13" s="872"/>
      <c r="BG13" s="872"/>
      <c r="BH13" s="872"/>
      <c r="BI13" s="873"/>
      <c r="BJ13" s="874"/>
      <c r="BK13" s="874"/>
      <c r="BL13" s="875"/>
      <c r="BM13" s="876"/>
      <c r="BN13" s="877"/>
      <c r="BO13" s="878"/>
      <c r="BP13" s="879"/>
      <c r="BQ13" s="880"/>
      <c r="BR13" s="881"/>
      <c r="BS13" s="882"/>
      <c r="BT13" s="883"/>
      <c r="BU13" s="884"/>
      <c r="BV13" s="884"/>
      <c r="BW13" s="884"/>
      <c r="BX13" s="884"/>
      <c r="BY13" s="884"/>
      <c r="BZ13" s="884"/>
      <c r="CA13" s="884"/>
      <c r="CB13" s="884"/>
      <c r="CC13" s="884"/>
      <c r="CD13" s="884"/>
      <c r="CE13" s="885"/>
      <c r="CF13" s="885">
        <f t="shared" ref="CF13:CF51" si="0">IF($A13="","",IF(AR13&lt;&gt;0,AR13-SUM(BT13:CE13),""))</f>
        <v>5774.8917748917747</v>
      </c>
      <c r="CG13" s="898" t="str">
        <f>IF(ISBLANK($X13)=FALSE,"NextGenApp Advisory LLC","")</f>
        <v/>
      </c>
      <c r="CH13" s="899" t="str">
        <f>_xlfn.IFNA(INDEX([1]List!AC:AC,MATCH(X13,[1]List!Y:Y,0)),"")</f>
        <v/>
      </c>
      <c r="CI13" s="900"/>
      <c r="CJ13" s="900"/>
      <c r="CK13" s="900"/>
      <c r="CL13" s="900"/>
      <c r="CM13" s="901"/>
      <c r="CN13" s="902"/>
      <c r="CO13" s="903"/>
      <c r="CP13" s="904"/>
      <c r="CQ13" s="892"/>
      <c r="CR13" s="681"/>
      <c r="CS13" s="681"/>
      <c r="CT13" s="681"/>
      <c r="CU13" s="681"/>
      <c r="CV13" s="681"/>
      <c r="CW13" s="681"/>
      <c r="CX13" s="681"/>
      <c r="CY13" s="681"/>
      <c r="CZ13" s="681"/>
      <c r="DA13" s="681"/>
      <c r="DB13" s="681"/>
      <c r="DC13" s="681"/>
      <c r="DD13" s="681"/>
      <c r="DE13" s="681"/>
      <c r="DF13" s="681"/>
      <c r="DG13" s="681"/>
      <c r="DH13" s="681"/>
      <c r="DI13" s="681"/>
      <c r="DJ13" s="681"/>
      <c r="DK13" s="681"/>
      <c r="DL13" s="681"/>
      <c r="DM13" s="681"/>
      <c r="DN13" s="681"/>
      <c r="DO13" s="681"/>
      <c r="DP13" s="681"/>
      <c r="DQ13" s="681"/>
      <c r="DR13" s="681"/>
      <c r="DS13" s="681"/>
      <c r="DT13" s="681"/>
      <c r="DU13" s="681"/>
      <c r="DV13" s="681"/>
      <c r="DW13" s="681"/>
      <c r="DX13" s="681"/>
      <c r="DY13" s="681"/>
      <c r="DZ13" s="681"/>
      <c r="EA13" s="681"/>
      <c r="EB13" s="681"/>
      <c r="EC13" s="681"/>
      <c r="ED13" s="681"/>
      <c r="EE13" s="681"/>
      <c r="EF13" s="681"/>
      <c r="EG13" s="681"/>
      <c r="EH13" s="681"/>
      <c r="EI13" s="681"/>
      <c r="EJ13" s="681"/>
      <c r="EK13" s="681"/>
      <c r="EL13" s="681"/>
      <c r="EM13" s="681"/>
      <c r="EN13" s="681"/>
      <c r="EO13" s="681"/>
      <c r="EP13" s="681"/>
      <c r="EQ13" s="681"/>
      <c r="ER13" s="681"/>
      <c r="ES13" s="681"/>
      <c r="ET13" s="681"/>
      <c r="EU13" s="681"/>
      <c r="EV13" s="681"/>
      <c r="EW13" s="681"/>
      <c r="EX13" s="681"/>
      <c r="EY13" s="681"/>
      <c r="EZ13" s="681"/>
      <c r="FA13" s="681"/>
      <c r="FB13" s="681"/>
      <c r="FC13" s="681"/>
      <c r="FD13" s="681"/>
      <c r="FE13" s="681"/>
      <c r="FF13" s="681"/>
      <c r="FG13" s="681"/>
      <c r="FH13" s="681"/>
      <c r="FI13" s="681"/>
      <c r="FJ13" s="681"/>
      <c r="FK13" s="681"/>
      <c r="FL13" s="681"/>
      <c r="FM13" s="681"/>
      <c r="FN13" s="681"/>
      <c r="FO13" s="681"/>
      <c r="FP13" s="681"/>
      <c r="FQ13" s="681"/>
      <c r="FR13" s="681"/>
      <c r="FS13" s="681"/>
      <c r="FT13" s="681"/>
      <c r="FU13" s="681"/>
      <c r="FV13" s="681"/>
      <c r="FW13" s="681"/>
      <c r="FX13" s="681"/>
      <c r="FY13" s="681"/>
      <c r="FZ13" s="681"/>
      <c r="GA13" s="681"/>
      <c r="GB13" s="681"/>
      <c r="GC13" s="681"/>
      <c r="GD13" s="681"/>
      <c r="GE13" s="681"/>
      <c r="GF13" s="681"/>
      <c r="GG13" s="681"/>
      <c r="GH13" s="681"/>
      <c r="GI13" s="681"/>
      <c r="GJ13" s="681"/>
      <c r="GK13" s="681"/>
      <c r="GL13" s="681"/>
      <c r="GM13" s="681"/>
      <c r="GN13" s="681"/>
      <c r="GO13" s="681"/>
      <c r="GP13" s="681"/>
      <c r="GQ13" s="681"/>
    </row>
    <row r="14" spans="1:199" s="893" customFormat="1" x14ac:dyDescent="0.2">
      <c r="A14" s="894" t="str">
        <f>IF('[1]Core Assumptions'!B34="","",'[1]Core Assumptions'!B34)</f>
        <v>C LLC</v>
      </c>
      <c r="B14" s="895"/>
      <c r="C14" s="896"/>
      <c r="D14" s="897"/>
      <c r="E14" s="897"/>
      <c r="F14" s="897"/>
      <c r="G14" s="897"/>
      <c r="H14" s="897"/>
      <c r="I14" s="897"/>
      <c r="J14" s="897"/>
      <c r="K14" s="897"/>
      <c r="L14" s="897"/>
      <c r="M14" s="897"/>
      <c r="N14" s="897"/>
      <c r="O14" s="897"/>
      <c r="P14" s="897"/>
      <c r="Q14" s="897"/>
      <c r="R14" s="897"/>
      <c r="S14" s="897"/>
      <c r="T14" s="897"/>
      <c r="U14" s="895"/>
      <c r="V14" s="852"/>
      <c r="W14" s="853"/>
      <c r="X14" s="853"/>
      <c r="Y14" s="853"/>
      <c r="Z14" s="853"/>
      <c r="AA14" s="853"/>
      <c r="AB14" s="854">
        <f>_xlfn.XLOOKUP(Table17[[#This Row],[Project Delivery Lead]],[1]List!Y:Y,[1]List!AC:AC)</f>
        <v>0</v>
      </c>
      <c r="AC14" s="853" t="str">
        <f>IF($A14="","",'[1]Core Assumptions'!$D34)</f>
        <v>Corporation Return</v>
      </c>
      <c r="AD14" s="855"/>
      <c r="AE14" s="856"/>
      <c r="AF14" s="857"/>
      <c r="AG14" s="857"/>
      <c r="AH14" s="853"/>
      <c r="AI14" s="858"/>
      <c r="AJ14" s="858"/>
      <c r="AK14" s="858" t="str">
        <f>IF($A14="","",IF('[1]Pricing Summary'!$B$31="T&amp;M","Time and Material","Fixed Fee"))</f>
        <v>Fixed Fee</v>
      </c>
      <c r="AL14" s="856"/>
      <c r="AM14" s="859">
        <f>IF($A14="","",'[1]Outputs Recap'!$Z73)</f>
        <v>10</v>
      </c>
      <c r="AN14" s="860">
        <f>IF($A14="","",'[1]Outputs Recap'!$C$12)</f>
        <v>0.81391304347826088</v>
      </c>
      <c r="AO14" s="861">
        <f>IF($A14="","",VLOOKUP('[1]Outputs Recap'!$C$11,[1]List!$I:$J,2,FALSE))</f>
        <v>100</v>
      </c>
      <c r="AP14" s="856" t="str" cm="1">
        <f t="array" ref="AP14">IF($A14="","",_xlfn.IFS('[1]Pricing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Tax 100%</v>
      </c>
      <c r="AQ14" s="862" t="str">
        <f>IF($A14="","",_xlfn.XLOOKUP('[1]Core Assumptions'!$D$20,'[1]Other Lookups'!$AH:$AH,'[1]Other Lookups'!$AI:$AI))</f>
        <v>National Rate</v>
      </c>
      <c r="AR14" s="863">
        <f>IF($A14="","",'[1]Outputs Recap'!$AE73)</f>
        <v>5774.8917748917747</v>
      </c>
      <c r="AS14" s="864">
        <f>IF($A14="","",'[1]Outputs Recap'!$C$13)</f>
        <v>7.0000000000000007E-2</v>
      </c>
      <c r="AT14" s="865"/>
      <c r="AU14" s="865"/>
      <c r="AV14" s="865">
        <f>IF($A14="","",IFERROR(+Table17[[#This Row],[Total Contract Amount]]*Table17[[#This Row],[First-year, one-time Onboarding/Setup Fee %]],0))</f>
        <v>0</v>
      </c>
      <c r="AW14" s="866"/>
      <c r="AX14" s="867"/>
      <c r="AY14" s="868"/>
      <c r="AZ14" s="869"/>
      <c r="BA14" s="870"/>
      <c r="BB14" s="871"/>
      <c r="BC14" s="872"/>
      <c r="BD14" s="872"/>
      <c r="BE14" s="872"/>
      <c r="BF14" s="872"/>
      <c r="BG14" s="872"/>
      <c r="BH14" s="872"/>
      <c r="BI14" s="873"/>
      <c r="BJ14" s="874"/>
      <c r="BK14" s="874"/>
      <c r="BL14" s="875"/>
      <c r="BM14" s="876"/>
      <c r="BN14" s="877"/>
      <c r="BO14" s="878"/>
      <c r="BP14" s="879"/>
      <c r="BQ14" s="880"/>
      <c r="BR14" s="881"/>
      <c r="BS14" s="882"/>
      <c r="BT14" s="883"/>
      <c r="BU14" s="884"/>
      <c r="BV14" s="884"/>
      <c r="BW14" s="884"/>
      <c r="BX14" s="884"/>
      <c r="BY14" s="884"/>
      <c r="BZ14" s="884"/>
      <c r="CA14" s="884"/>
      <c r="CB14" s="884"/>
      <c r="CC14" s="884"/>
      <c r="CD14" s="884"/>
      <c r="CE14" s="885"/>
      <c r="CF14" s="885">
        <f t="shared" si="0"/>
        <v>5774.8917748917747</v>
      </c>
      <c r="CG14" s="898" t="str">
        <f>IF(ISBLANK($X14)=FALSE,"NextGenApp Advisory LLC","")</f>
        <v/>
      </c>
      <c r="CH14" s="899" t="str">
        <f>_xlfn.IFNA(INDEX([1]List!AC:AC,MATCH(X14,[1]List!Y:Y,0)),"")</f>
        <v/>
      </c>
      <c r="CI14" s="900"/>
      <c r="CJ14" s="900"/>
      <c r="CK14" s="900"/>
      <c r="CL14" s="900"/>
      <c r="CM14" s="901"/>
      <c r="CN14" s="902"/>
      <c r="CO14" s="903"/>
      <c r="CP14" s="904"/>
      <c r="CQ14" s="892"/>
      <c r="CR14" s="681"/>
      <c r="CS14" s="681"/>
      <c r="CT14" s="681"/>
      <c r="CU14" s="681"/>
      <c r="CV14" s="681"/>
      <c r="CW14" s="681"/>
      <c r="CX14" s="681"/>
      <c r="CY14" s="681"/>
      <c r="CZ14" s="681"/>
      <c r="DA14" s="681"/>
      <c r="DB14" s="681"/>
      <c r="DC14" s="681"/>
      <c r="DD14" s="681"/>
      <c r="DE14" s="681"/>
      <c r="DF14" s="681"/>
      <c r="DG14" s="681"/>
      <c r="DH14" s="681"/>
      <c r="DI14" s="681"/>
      <c r="DJ14" s="681"/>
      <c r="DK14" s="681"/>
      <c r="DL14" s="681"/>
      <c r="DM14" s="681"/>
      <c r="DN14" s="681"/>
      <c r="DO14" s="681"/>
      <c r="DP14" s="681"/>
      <c r="DQ14" s="681"/>
      <c r="DR14" s="681"/>
      <c r="DS14" s="681"/>
      <c r="DT14" s="681"/>
      <c r="DU14" s="681"/>
      <c r="DV14" s="681"/>
      <c r="DW14" s="681"/>
      <c r="DX14" s="681"/>
      <c r="DY14" s="681"/>
      <c r="DZ14" s="681"/>
      <c r="EA14" s="681"/>
      <c r="EB14" s="681"/>
      <c r="EC14" s="681"/>
      <c r="ED14" s="681"/>
      <c r="EE14" s="681"/>
      <c r="EF14" s="681"/>
      <c r="EG14" s="681"/>
      <c r="EH14" s="681"/>
      <c r="EI14" s="681"/>
      <c r="EJ14" s="681"/>
      <c r="EK14" s="681"/>
      <c r="EL14" s="681"/>
      <c r="EM14" s="681"/>
      <c r="EN14" s="681"/>
      <c r="EO14" s="681"/>
      <c r="EP14" s="681"/>
      <c r="EQ14" s="681"/>
      <c r="ER14" s="681"/>
      <c r="ES14" s="681"/>
      <c r="ET14" s="681"/>
      <c r="EU14" s="681"/>
      <c r="EV14" s="681"/>
      <c r="EW14" s="681"/>
      <c r="EX14" s="681"/>
      <c r="EY14" s="681"/>
      <c r="EZ14" s="681"/>
      <c r="FA14" s="681"/>
      <c r="FB14" s="681"/>
      <c r="FC14" s="681"/>
      <c r="FD14" s="681"/>
      <c r="FE14" s="681"/>
      <c r="FF14" s="681"/>
      <c r="FG14" s="681"/>
      <c r="FH14" s="681"/>
      <c r="FI14" s="681"/>
      <c r="FJ14" s="681"/>
      <c r="FK14" s="681"/>
      <c r="FL14" s="681"/>
      <c r="FM14" s="681"/>
      <c r="FN14" s="681"/>
      <c r="FO14" s="681"/>
      <c r="FP14" s="681"/>
      <c r="FQ14" s="681"/>
      <c r="FR14" s="681"/>
      <c r="FS14" s="681"/>
      <c r="FT14" s="681"/>
      <c r="FU14" s="681"/>
      <c r="FV14" s="681"/>
      <c r="FW14" s="681"/>
      <c r="FX14" s="681"/>
      <c r="FY14" s="681"/>
      <c r="FZ14" s="681"/>
      <c r="GA14" s="681"/>
      <c r="GB14" s="681"/>
      <c r="GC14" s="681"/>
      <c r="GD14" s="681"/>
      <c r="GE14" s="681"/>
      <c r="GF14" s="681"/>
      <c r="GG14" s="681"/>
      <c r="GH14" s="681"/>
      <c r="GI14" s="681"/>
      <c r="GJ14" s="681"/>
      <c r="GK14" s="681"/>
      <c r="GL14" s="681"/>
      <c r="GM14" s="681"/>
      <c r="GN14" s="681"/>
      <c r="GO14" s="681"/>
      <c r="GP14" s="681"/>
      <c r="GQ14" s="681"/>
    </row>
    <row r="15" spans="1:199" s="893" customFormat="1" x14ac:dyDescent="0.2">
      <c r="A15" s="894" t="str">
        <f>IF('[1]Core Assumptions'!B35="","",'[1]Core Assumptions'!B35)</f>
        <v>D Demo Corp</v>
      </c>
      <c r="B15" s="895"/>
      <c r="C15" s="896"/>
      <c r="D15" s="897"/>
      <c r="E15" s="897"/>
      <c r="F15" s="897"/>
      <c r="G15" s="897"/>
      <c r="H15" s="897"/>
      <c r="I15" s="897"/>
      <c r="J15" s="897"/>
      <c r="K15" s="897"/>
      <c r="L15" s="897"/>
      <c r="M15" s="897"/>
      <c r="N15" s="897"/>
      <c r="O15" s="897"/>
      <c r="P15" s="897"/>
      <c r="Q15" s="897"/>
      <c r="R15" s="897"/>
      <c r="S15" s="897"/>
      <c r="T15" s="897"/>
      <c r="U15" s="895"/>
      <c r="V15" s="852"/>
      <c r="W15" s="853"/>
      <c r="X15" s="853"/>
      <c r="Y15" s="853"/>
      <c r="Z15" s="853"/>
      <c r="AA15" s="853"/>
      <c r="AB15" s="854">
        <f>_xlfn.XLOOKUP(Table17[[#This Row],[Project Delivery Lead]],[1]List!Y:Y,[1]List!AC:AC)</f>
        <v>0</v>
      </c>
      <c r="AC15" s="853" t="str">
        <f>IF($A15="","",'[1]Core Assumptions'!$D35)</f>
        <v>Corporation Return</v>
      </c>
      <c r="AD15" s="855"/>
      <c r="AE15" s="856"/>
      <c r="AF15" s="857"/>
      <c r="AG15" s="857"/>
      <c r="AH15" s="853"/>
      <c r="AI15" s="858"/>
      <c r="AJ15" s="858"/>
      <c r="AK15" s="858" t="str">
        <f>IF($A15="","",IF('[1]Pricing Summary'!$B$31="T&amp;M","Time and Material","Fixed Fee"))</f>
        <v>Fixed Fee</v>
      </c>
      <c r="AL15" s="856"/>
      <c r="AM15" s="859">
        <f>IF($A15="","",'[1]Outputs Recap'!$Z74)</f>
        <v>10</v>
      </c>
      <c r="AN15" s="860">
        <f>IF($A15="","",'[1]Outputs Recap'!$C$12)</f>
        <v>0.81391304347826088</v>
      </c>
      <c r="AO15" s="861">
        <f>IF($A15="","",VLOOKUP('[1]Outputs Recap'!$C$11,[1]List!$I:$J,2,FALSE))</f>
        <v>100</v>
      </c>
      <c r="AP15" s="856" t="str" cm="1">
        <f t="array" ref="AP15">IF($A15="","",_xlfn.IFS('[1]Pricing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Tax 100%</v>
      </c>
      <c r="AQ15" s="862" t="str">
        <f>IF($A15="","",_xlfn.XLOOKUP('[1]Core Assumptions'!$D$20,'[1]Other Lookups'!$AH:$AH,'[1]Other Lookups'!$AI:$AI))</f>
        <v>National Rate</v>
      </c>
      <c r="AR15" s="863">
        <f>IF($A15="","",'[1]Outputs Recap'!$AE74)</f>
        <v>5774.8917748917747</v>
      </c>
      <c r="AS15" s="864">
        <f>IF($A15="","",'[1]Outputs Recap'!$C$13)</f>
        <v>7.0000000000000007E-2</v>
      </c>
      <c r="AT15" s="865"/>
      <c r="AU15" s="865"/>
      <c r="AV15" s="865">
        <f>IF($A15="","",IFERROR(+Table17[[#This Row],[Total Contract Amount]]*Table17[[#This Row],[First-year, one-time Onboarding/Setup Fee %]],0))</f>
        <v>0</v>
      </c>
      <c r="AW15" s="866"/>
      <c r="AX15" s="867"/>
      <c r="AY15" s="868"/>
      <c r="AZ15" s="869"/>
      <c r="BA15" s="870"/>
      <c r="BB15" s="871"/>
      <c r="BC15" s="872"/>
      <c r="BD15" s="872"/>
      <c r="BE15" s="872"/>
      <c r="BF15" s="872"/>
      <c r="BG15" s="872"/>
      <c r="BH15" s="872"/>
      <c r="BI15" s="873"/>
      <c r="BJ15" s="874"/>
      <c r="BK15" s="874"/>
      <c r="BL15" s="875"/>
      <c r="BM15" s="876"/>
      <c r="BN15" s="877"/>
      <c r="BO15" s="878"/>
      <c r="BP15" s="879"/>
      <c r="BQ15" s="880"/>
      <c r="BR15" s="881"/>
      <c r="BS15" s="882"/>
      <c r="BT15" s="883"/>
      <c r="BU15" s="884"/>
      <c r="BV15" s="884"/>
      <c r="BW15" s="884"/>
      <c r="BX15" s="884"/>
      <c r="BY15" s="884"/>
      <c r="BZ15" s="884"/>
      <c r="CA15" s="884"/>
      <c r="CB15" s="884"/>
      <c r="CC15" s="884"/>
      <c r="CD15" s="884"/>
      <c r="CE15" s="885"/>
      <c r="CF15" s="885">
        <f t="shared" si="0"/>
        <v>5774.8917748917747</v>
      </c>
      <c r="CG15" s="898" t="str">
        <f>IF(ISBLANK($X15)=FALSE,"NextGenApp Advisory LLC","")</f>
        <v/>
      </c>
      <c r="CH15" s="899" t="str">
        <f>_xlfn.IFNA(INDEX([1]List!AC:AC,MATCH(X15,[1]List!Y:Y,0)),"")</f>
        <v/>
      </c>
      <c r="CI15" s="900"/>
      <c r="CJ15" s="900"/>
      <c r="CK15" s="900"/>
      <c r="CL15" s="900"/>
      <c r="CM15" s="901"/>
      <c r="CN15" s="902"/>
      <c r="CO15" s="903"/>
      <c r="CP15" s="904"/>
      <c r="CQ15" s="892"/>
      <c r="CR15" s="681"/>
      <c r="CS15" s="681"/>
      <c r="CT15" s="681"/>
      <c r="CU15" s="681"/>
      <c r="CV15" s="681"/>
      <c r="CW15" s="681"/>
      <c r="CX15" s="681"/>
      <c r="CY15" s="681"/>
      <c r="CZ15" s="681"/>
      <c r="DA15" s="681"/>
      <c r="DB15" s="681"/>
      <c r="DC15" s="681"/>
      <c r="DD15" s="681"/>
      <c r="DE15" s="681"/>
      <c r="DF15" s="681"/>
      <c r="DG15" s="681"/>
      <c r="DH15" s="681"/>
      <c r="DI15" s="681"/>
      <c r="DJ15" s="681"/>
      <c r="DK15" s="681"/>
      <c r="DL15" s="681"/>
      <c r="DM15" s="681"/>
      <c r="DN15" s="681"/>
      <c r="DO15" s="681"/>
      <c r="DP15" s="681"/>
      <c r="DQ15" s="681"/>
      <c r="DR15" s="681"/>
      <c r="DS15" s="681"/>
      <c r="DT15" s="681"/>
      <c r="DU15" s="681"/>
      <c r="DV15" s="681"/>
      <c r="DW15" s="681"/>
      <c r="DX15" s="681"/>
      <c r="DY15" s="681"/>
      <c r="DZ15" s="681"/>
      <c r="EA15" s="681"/>
      <c r="EB15" s="681"/>
      <c r="EC15" s="681"/>
      <c r="ED15" s="681"/>
      <c r="EE15" s="681"/>
      <c r="EF15" s="681"/>
      <c r="EG15" s="681"/>
      <c r="EH15" s="681"/>
      <c r="EI15" s="681"/>
      <c r="EJ15" s="681"/>
      <c r="EK15" s="681"/>
      <c r="EL15" s="681"/>
      <c r="EM15" s="681"/>
      <c r="EN15" s="681"/>
      <c r="EO15" s="681"/>
      <c r="EP15" s="681"/>
      <c r="EQ15" s="681"/>
      <c r="ER15" s="681"/>
      <c r="ES15" s="681"/>
      <c r="ET15" s="681"/>
      <c r="EU15" s="681"/>
      <c r="EV15" s="681"/>
      <c r="EW15" s="681"/>
      <c r="EX15" s="681"/>
      <c r="EY15" s="681"/>
      <c r="EZ15" s="681"/>
      <c r="FA15" s="681"/>
      <c r="FB15" s="681"/>
      <c r="FC15" s="681"/>
      <c r="FD15" s="681"/>
      <c r="FE15" s="681"/>
      <c r="FF15" s="681"/>
      <c r="FG15" s="681"/>
      <c r="FH15" s="681"/>
      <c r="FI15" s="681"/>
      <c r="FJ15" s="681"/>
      <c r="FK15" s="681"/>
      <c r="FL15" s="681"/>
      <c r="FM15" s="681"/>
      <c r="FN15" s="681"/>
      <c r="FO15" s="681"/>
      <c r="FP15" s="681"/>
      <c r="FQ15" s="681"/>
      <c r="FR15" s="681"/>
      <c r="FS15" s="681"/>
      <c r="FT15" s="681"/>
      <c r="FU15" s="681"/>
      <c r="FV15" s="681"/>
      <c r="FW15" s="681"/>
      <c r="FX15" s="681"/>
      <c r="FY15" s="681"/>
      <c r="FZ15" s="681"/>
      <c r="GA15" s="681"/>
      <c r="GB15" s="681"/>
      <c r="GC15" s="681"/>
      <c r="GD15" s="681"/>
      <c r="GE15" s="681"/>
      <c r="GF15" s="681"/>
      <c r="GG15" s="681"/>
      <c r="GH15" s="681"/>
      <c r="GI15" s="681"/>
      <c r="GJ15" s="681"/>
      <c r="GK15" s="681"/>
      <c r="GL15" s="681"/>
      <c r="GM15" s="681"/>
      <c r="GN15" s="681"/>
      <c r="GO15" s="681"/>
      <c r="GP15" s="681"/>
      <c r="GQ15" s="681"/>
    </row>
    <row r="16" spans="1:199" s="893" customFormat="1" x14ac:dyDescent="0.2">
      <c r="A16" s="894" t="str">
        <f>IF('[1]Core Assumptions'!B36="","",'[1]Core Assumptions'!B36)</f>
        <v/>
      </c>
      <c r="B16" s="895"/>
      <c r="C16" s="896"/>
      <c r="D16" s="897"/>
      <c r="E16" s="897"/>
      <c r="F16" s="897"/>
      <c r="G16" s="897"/>
      <c r="H16" s="897"/>
      <c r="I16" s="897"/>
      <c r="J16" s="897"/>
      <c r="K16" s="897"/>
      <c r="L16" s="897"/>
      <c r="M16" s="897"/>
      <c r="N16" s="897"/>
      <c r="O16" s="897"/>
      <c r="P16" s="897"/>
      <c r="Q16" s="897"/>
      <c r="R16" s="897"/>
      <c r="S16" s="897"/>
      <c r="T16" s="897"/>
      <c r="U16" s="895"/>
      <c r="V16" s="852"/>
      <c r="W16" s="853"/>
      <c r="X16" s="853"/>
      <c r="Y16" s="853"/>
      <c r="Z16" s="853"/>
      <c r="AA16" s="853"/>
      <c r="AB16" s="854">
        <f>_xlfn.XLOOKUP(Table17[[#This Row],[Project Delivery Lead]],[1]List!Y:Y,[1]List!AC:AC)</f>
        <v>0</v>
      </c>
      <c r="AC16" s="853" t="str">
        <f>IF($A16="","",'[1]Core Assumptions'!$D36)</f>
        <v/>
      </c>
      <c r="AD16" s="855"/>
      <c r="AE16" s="856"/>
      <c r="AF16" s="857"/>
      <c r="AG16" s="857"/>
      <c r="AH16" s="853"/>
      <c r="AI16" s="858"/>
      <c r="AJ16" s="858"/>
      <c r="AK16" s="858" t="str">
        <f>IF($A16="","",IF('[1]Pricing Summary'!$B$31="T&amp;M","Time and Material","Fixed Fee"))</f>
        <v/>
      </c>
      <c r="AL16" s="856"/>
      <c r="AM16" s="859" t="str">
        <f>IF($A16="","",'[1]Outputs Recap'!$Z75)</f>
        <v/>
      </c>
      <c r="AN16" s="860" t="str">
        <f>IF($A16="","",'[1]Outputs Recap'!$C$12)</f>
        <v/>
      </c>
      <c r="AO16" s="861" t="str">
        <f>IF($A16="","",VLOOKUP('[1]Outputs Recap'!$C$11,[1]List!$I:$J,2,FALSE))</f>
        <v/>
      </c>
      <c r="AP16" s="856" t="str" cm="1">
        <f t="array" ref="AP16">IF($A16="","",_xlfn.IFS('[1]Pricing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 s="862" t="str">
        <f>IF($A16="","",_xlfn.XLOOKUP('[1]Core Assumptions'!$D$20,'[1]Other Lookups'!$AH:$AH,'[1]Other Lookups'!$AI:$AI))</f>
        <v/>
      </c>
      <c r="AR16" s="863" t="str">
        <f>IF($A16="","",'[1]Outputs Recap'!$AE75)</f>
        <v/>
      </c>
      <c r="AS16" s="864" t="str">
        <f>IF($A16="","",'[1]Outputs Recap'!$C$13)</f>
        <v/>
      </c>
      <c r="AT16" s="865"/>
      <c r="AU16" s="865"/>
      <c r="AV16" s="865" t="str">
        <f>IF($A16="","",IFERROR(+Table17[[#This Row],[Total Contract Amount]]*Table17[[#This Row],[First-year, one-time Onboarding/Setup Fee %]],0))</f>
        <v/>
      </c>
      <c r="AW16" s="866"/>
      <c r="AX16" s="867"/>
      <c r="AY16" s="868"/>
      <c r="AZ16" s="869"/>
      <c r="BA16" s="870"/>
      <c r="BB16" s="871"/>
      <c r="BC16" s="872"/>
      <c r="BD16" s="872"/>
      <c r="BE16" s="872"/>
      <c r="BF16" s="872"/>
      <c r="BG16" s="872"/>
      <c r="BH16" s="872"/>
      <c r="BI16" s="873"/>
      <c r="BJ16" s="874"/>
      <c r="BK16" s="874"/>
      <c r="BL16" s="875"/>
      <c r="BM16" s="876"/>
      <c r="BN16" s="877"/>
      <c r="BO16" s="878"/>
      <c r="BP16" s="879"/>
      <c r="BQ16" s="880"/>
      <c r="BR16" s="881"/>
      <c r="BS16" s="882"/>
      <c r="BT16" s="883"/>
      <c r="BU16" s="884"/>
      <c r="BV16" s="884"/>
      <c r="BW16" s="884"/>
      <c r="BX16" s="884"/>
      <c r="BY16" s="884"/>
      <c r="BZ16" s="884"/>
      <c r="CA16" s="884"/>
      <c r="CB16" s="884"/>
      <c r="CC16" s="884"/>
      <c r="CD16" s="884"/>
      <c r="CE16" s="885"/>
      <c r="CF16" s="885" t="str">
        <f t="shared" si="0"/>
        <v/>
      </c>
      <c r="CG16" s="898" t="str">
        <f>IF(ISBLANK($X16)=FALSE,"NextGenApp Advisory LLC","")</f>
        <v/>
      </c>
      <c r="CH16" s="899" t="str">
        <f>_xlfn.IFNA(INDEX([1]List!AC:AC,MATCH(X16,[1]List!Y:Y,0)),"")</f>
        <v/>
      </c>
      <c r="CI16" s="900"/>
      <c r="CJ16" s="900"/>
      <c r="CK16" s="900"/>
      <c r="CL16" s="900"/>
      <c r="CM16" s="901"/>
      <c r="CN16" s="902"/>
      <c r="CO16" s="903"/>
      <c r="CP16" s="904"/>
      <c r="CQ16" s="892"/>
      <c r="CR16" s="681"/>
      <c r="CS16" s="681"/>
      <c r="CT16" s="681"/>
      <c r="CU16" s="681"/>
      <c r="CV16" s="681"/>
      <c r="CW16" s="681"/>
      <c r="CX16" s="681"/>
      <c r="CY16" s="681"/>
      <c r="CZ16" s="681"/>
      <c r="DA16" s="681"/>
      <c r="DB16" s="681"/>
      <c r="DC16" s="681"/>
      <c r="DD16" s="681"/>
      <c r="DE16" s="681"/>
      <c r="DF16" s="681"/>
      <c r="DG16" s="681"/>
      <c r="DH16" s="681"/>
      <c r="DI16" s="681"/>
      <c r="DJ16" s="681"/>
      <c r="DK16" s="681"/>
      <c r="DL16" s="681"/>
      <c r="DM16" s="681"/>
      <c r="DN16" s="681"/>
      <c r="DO16" s="681"/>
      <c r="DP16" s="681"/>
      <c r="DQ16" s="681"/>
      <c r="DR16" s="681"/>
      <c r="DS16" s="681"/>
      <c r="DT16" s="681"/>
      <c r="DU16" s="681"/>
      <c r="DV16" s="681"/>
      <c r="DW16" s="681"/>
      <c r="DX16" s="681"/>
      <c r="DY16" s="681"/>
      <c r="DZ16" s="681"/>
      <c r="EA16" s="681"/>
      <c r="EB16" s="681"/>
      <c r="EC16" s="681"/>
      <c r="ED16" s="681"/>
      <c r="EE16" s="681"/>
      <c r="EF16" s="681"/>
      <c r="EG16" s="681"/>
      <c r="EH16" s="681"/>
      <c r="EI16" s="681"/>
      <c r="EJ16" s="681"/>
      <c r="EK16" s="681"/>
      <c r="EL16" s="681"/>
      <c r="EM16" s="681"/>
      <c r="EN16" s="681"/>
      <c r="EO16" s="681"/>
      <c r="EP16" s="681"/>
      <c r="EQ16" s="681"/>
      <c r="ER16" s="681"/>
      <c r="ES16" s="681"/>
      <c r="ET16" s="681"/>
      <c r="EU16" s="681"/>
      <c r="EV16" s="681"/>
      <c r="EW16" s="681"/>
      <c r="EX16" s="681"/>
      <c r="EY16" s="681"/>
      <c r="EZ16" s="681"/>
      <c r="FA16" s="681"/>
      <c r="FB16" s="681"/>
      <c r="FC16" s="681"/>
      <c r="FD16" s="681"/>
      <c r="FE16" s="681"/>
      <c r="FF16" s="681"/>
      <c r="FG16" s="681"/>
      <c r="FH16" s="681"/>
      <c r="FI16" s="681"/>
      <c r="FJ16" s="681"/>
      <c r="FK16" s="681"/>
      <c r="FL16" s="681"/>
      <c r="FM16" s="681"/>
      <c r="FN16" s="681"/>
      <c r="FO16" s="681"/>
      <c r="FP16" s="681"/>
      <c r="FQ16" s="681"/>
      <c r="FR16" s="681"/>
      <c r="FS16" s="681"/>
      <c r="FT16" s="681"/>
      <c r="FU16" s="681"/>
      <c r="FV16" s="681"/>
      <c r="FW16" s="681"/>
      <c r="FX16" s="681"/>
      <c r="FY16" s="681"/>
      <c r="FZ16" s="681"/>
      <c r="GA16" s="681"/>
      <c r="GB16" s="681"/>
      <c r="GC16" s="681"/>
      <c r="GD16" s="681"/>
      <c r="GE16" s="681"/>
      <c r="GF16" s="681"/>
      <c r="GG16" s="681"/>
      <c r="GH16" s="681"/>
      <c r="GI16" s="681"/>
      <c r="GJ16" s="681"/>
      <c r="GK16" s="681"/>
      <c r="GL16" s="681"/>
      <c r="GM16" s="681"/>
      <c r="GN16" s="681"/>
      <c r="GO16" s="681"/>
      <c r="GP16" s="681"/>
      <c r="GQ16" s="681"/>
    </row>
    <row r="17" spans="1:199" s="893" customFormat="1" x14ac:dyDescent="0.2">
      <c r="A17" s="894" t="str">
        <f>IF('[1]Core Assumptions'!B37="","",'[1]Core Assumptions'!B37)</f>
        <v/>
      </c>
      <c r="B17" s="895"/>
      <c r="C17" s="896"/>
      <c r="D17" s="897"/>
      <c r="E17" s="897"/>
      <c r="F17" s="897"/>
      <c r="G17" s="897"/>
      <c r="H17" s="897"/>
      <c r="I17" s="897"/>
      <c r="J17" s="897"/>
      <c r="K17" s="897"/>
      <c r="L17" s="897"/>
      <c r="M17" s="897"/>
      <c r="N17" s="897"/>
      <c r="O17" s="897"/>
      <c r="P17" s="897"/>
      <c r="Q17" s="897"/>
      <c r="R17" s="897"/>
      <c r="S17" s="897"/>
      <c r="T17" s="897"/>
      <c r="U17" s="895"/>
      <c r="V17" s="852"/>
      <c r="W17" s="853"/>
      <c r="X17" s="853"/>
      <c r="Y17" s="853"/>
      <c r="Z17" s="853"/>
      <c r="AA17" s="853"/>
      <c r="AB17" s="854">
        <f>_xlfn.XLOOKUP(Table17[[#This Row],[Project Delivery Lead]],[1]List!Y:Y,[1]List!AC:AC)</f>
        <v>0</v>
      </c>
      <c r="AC17" s="853" t="str">
        <f>IF($A17="","",'[1]Core Assumptions'!$D37)</f>
        <v/>
      </c>
      <c r="AD17" s="855"/>
      <c r="AE17" s="856"/>
      <c r="AF17" s="857"/>
      <c r="AG17" s="857"/>
      <c r="AH17" s="853"/>
      <c r="AI17" s="858"/>
      <c r="AJ17" s="858"/>
      <c r="AK17" s="858" t="str">
        <f>IF($A17="","",IF('[1]Pricing Summary'!$B$31="T&amp;M","Time and Material","Fixed Fee"))</f>
        <v/>
      </c>
      <c r="AL17" s="856"/>
      <c r="AM17" s="859" t="str">
        <f>IF($A17="","",'[1]Outputs Recap'!$Z76)</f>
        <v/>
      </c>
      <c r="AN17" s="860" t="str">
        <f>IF($A17="","",'[1]Outputs Recap'!$C$12)</f>
        <v/>
      </c>
      <c r="AO17" s="861" t="str">
        <f>IF($A17="","",VLOOKUP('[1]Outputs Recap'!$C$11,[1]List!$I:$J,2,FALSE))</f>
        <v/>
      </c>
      <c r="AP17" s="856" t="str" cm="1">
        <f t="array" ref="AP17">IF($A17="","",_xlfn.IFS('[1]Pricing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 s="862" t="str">
        <f>IF($A17="","",_xlfn.XLOOKUP('[1]Core Assumptions'!$D$20,'[1]Other Lookups'!$AH:$AH,'[1]Other Lookups'!$AI:$AI))</f>
        <v/>
      </c>
      <c r="AR17" s="863" t="str">
        <f>IF($A17="","",'[1]Outputs Recap'!$AE76)</f>
        <v/>
      </c>
      <c r="AS17" s="864" t="str">
        <f>IF($A17="","",'[1]Outputs Recap'!$C$13)</f>
        <v/>
      </c>
      <c r="AT17" s="865"/>
      <c r="AU17" s="865"/>
      <c r="AV17" s="865" t="str">
        <f>IF($A17="","",IFERROR(+Table17[[#This Row],[Total Contract Amount]]*Table17[[#This Row],[First-year, one-time Onboarding/Setup Fee %]],0))</f>
        <v/>
      </c>
      <c r="AW17" s="866"/>
      <c r="AX17" s="867"/>
      <c r="AY17" s="868"/>
      <c r="AZ17" s="869"/>
      <c r="BA17" s="870"/>
      <c r="BB17" s="871"/>
      <c r="BC17" s="872"/>
      <c r="BD17" s="872"/>
      <c r="BE17" s="872"/>
      <c r="BF17" s="872"/>
      <c r="BG17" s="872"/>
      <c r="BH17" s="872"/>
      <c r="BI17" s="873"/>
      <c r="BJ17" s="874"/>
      <c r="BK17" s="874"/>
      <c r="BL17" s="875"/>
      <c r="BM17" s="876"/>
      <c r="BN17" s="877"/>
      <c r="BO17" s="878"/>
      <c r="BP17" s="879"/>
      <c r="BQ17" s="880"/>
      <c r="BR17" s="881"/>
      <c r="BS17" s="882"/>
      <c r="BT17" s="883"/>
      <c r="BU17" s="884"/>
      <c r="BV17" s="884"/>
      <c r="BW17" s="884"/>
      <c r="BX17" s="884"/>
      <c r="BY17" s="884"/>
      <c r="BZ17" s="884"/>
      <c r="CA17" s="884"/>
      <c r="CB17" s="884"/>
      <c r="CC17" s="884"/>
      <c r="CD17" s="884"/>
      <c r="CE17" s="885"/>
      <c r="CF17" s="885" t="str">
        <f t="shared" si="0"/>
        <v/>
      </c>
      <c r="CG17" s="898" t="str">
        <f>IF(ISBLANK($X17)=FALSE,"NextGenApp Advisory LLC","")</f>
        <v/>
      </c>
      <c r="CH17" s="899" t="str">
        <f>_xlfn.IFNA(INDEX([1]List!AC:AC,MATCH(X17,[1]List!Y:Y,0)),"")</f>
        <v/>
      </c>
      <c r="CI17" s="900"/>
      <c r="CJ17" s="900"/>
      <c r="CK17" s="900"/>
      <c r="CL17" s="900"/>
      <c r="CM17" s="901"/>
      <c r="CN17" s="902"/>
      <c r="CO17" s="903"/>
      <c r="CP17" s="904"/>
      <c r="CQ17" s="892"/>
      <c r="CR17" s="681"/>
      <c r="CS17" s="681"/>
      <c r="CT17" s="681"/>
      <c r="CU17" s="681"/>
      <c r="CV17" s="681"/>
      <c r="CW17" s="681"/>
      <c r="CX17" s="681"/>
      <c r="CY17" s="681"/>
      <c r="CZ17" s="681"/>
      <c r="DA17" s="681"/>
      <c r="DB17" s="681"/>
      <c r="DC17" s="681"/>
      <c r="DD17" s="681"/>
      <c r="DE17" s="681"/>
      <c r="DF17" s="681"/>
      <c r="DG17" s="681"/>
      <c r="DH17" s="681"/>
      <c r="DI17" s="681"/>
      <c r="DJ17" s="681"/>
      <c r="DK17" s="681"/>
      <c r="DL17" s="681"/>
      <c r="DM17" s="681"/>
      <c r="DN17" s="681"/>
      <c r="DO17" s="681"/>
      <c r="DP17" s="681"/>
      <c r="DQ17" s="681"/>
      <c r="DR17" s="681"/>
      <c r="DS17" s="681"/>
      <c r="DT17" s="681"/>
      <c r="DU17" s="681"/>
      <c r="DV17" s="681"/>
      <c r="DW17" s="681"/>
      <c r="DX17" s="681"/>
      <c r="DY17" s="681"/>
      <c r="DZ17" s="681"/>
      <c r="EA17" s="681"/>
      <c r="EB17" s="681"/>
      <c r="EC17" s="681"/>
      <c r="ED17" s="681"/>
      <c r="EE17" s="681"/>
      <c r="EF17" s="681"/>
      <c r="EG17" s="681"/>
      <c r="EH17" s="681"/>
      <c r="EI17" s="681"/>
      <c r="EJ17" s="681"/>
      <c r="EK17" s="681"/>
      <c r="EL17" s="681"/>
      <c r="EM17" s="681"/>
      <c r="EN17" s="681"/>
      <c r="EO17" s="681"/>
      <c r="EP17" s="681"/>
      <c r="EQ17" s="681"/>
      <c r="ER17" s="681"/>
      <c r="ES17" s="681"/>
      <c r="ET17" s="681"/>
      <c r="EU17" s="681"/>
      <c r="EV17" s="681"/>
      <c r="EW17" s="681"/>
      <c r="EX17" s="681"/>
      <c r="EY17" s="681"/>
      <c r="EZ17" s="681"/>
      <c r="FA17" s="681"/>
      <c r="FB17" s="681"/>
      <c r="FC17" s="681"/>
      <c r="FD17" s="681"/>
      <c r="FE17" s="681"/>
      <c r="FF17" s="681"/>
      <c r="FG17" s="681"/>
      <c r="FH17" s="681"/>
      <c r="FI17" s="681"/>
      <c r="FJ17" s="681"/>
      <c r="FK17" s="681"/>
      <c r="FL17" s="681"/>
      <c r="FM17" s="681"/>
      <c r="FN17" s="681"/>
      <c r="FO17" s="681"/>
      <c r="FP17" s="681"/>
      <c r="FQ17" s="681"/>
      <c r="FR17" s="681"/>
      <c r="FS17" s="681"/>
      <c r="FT17" s="681"/>
      <c r="FU17" s="681"/>
      <c r="FV17" s="681"/>
      <c r="FW17" s="681"/>
      <c r="FX17" s="681"/>
      <c r="FY17" s="681"/>
      <c r="FZ17" s="681"/>
      <c r="GA17" s="681"/>
      <c r="GB17" s="681"/>
      <c r="GC17" s="681"/>
      <c r="GD17" s="681"/>
      <c r="GE17" s="681"/>
      <c r="GF17" s="681"/>
      <c r="GG17" s="681"/>
      <c r="GH17" s="681"/>
      <c r="GI17" s="681"/>
      <c r="GJ17" s="681"/>
      <c r="GK17" s="681"/>
      <c r="GL17" s="681"/>
      <c r="GM17" s="681"/>
      <c r="GN17" s="681"/>
      <c r="GO17" s="681"/>
      <c r="GP17" s="681"/>
      <c r="GQ17" s="681"/>
    </row>
    <row r="18" spans="1:199" s="893" customFormat="1" x14ac:dyDescent="0.2">
      <c r="A18" s="894" t="str">
        <f>IF('[1]Core Assumptions'!B38="","",'[1]Core Assumptions'!B38)</f>
        <v/>
      </c>
      <c r="B18" s="895"/>
      <c r="C18" s="896"/>
      <c r="D18" s="897"/>
      <c r="E18" s="897"/>
      <c r="F18" s="897"/>
      <c r="G18" s="897"/>
      <c r="H18" s="897"/>
      <c r="I18" s="897"/>
      <c r="J18" s="897"/>
      <c r="K18" s="897"/>
      <c r="L18" s="897"/>
      <c r="M18" s="897"/>
      <c r="N18" s="897"/>
      <c r="O18" s="897"/>
      <c r="P18" s="897"/>
      <c r="Q18" s="897"/>
      <c r="R18" s="897"/>
      <c r="S18" s="897"/>
      <c r="T18" s="897"/>
      <c r="U18" s="895"/>
      <c r="V18" s="852"/>
      <c r="W18" s="853"/>
      <c r="X18" s="853"/>
      <c r="Y18" s="853"/>
      <c r="Z18" s="853"/>
      <c r="AA18" s="853"/>
      <c r="AB18" s="854">
        <f>_xlfn.XLOOKUP(Table17[[#This Row],[Project Delivery Lead]],[1]List!Y:Y,[1]List!AC:AC)</f>
        <v>0</v>
      </c>
      <c r="AC18" s="853" t="str">
        <f>IF($A18="","",'[1]Core Assumptions'!$D38)</f>
        <v/>
      </c>
      <c r="AD18" s="855"/>
      <c r="AE18" s="856"/>
      <c r="AF18" s="857"/>
      <c r="AG18" s="857"/>
      <c r="AH18" s="853"/>
      <c r="AI18" s="858"/>
      <c r="AJ18" s="858"/>
      <c r="AK18" s="858" t="str">
        <f>IF($A18="","",IF('[1]Pricing Summary'!$B$31="T&amp;M","Time and Material","Fixed Fee"))</f>
        <v/>
      </c>
      <c r="AL18" s="856"/>
      <c r="AM18" s="859" t="str">
        <f>IF($A18="","",'[1]Outputs Recap'!$Z77)</f>
        <v/>
      </c>
      <c r="AN18" s="860" t="str">
        <f>IF($A18="","",'[1]Outputs Recap'!$C$12)</f>
        <v/>
      </c>
      <c r="AO18" s="861" t="str">
        <f>IF($A18="","",VLOOKUP('[1]Outputs Recap'!$C$11,[1]List!$I:$J,2,FALSE))</f>
        <v/>
      </c>
      <c r="AP18" s="856" t="str" cm="1">
        <f t="array" ref="AP18">IF($A18="","",_xlfn.IFS('[1]Pricing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 s="862" t="str">
        <f>IF($A18="","",_xlfn.XLOOKUP('[1]Core Assumptions'!$D$20,'[1]Other Lookups'!$AH:$AH,'[1]Other Lookups'!$AI:$AI))</f>
        <v/>
      </c>
      <c r="AR18" s="863" t="str">
        <f>IF($A18="","",'[1]Outputs Recap'!$AE77)</f>
        <v/>
      </c>
      <c r="AS18" s="864" t="str">
        <f>IF($A18="","",'[1]Outputs Recap'!$C$13)</f>
        <v/>
      </c>
      <c r="AT18" s="865"/>
      <c r="AU18" s="865"/>
      <c r="AV18" s="865" t="str">
        <f>IF($A18="","",IFERROR(+Table17[[#This Row],[Total Contract Amount]]*Table17[[#This Row],[First-year, one-time Onboarding/Setup Fee %]],0))</f>
        <v/>
      </c>
      <c r="AW18" s="866"/>
      <c r="AX18" s="867"/>
      <c r="AY18" s="868"/>
      <c r="AZ18" s="869"/>
      <c r="BA18" s="870"/>
      <c r="BB18" s="871"/>
      <c r="BC18" s="872"/>
      <c r="BD18" s="872"/>
      <c r="BE18" s="872"/>
      <c r="BF18" s="872"/>
      <c r="BG18" s="872"/>
      <c r="BH18" s="872"/>
      <c r="BI18" s="873"/>
      <c r="BJ18" s="874"/>
      <c r="BK18" s="874"/>
      <c r="BL18" s="875"/>
      <c r="BM18" s="876"/>
      <c r="BN18" s="877"/>
      <c r="BO18" s="878"/>
      <c r="BP18" s="879"/>
      <c r="BQ18" s="880"/>
      <c r="BR18" s="881"/>
      <c r="BS18" s="882"/>
      <c r="BT18" s="883"/>
      <c r="BU18" s="884"/>
      <c r="BV18" s="884"/>
      <c r="BW18" s="884"/>
      <c r="BX18" s="884"/>
      <c r="BY18" s="884"/>
      <c r="BZ18" s="884"/>
      <c r="CA18" s="884"/>
      <c r="CB18" s="884"/>
      <c r="CC18" s="884"/>
      <c r="CD18" s="884"/>
      <c r="CE18" s="885"/>
      <c r="CF18" s="885" t="str">
        <f t="shared" si="0"/>
        <v/>
      </c>
      <c r="CG18" s="898" t="str">
        <f>IF(ISBLANK($X18)=FALSE,"NextGenApp Advisory LLC","")</f>
        <v/>
      </c>
      <c r="CH18" s="899" t="str">
        <f>_xlfn.IFNA(INDEX([1]List!AC:AC,MATCH(X18,[1]List!Y:Y,0)),"")</f>
        <v/>
      </c>
      <c r="CI18" s="900"/>
      <c r="CJ18" s="900"/>
      <c r="CK18" s="900"/>
      <c r="CL18" s="900"/>
      <c r="CM18" s="901"/>
      <c r="CN18" s="902"/>
      <c r="CO18" s="903"/>
      <c r="CP18" s="904"/>
      <c r="CQ18" s="892"/>
      <c r="CR18" s="681"/>
      <c r="CS18" s="681"/>
      <c r="CT18" s="681"/>
      <c r="CU18" s="681"/>
      <c r="CV18" s="681"/>
      <c r="CW18" s="681"/>
      <c r="CX18" s="681"/>
      <c r="CY18" s="681"/>
      <c r="CZ18" s="681"/>
      <c r="DA18" s="681"/>
      <c r="DB18" s="681"/>
      <c r="DC18" s="681"/>
      <c r="DD18" s="681"/>
      <c r="DE18" s="681"/>
      <c r="DF18" s="681"/>
      <c r="DG18" s="681"/>
      <c r="DH18" s="681"/>
      <c r="DI18" s="681"/>
      <c r="DJ18" s="681"/>
      <c r="DK18" s="681"/>
      <c r="DL18" s="681"/>
      <c r="DM18" s="681"/>
      <c r="DN18" s="681"/>
      <c r="DO18" s="681"/>
      <c r="DP18" s="681"/>
      <c r="DQ18" s="681"/>
      <c r="DR18" s="681"/>
      <c r="DS18" s="681"/>
      <c r="DT18" s="681"/>
      <c r="DU18" s="681"/>
      <c r="DV18" s="681"/>
      <c r="DW18" s="681"/>
      <c r="DX18" s="681"/>
      <c r="DY18" s="681"/>
      <c r="DZ18" s="681"/>
      <c r="EA18" s="681"/>
      <c r="EB18" s="681"/>
      <c r="EC18" s="681"/>
      <c r="ED18" s="681"/>
      <c r="EE18" s="681"/>
      <c r="EF18" s="681"/>
      <c r="EG18" s="681"/>
      <c r="EH18" s="681"/>
      <c r="EI18" s="681"/>
      <c r="EJ18" s="681"/>
      <c r="EK18" s="681"/>
      <c r="EL18" s="681"/>
      <c r="EM18" s="681"/>
      <c r="EN18" s="681"/>
      <c r="EO18" s="681"/>
      <c r="EP18" s="681"/>
      <c r="EQ18" s="681"/>
      <c r="ER18" s="681"/>
      <c r="ES18" s="681"/>
      <c r="ET18" s="681"/>
      <c r="EU18" s="681"/>
      <c r="EV18" s="681"/>
      <c r="EW18" s="681"/>
      <c r="EX18" s="681"/>
      <c r="EY18" s="681"/>
      <c r="EZ18" s="681"/>
      <c r="FA18" s="681"/>
      <c r="FB18" s="681"/>
      <c r="FC18" s="681"/>
      <c r="FD18" s="681"/>
      <c r="FE18" s="681"/>
      <c r="FF18" s="681"/>
      <c r="FG18" s="681"/>
      <c r="FH18" s="681"/>
      <c r="FI18" s="681"/>
      <c r="FJ18" s="681"/>
      <c r="FK18" s="681"/>
      <c r="FL18" s="681"/>
      <c r="FM18" s="681"/>
      <c r="FN18" s="681"/>
      <c r="FO18" s="681"/>
      <c r="FP18" s="681"/>
      <c r="FQ18" s="681"/>
      <c r="FR18" s="681"/>
      <c r="FS18" s="681"/>
      <c r="FT18" s="681"/>
      <c r="FU18" s="681"/>
      <c r="FV18" s="681"/>
      <c r="FW18" s="681"/>
      <c r="FX18" s="681"/>
      <c r="FY18" s="681"/>
      <c r="FZ18" s="681"/>
      <c r="GA18" s="681"/>
      <c r="GB18" s="681"/>
      <c r="GC18" s="681"/>
      <c r="GD18" s="681"/>
      <c r="GE18" s="681"/>
      <c r="GF18" s="681"/>
      <c r="GG18" s="681"/>
      <c r="GH18" s="681"/>
      <c r="GI18" s="681"/>
      <c r="GJ18" s="681"/>
      <c r="GK18" s="681"/>
      <c r="GL18" s="681"/>
      <c r="GM18" s="681"/>
      <c r="GN18" s="681"/>
      <c r="GO18" s="681"/>
      <c r="GP18" s="681"/>
      <c r="GQ18" s="681"/>
    </row>
    <row r="19" spans="1:199" s="893" customFormat="1" x14ac:dyDescent="0.2">
      <c r="A19" s="894" t="str">
        <f>IF('[1]Core Assumptions'!B39="","",'[1]Core Assumptions'!B39)</f>
        <v/>
      </c>
      <c r="B19" s="895"/>
      <c r="C19" s="896"/>
      <c r="D19" s="897"/>
      <c r="E19" s="897"/>
      <c r="F19" s="897"/>
      <c r="G19" s="897"/>
      <c r="H19" s="897"/>
      <c r="I19" s="897"/>
      <c r="J19" s="897"/>
      <c r="K19" s="897"/>
      <c r="L19" s="897"/>
      <c r="M19" s="897"/>
      <c r="N19" s="897"/>
      <c r="O19" s="897"/>
      <c r="P19" s="897"/>
      <c r="Q19" s="897"/>
      <c r="R19" s="897"/>
      <c r="S19" s="897"/>
      <c r="T19" s="897"/>
      <c r="U19" s="895"/>
      <c r="V19" s="852"/>
      <c r="W19" s="853"/>
      <c r="X19" s="853"/>
      <c r="Y19" s="853"/>
      <c r="Z19" s="853"/>
      <c r="AA19" s="853"/>
      <c r="AB19" s="854">
        <f>_xlfn.XLOOKUP(Table17[[#This Row],[Project Delivery Lead]],[1]List!Y:Y,[1]List!AC:AC)</f>
        <v>0</v>
      </c>
      <c r="AC19" s="853" t="str">
        <f>IF($A19="","",'[1]Core Assumptions'!$D39)</f>
        <v/>
      </c>
      <c r="AD19" s="855"/>
      <c r="AE19" s="856"/>
      <c r="AF19" s="857"/>
      <c r="AG19" s="857"/>
      <c r="AH19" s="853"/>
      <c r="AI19" s="858"/>
      <c r="AJ19" s="858"/>
      <c r="AK19" s="858" t="str">
        <f>IF($A19="","",IF('[1]Pricing Summary'!$B$31="T&amp;M","Time and Material","Fixed Fee"))</f>
        <v/>
      </c>
      <c r="AL19" s="856"/>
      <c r="AM19" s="859" t="str">
        <f>IF($A19="","",'[1]Outputs Recap'!$Z78)</f>
        <v/>
      </c>
      <c r="AN19" s="860" t="str">
        <f>IF($A19="","",'[1]Outputs Recap'!$C$12)</f>
        <v/>
      </c>
      <c r="AO19" s="861" t="str">
        <f>IF($A19="","",VLOOKUP('[1]Outputs Recap'!$C$11,[1]List!$I:$J,2,FALSE))</f>
        <v/>
      </c>
      <c r="AP19" s="856" t="str" cm="1">
        <f t="array" ref="AP19">IF($A19="","",_xlfn.IFS('[1]Pricing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 s="862" t="str">
        <f>IF($A19="","",_xlfn.XLOOKUP('[1]Core Assumptions'!$D$20,'[1]Other Lookups'!$AH:$AH,'[1]Other Lookups'!$AI:$AI))</f>
        <v/>
      </c>
      <c r="AR19" s="863" t="str">
        <f>IF($A19="","",'[1]Outputs Recap'!$AE78)</f>
        <v/>
      </c>
      <c r="AS19" s="864" t="str">
        <f>IF($A19="","",'[1]Outputs Recap'!$C$13)</f>
        <v/>
      </c>
      <c r="AT19" s="865"/>
      <c r="AU19" s="865"/>
      <c r="AV19" s="865" t="str">
        <f>IF($A19="","",IFERROR(+Table17[[#This Row],[Total Contract Amount]]*Table17[[#This Row],[First-year, one-time Onboarding/Setup Fee %]],0))</f>
        <v/>
      </c>
      <c r="AW19" s="866"/>
      <c r="AX19" s="867"/>
      <c r="AY19" s="868"/>
      <c r="AZ19" s="869"/>
      <c r="BA19" s="870"/>
      <c r="BB19" s="871"/>
      <c r="BC19" s="872"/>
      <c r="BD19" s="872"/>
      <c r="BE19" s="872"/>
      <c r="BF19" s="872"/>
      <c r="BG19" s="872"/>
      <c r="BH19" s="872"/>
      <c r="BI19" s="873"/>
      <c r="BJ19" s="874"/>
      <c r="BK19" s="874"/>
      <c r="BL19" s="875"/>
      <c r="BM19" s="876"/>
      <c r="BN19" s="877"/>
      <c r="BO19" s="878"/>
      <c r="BP19" s="879"/>
      <c r="BQ19" s="880"/>
      <c r="BR19" s="881"/>
      <c r="BS19" s="882"/>
      <c r="BT19" s="883"/>
      <c r="BU19" s="884"/>
      <c r="BV19" s="884"/>
      <c r="BW19" s="884"/>
      <c r="BX19" s="884"/>
      <c r="BY19" s="884"/>
      <c r="BZ19" s="884"/>
      <c r="CA19" s="884"/>
      <c r="CB19" s="884"/>
      <c r="CC19" s="884"/>
      <c r="CD19" s="884"/>
      <c r="CE19" s="885"/>
      <c r="CF19" s="885" t="str">
        <f t="shared" si="0"/>
        <v/>
      </c>
      <c r="CG19" s="898" t="str">
        <f>IF(ISBLANK($X19)=FALSE,"NextGenApp Advisory LLC","")</f>
        <v/>
      </c>
      <c r="CH19" s="899" t="str">
        <f>_xlfn.IFNA(INDEX([1]List!AC:AC,MATCH(X19,[1]List!Y:Y,0)),"")</f>
        <v/>
      </c>
      <c r="CI19" s="900"/>
      <c r="CJ19" s="900"/>
      <c r="CK19" s="900"/>
      <c r="CL19" s="900"/>
      <c r="CM19" s="901"/>
      <c r="CN19" s="902"/>
      <c r="CO19" s="903"/>
      <c r="CP19" s="904"/>
      <c r="CQ19" s="892"/>
      <c r="CR19" s="681"/>
      <c r="CS19" s="681"/>
      <c r="CT19" s="681"/>
      <c r="CU19" s="681"/>
      <c r="CV19" s="681"/>
      <c r="CW19" s="681"/>
      <c r="CX19" s="681"/>
      <c r="CY19" s="681"/>
      <c r="CZ19" s="681"/>
      <c r="DA19" s="681"/>
      <c r="DB19" s="681"/>
      <c r="DC19" s="681"/>
      <c r="DD19" s="681"/>
      <c r="DE19" s="681"/>
      <c r="DF19" s="681"/>
      <c r="DG19" s="681"/>
      <c r="DH19" s="681"/>
      <c r="DI19" s="681"/>
      <c r="DJ19" s="681"/>
      <c r="DK19" s="681"/>
      <c r="DL19" s="681"/>
      <c r="DM19" s="681"/>
      <c r="DN19" s="681"/>
      <c r="DO19" s="681"/>
      <c r="DP19" s="681"/>
      <c r="DQ19" s="681"/>
      <c r="DR19" s="681"/>
      <c r="DS19" s="681"/>
      <c r="DT19" s="681"/>
      <c r="DU19" s="681"/>
      <c r="DV19" s="681"/>
      <c r="DW19" s="681"/>
      <c r="DX19" s="681"/>
      <c r="DY19" s="681"/>
      <c r="DZ19" s="681"/>
      <c r="EA19" s="681"/>
      <c r="EB19" s="681"/>
      <c r="EC19" s="681"/>
      <c r="ED19" s="681"/>
      <c r="EE19" s="681"/>
      <c r="EF19" s="681"/>
      <c r="EG19" s="681"/>
      <c r="EH19" s="681"/>
      <c r="EI19" s="681"/>
      <c r="EJ19" s="681"/>
      <c r="EK19" s="681"/>
      <c r="EL19" s="681"/>
      <c r="EM19" s="681"/>
      <c r="EN19" s="681"/>
      <c r="EO19" s="681"/>
      <c r="EP19" s="681"/>
      <c r="EQ19" s="681"/>
      <c r="ER19" s="681"/>
      <c r="ES19" s="681"/>
      <c r="ET19" s="681"/>
      <c r="EU19" s="681"/>
      <c r="EV19" s="681"/>
      <c r="EW19" s="681"/>
      <c r="EX19" s="681"/>
      <c r="EY19" s="681"/>
      <c r="EZ19" s="681"/>
      <c r="FA19" s="681"/>
      <c r="FB19" s="681"/>
      <c r="FC19" s="681"/>
      <c r="FD19" s="681"/>
      <c r="FE19" s="681"/>
      <c r="FF19" s="681"/>
      <c r="FG19" s="681"/>
      <c r="FH19" s="681"/>
      <c r="FI19" s="681"/>
      <c r="FJ19" s="681"/>
      <c r="FK19" s="681"/>
      <c r="FL19" s="681"/>
      <c r="FM19" s="681"/>
      <c r="FN19" s="681"/>
      <c r="FO19" s="681"/>
      <c r="FP19" s="681"/>
      <c r="FQ19" s="681"/>
      <c r="FR19" s="681"/>
      <c r="FS19" s="681"/>
      <c r="FT19" s="681"/>
      <c r="FU19" s="681"/>
      <c r="FV19" s="681"/>
      <c r="FW19" s="681"/>
      <c r="FX19" s="681"/>
      <c r="FY19" s="681"/>
      <c r="FZ19" s="681"/>
      <c r="GA19" s="681"/>
      <c r="GB19" s="681"/>
      <c r="GC19" s="681"/>
      <c r="GD19" s="681"/>
      <c r="GE19" s="681"/>
      <c r="GF19" s="681"/>
      <c r="GG19" s="681"/>
      <c r="GH19" s="681"/>
      <c r="GI19" s="681"/>
      <c r="GJ19" s="681"/>
      <c r="GK19" s="681"/>
      <c r="GL19" s="681"/>
      <c r="GM19" s="681"/>
      <c r="GN19" s="681"/>
      <c r="GO19" s="681"/>
      <c r="GP19" s="681"/>
      <c r="GQ19" s="681"/>
    </row>
    <row r="20" spans="1:199" s="893" customFormat="1" x14ac:dyDescent="0.2">
      <c r="A20" s="894" t="str">
        <f>IF('[1]Core Assumptions'!B40="","",'[1]Core Assumptions'!B40)</f>
        <v/>
      </c>
      <c r="B20" s="895"/>
      <c r="C20" s="896"/>
      <c r="D20" s="897"/>
      <c r="E20" s="897"/>
      <c r="F20" s="897"/>
      <c r="G20" s="897"/>
      <c r="H20" s="897"/>
      <c r="I20" s="897"/>
      <c r="J20" s="897"/>
      <c r="K20" s="897"/>
      <c r="L20" s="897"/>
      <c r="M20" s="897"/>
      <c r="N20" s="897"/>
      <c r="O20" s="897"/>
      <c r="P20" s="897"/>
      <c r="Q20" s="897"/>
      <c r="R20" s="897"/>
      <c r="S20" s="897"/>
      <c r="T20" s="897"/>
      <c r="U20" s="895"/>
      <c r="V20" s="852"/>
      <c r="W20" s="853"/>
      <c r="X20" s="853"/>
      <c r="Y20" s="853"/>
      <c r="Z20" s="853"/>
      <c r="AA20" s="853"/>
      <c r="AB20" s="854">
        <f>_xlfn.XLOOKUP(Table17[[#This Row],[Project Delivery Lead]],[1]List!Y:Y,[1]List!AC:AC)</f>
        <v>0</v>
      </c>
      <c r="AC20" s="853" t="str">
        <f>IF($A20="","",'[1]Core Assumptions'!$D40)</f>
        <v/>
      </c>
      <c r="AD20" s="855"/>
      <c r="AE20" s="856"/>
      <c r="AF20" s="857"/>
      <c r="AG20" s="857"/>
      <c r="AH20" s="853"/>
      <c r="AI20" s="858"/>
      <c r="AJ20" s="858"/>
      <c r="AK20" s="858" t="str">
        <f>IF($A20="","",IF('[1]Pricing Summary'!$B$31="T&amp;M","Time and Material","Fixed Fee"))</f>
        <v/>
      </c>
      <c r="AL20" s="856"/>
      <c r="AM20" s="859" t="str">
        <f>IF($A20="","",'[1]Outputs Recap'!$Z79)</f>
        <v/>
      </c>
      <c r="AN20" s="860" t="str">
        <f>IF($A20="","",'[1]Outputs Recap'!$C$12)</f>
        <v/>
      </c>
      <c r="AO20" s="861" t="str">
        <f>IF($A20="","",VLOOKUP('[1]Outputs Recap'!$C$11,[1]List!$I:$J,2,FALSE))</f>
        <v/>
      </c>
      <c r="AP20" s="856" t="str" cm="1">
        <f t="array" ref="AP20">IF($A20="","",_xlfn.IFS('[1]Pricing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0" s="862" t="str">
        <f>IF($A20="","",_xlfn.XLOOKUP('[1]Core Assumptions'!$D$20,'[1]Other Lookups'!$AH:$AH,'[1]Other Lookups'!$AI:$AI))</f>
        <v/>
      </c>
      <c r="AR20" s="863" t="str">
        <f>IF($A20="","",'[1]Outputs Recap'!$AE79)</f>
        <v/>
      </c>
      <c r="AS20" s="864" t="str">
        <f>IF($A20="","",'[1]Outputs Recap'!$C$13)</f>
        <v/>
      </c>
      <c r="AT20" s="865"/>
      <c r="AU20" s="865"/>
      <c r="AV20" s="865" t="str">
        <f>IF($A20="","",IFERROR(+Table17[[#This Row],[Total Contract Amount]]*Table17[[#This Row],[First-year, one-time Onboarding/Setup Fee %]],0))</f>
        <v/>
      </c>
      <c r="AW20" s="866"/>
      <c r="AX20" s="867"/>
      <c r="AY20" s="868"/>
      <c r="AZ20" s="869"/>
      <c r="BA20" s="870"/>
      <c r="BB20" s="871"/>
      <c r="BC20" s="872"/>
      <c r="BD20" s="872"/>
      <c r="BE20" s="872"/>
      <c r="BF20" s="872"/>
      <c r="BG20" s="872"/>
      <c r="BH20" s="872"/>
      <c r="BI20" s="873"/>
      <c r="BJ20" s="874"/>
      <c r="BK20" s="874"/>
      <c r="BL20" s="875"/>
      <c r="BM20" s="876"/>
      <c r="BN20" s="877"/>
      <c r="BO20" s="878"/>
      <c r="BP20" s="879"/>
      <c r="BQ20" s="880"/>
      <c r="BR20" s="881"/>
      <c r="BS20" s="882"/>
      <c r="BT20" s="883"/>
      <c r="BU20" s="884"/>
      <c r="BV20" s="884"/>
      <c r="BW20" s="884"/>
      <c r="BX20" s="884"/>
      <c r="BY20" s="884"/>
      <c r="BZ20" s="884"/>
      <c r="CA20" s="884"/>
      <c r="CB20" s="884"/>
      <c r="CC20" s="884"/>
      <c r="CD20" s="884"/>
      <c r="CE20" s="885"/>
      <c r="CF20" s="885" t="str">
        <f t="shared" si="0"/>
        <v/>
      </c>
      <c r="CG20" s="898" t="str">
        <f>IF(ISBLANK($X20)=FALSE,"NextGenApp Advisory LLC","")</f>
        <v/>
      </c>
      <c r="CH20" s="899" t="str">
        <f>_xlfn.IFNA(INDEX([1]List!AC:AC,MATCH(X20,[1]List!Y:Y,0)),"")</f>
        <v/>
      </c>
      <c r="CI20" s="900"/>
      <c r="CJ20" s="900"/>
      <c r="CK20" s="900"/>
      <c r="CL20" s="900"/>
      <c r="CM20" s="901"/>
      <c r="CN20" s="902"/>
      <c r="CO20" s="903"/>
      <c r="CP20" s="904"/>
      <c r="CQ20" s="892"/>
      <c r="CR20" s="681"/>
      <c r="CS20" s="681"/>
      <c r="CT20" s="681"/>
      <c r="CU20" s="681"/>
      <c r="CV20" s="681"/>
      <c r="CW20" s="681"/>
      <c r="CX20" s="681"/>
      <c r="CY20" s="681"/>
      <c r="CZ20" s="681"/>
      <c r="DA20" s="681"/>
      <c r="DB20" s="681"/>
      <c r="DC20" s="681"/>
      <c r="DD20" s="681"/>
      <c r="DE20" s="681"/>
      <c r="DF20" s="681"/>
      <c r="DG20" s="681"/>
      <c r="DH20" s="681"/>
      <c r="DI20" s="681"/>
      <c r="DJ20" s="681"/>
      <c r="DK20" s="681"/>
      <c r="DL20" s="681"/>
      <c r="DM20" s="681"/>
      <c r="DN20" s="681"/>
      <c r="DO20" s="681"/>
      <c r="DP20" s="681"/>
      <c r="DQ20" s="681"/>
      <c r="DR20" s="681"/>
      <c r="DS20" s="681"/>
      <c r="DT20" s="681"/>
      <c r="DU20" s="681"/>
      <c r="DV20" s="681"/>
      <c r="DW20" s="681"/>
      <c r="DX20" s="681"/>
      <c r="DY20" s="681"/>
      <c r="DZ20" s="681"/>
      <c r="EA20" s="681"/>
      <c r="EB20" s="681"/>
      <c r="EC20" s="681"/>
      <c r="ED20" s="681"/>
      <c r="EE20" s="681"/>
      <c r="EF20" s="681"/>
      <c r="EG20" s="681"/>
      <c r="EH20" s="681"/>
      <c r="EI20" s="681"/>
      <c r="EJ20" s="681"/>
      <c r="EK20" s="681"/>
      <c r="EL20" s="681"/>
      <c r="EM20" s="681"/>
      <c r="EN20" s="681"/>
      <c r="EO20" s="681"/>
      <c r="EP20" s="681"/>
      <c r="EQ20" s="681"/>
      <c r="ER20" s="681"/>
      <c r="ES20" s="681"/>
      <c r="ET20" s="681"/>
      <c r="EU20" s="681"/>
      <c r="EV20" s="681"/>
      <c r="EW20" s="681"/>
      <c r="EX20" s="681"/>
      <c r="EY20" s="681"/>
      <c r="EZ20" s="681"/>
      <c r="FA20" s="681"/>
      <c r="FB20" s="681"/>
      <c r="FC20" s="681"/>
      <c r="FD20" s="681"/>
      <c r="FE20" s="681"/>
      <c r="FF20" s="681"/>
      <c r="FG20" s="681"/>
      <c r="FH20" s="681"/>
      <c r="FI20" s="681"/>
      <c r="FJ20" s="681"/>
      <c r="FK20" s="681"/>
      <c r="FL20" s="681"/>
      <c r="FM20" s="681"/>
      <c r="FN20" s="681"/>
      <c r="FO20" s="681"/>
      <c r="FP20" s="681"/>
      <c r="FQ20" s="681"/>
      <c r="FR20" s="681"/>
      <c r="FS20" s="681"/>
      <c r="FT20" s="681"/>
      <c r="FU20" s="681"/>
      <c r="FV20" s="681"/>
      <c r="FW20" s="681"/>
      <c r="FX20" s="681"/>
      <c r="FY20" s="681"/>
      <c r="FZ20" s="681"/>
      <c r="GA20" s="681"/>
      <c r="GB20" s="681"/>
      <c r="GC20" s="681"/>
      <c r="GD20" s="681"/>
      <c r="GE20" s="681"/>
      <c r="GF20" s="681"/>
      <c r="GG20" s="681"/>
      <c r="GH20" s="681"/>
      <c r="GI20" s="681"/>
      <c r="GJ20" s="681"/>
      <c r="GK20" s="681"/>
      <c r="GL20" s="681"/>
      <c r="GM20" s="681"/>
      <c r="GN20" s="681"/>
      <c r="GO20" s="681"/>
      <c r="GP20" s="681"/>
      <c r="GQ20" s="681"/>
    </row>
    <row r="21" spans="1:199" x14ac:dyDescent="0.2">
      <c r="A21" s="894" t="str">
        <f>IF('[1]Core Assumptions'!B41="","",'[1]Core Assumptions'!B41)</f>
        <v/>
      </c>
      <c r="B21" s="895"/>
      <c r="C21" s="896"/>
      <c r="D21" s="897"/>
      <c r="E21" s="897"/>
      <c r="F21" s="897"/>
      <c r="G21" s="897"/>
      <c r="H21" s="897"/>
      <c r="I21" s="897"/>
      <c r="J21" s="897"/>
      <c r="K21" s="897"/>
      <c r="L21" s="897"/>
      <c r="M21" s="897"/>
      <c r="N21" s="897"/>
      <c r="O21" s="897"/>
      <c r="P21" s="897"/>
      <c r="Q21" s="897"/>
      <c r="R21" s="897"/>
      <c r="S21" s="897"/>
      <c r="T21" s="897"/>
      <c r="U21" s="895"/>
      <c r="V21" s="852"/>
      <c r="W21" s="853"/>
      <c r="X21" s="853"/>
      <c r="Y21" s="853"/>
      <c r="Z21" s="853"/>
      <c r="AA21" s="853"/>
      <c r="AB21" s="854">
        <f>_xlfn.XLOOKUP(Table17[[#This Row],[Project Delivery Lead]],[1]List!Y:Y,[1]List!AC:AC)</f>
        <v>0</v>
      </c>
      <c r="AC21" s="853" t="str">
        <f>IF($A21="","",'[1]Core Assumptions'!$D41)</f>
        <v/>
      </c>
      <c r="AD21" s="855"/>
      <c r="AE21" s="856"/>
      <c r="AF21" s="857"/>
      <c r="AG21" s="857"/>
      <c r="AH21" s="853"/>
      <c r="AI21" s="858"/>
      <c r="AJ21" s="858"/>
      <c r="AK21" s="858" t="str">
        <f>IF($A21="","",IF('[1]Pricing Summary'!$B$31="T&amp;M","Time and Material","Fixed Fee"))</f>
        <v/>
      </c>
      <c r="AL21" s="856"/>
      <c r="AM21" s="859" t="str">
        <f>IF($A21="","",'[1]Outputs Recap'!$Z80)</f>
        <v/>
      </c>
      <c r="AN21" s="860" t="str">
        <f>IF($A21="","",'[1]Outputs Recap'!$C$12)</f>
        <v/>
      </c>
      <c r="AO21" s="861" t="str">
        <f>IF($A21="","",VLOOKUP('[1]Outputs Recap'!$C$11,[1]List!$I:$J,2,FALSE))</f>
        <v/>
      </c>
      <c r="AP21" s="856" t="str" cm="1">
        <f t="array" ref="AP21">IF($A21="","",_xlfn.IFS('[1]Pricing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1" s="862" t="str">
        <f>IF($A21="","",_xlfn.XLOOKUP('[1]Core Assumptions'!$D$20,'[1]Other Lookups'!$AH:$AH,'[1]Other Lookups'!$AI:$AI))</f>
        <v/>
      </c>
      <c r="AR21" s="863" t="str">
        <f>IF($A21="","",'[1]Outputs Recap'!$AE80)</f>
        <v/>
      </c>
      <c r="AS21" s="864" t="str">
        <f>IF($A21="","",'[1]Outputs Recap'!$C$13)</f>
        <v/>
      </c>
      <c r="AT21" s="865"/>
      <c r="AU21" s="865"/>
      <c r="AV21" s="865" t="str">
        <f>IF($A21="","",IFERROR(+Table17[[#This Row],[Total Contract Amount]]*Table17[[#This Row],[First-year, one-time Onboarding/Setup Fee %]],0))</f>
        <v/>
      </c>
      <c r="AW21" s="866"/>
      <c r="AX21" s="867"/>
      <c r="AY21" s="868"/>
      <c r="AZ21" s="869"/>
      <c r="BA21" s="870"/>
      <c r="BB21" s="871"/>
      <c r="BC21" s="872"/>
      <c r="BD21" s="872"/>
      <c r="BE21" s="872"/>
      <c r="BF21" s="872"/>
      <c r="BG21" s="872"/>
      <c r="BH21" s="872"/>
      <c r="BI21" s="873"/>
      <c r="BJ21" s="874"/>
      <c r="BK21" s="874"/>
      <c r="BL21" s="875"/>
      <c r="BM21" s="876"/>
      <c r="BN21" s="877"/>
      <c r="BO21" s="878"/>
      <c r="BP21" s="879"/>
      <c r="BQ21" s="880"/>
      <c r="BR21" s="881"/>
      <c r="BS21" s="882"/>
      <c r="BT21" s="883"/>
      <c r="BU21" s="884"/>
      <c r="BV21" s="884"/>
      <c r="BW21" s="884"/>
      <c r="BX21" s="884"/>
      <c r="BY21" s="884"/>
      <c r="BZ21" s="884"/>
      <c r="CA21" s="884"/>
      <c r="CB21" s="884"/>
      <c r="CC21" s="884"/>
      <c r="CD21" s="884"/>
      <c r="CE21" s="885"/>
      <c r="CF21" s="885" t="str">
        <f t="shared" si="0"/>
        <v/>
      </c>
      <c r="CG21" s="898" t="str">
        <f>IF(ISBLANK($X21)=FALSE,"NextGenApp Advisory LLC","")</f>
        <v/>
      </c>
      <c r="CH21" s="899" t="str">
        <f>_xlfn.IFNA(INDEX([1]List!AC:AC,MATCH(X21,[1]List!Y:Y,0)),"")</f>
        <v/>
      </c>
      <c r="CI21" s="900"/>
      <c r="CJ21" s="900"/>
      <c r="CK21" s="900"/>
      <c r="CL21" s="900"/>
      <c r="CM21" s="901"/>
      <c r="CN21" s="902"/>
      <c r="CO21" s="903"/>
      <c r="CP21" s="904"/>
      <c r="CQ21" s="892"/>
    </row>
    <row r="22" spans="1:199" x14ac:dyDescent="0.2">
      <c r="A22" s="894" t="str">
        <f>IF('[1]Core Assumptions'!B42="","",'[1]Core Assumptions'!B42)</f>
        <v/>
      </c>
      <c r="B22" s="895"/>
      <c r="C22" s="896"/>
      <c r="D22" s="897"/>
      <c r="E22" s="897"/>
      <c r="F22" s="897"/>
      <c r="G22" s="897"/>
      <c r="H22" s="897"/>
      <c r="I22" s="897"/>
      <c r="J22" s="897"/>
      <c r="K22" s="897"/>
      <c r="L22" s="897"/>
      <c r="M22" s="897"/>
      <c r="N22" s="897"/>
      <c r="O22" s="897"/>
      <c r="P22" s="897"/>
      <c r="Q22" s="897"/>
      <c r="R22" s="897"/>
      <c r="S22" s="897"/>
      <c r="T22" s="897"/>
      <c r="U22" s="895"/>
      <c r="V22" s="852"/>
      <c r="W22" s="853"/>
      <c r="X22" s="853"/>
      <c r="Y22" s="853"/>
      <c r="Z22" s="853"/>
      <c r="AA22" s="853"/>
      <c r="AB22" s="854">
        <f>_xlfn.XLOOKUP(Table17[[#This Row],[Project Delivery Lead]],[1]List!Y:Y,[1]List!AC:AC)</f>
        <v>0</v>
      </c>
      <c r="AC22" s="853" t="str">
        <f>IF($A22="","",'[1]Core Assumptions'!$D42)</f>
        <v/>
      </c>
      <c r="AD22" s="855"/>
      <c r="AE22" s="856"/>
      <c r="AF22" s="857"/>
      <c r="AG22" s="857"/>
      <c r="AH22" s="853"/>
      <c r="AI22" s="858"/>
      <c r="AJ22" s="858"/>
      <c r="AK22" s="858" t="str">
        <f>IF($A22="","",IF('[1]Pricing Summary'!$B$31="T&amp;M","Time and Material","Fixed Fee"))</f>
        <v/>
      </c>
      <c r="AL22" s="856"/>
      <c r="AM22" s="859" t="str">
        <f>IF($A22="","",'[1]Outputs Recap'!$Z81)</f>
        <v/>
      </c>
      <c r="AN22" s="860" t="str">
        <f>IF($A22="","",'[1]Outputs Recap'!$C$12)</f>
        <v/>
      </c>
      <c r="AO22" s="861" t="str">
        <f>IF($A22="","",VLOOKUP('[1]Outputs Recap'!$C$11,[1]List!$I:$J,2,FALSE))</f>
        <v/>
      </c>
      <c r="AP22" s="856" t="str" cm="1">
        <f t="array" ref="AP22">IF($A22="","",_xlfn.IFS('[1]Pricing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2" s="862" t="str">
        <f>IF($A22="","",_xlfn.XLOOKUP('[1]Core Assumptions'!$D$20,'[1]Other Lookups'!$AH:$AH,'[1]Other Lookups'!$AI:$AI))</f>
        <v/>
      </c>
      <c r="AR22" s="863" t="str">
        <f>IF($A22="","",'[1]Outputs Recap'!$AE81)</f>
        <v/>
      </c>
      <c r="AS22" s="864" t="str">
        <f>IF($A22="","",'[1]Outputs Recap'!$C$13)</f>
        <v/>
      </c>
      <c r="AT22" s="865"/>
      <c r="AU22" s="865"/>
      <c r="AV22" s="865" t="str">
        <f>IF($A22="","",IFERROR(+Table17[[#This Row],[Total Contract Amount]]*Table17[[#This Row],[First-year, one-time Onboarding/Setup Fee %]],0))</f>
        <v/>
      </c>
      <c r="AW22" s="866"/>
      <c r="AX22" s="867"/>
      <c r="AY22" s="868"/>
      <c r="AZ22" s="869"/>
      <c r="BA22" s="870"/>
      <c r="BB22" s="871"/>
      <c r="BC22" s="872"/>
      <c r="BD22" s="872"/>
      <c r="BE22" s="872"/>
      <c r="BF22" s="872"/>
      <c r="BG22" s="872"/>
      <c r="BH22" s="872"/>
      <c r="BI22" s="873"/>
      <c r="BJ22" s="874"/>
      <c r="BK22" s="874"/>
      <c r="BL22" s="875"/>
      <c r="BM22" s="876"/>
      <c r="BN22" s="877"/>
      <c r="BO22" s="878"/>
      <c r="BP22" s="879"/>
      <c r="BQ22" s="880"/>
      <c r="BR22" s="881"/>
      <c r="BS22" s="882"/>
      <c r="BT22" s="883"/>
      <c r="BU22" s="884"/>
      <c r="BV22" s="884"/>
      <c r="BW22" s="884"/>
      <c r="BX22" s="884"/>
      <c r="BY22" s="884"/>
      <c r="BZ22" s="884"/>
      <c r="CA22" s="884"/>
      <c r="CB22" s="884"/>
      <c r="CC22" s="884"/>
      <c r="CD22" s="884"/>
      <c r="CE22" s="885"/>
      <c r="CF22" s="885" t="str">
        <f t="shared" si="0"/>
        <v/>
      </c>
      <c r="CG22" s="898" t="str">
        <f>IF(ISBLANK($X22)=FALSE,"NextGenApp Advisory LLC","")</f>
        <v/>
      </c>
      <c r="CH22" s="899" t="str">
        <f>_xlfn.IFNA(INDEX([1]List!AC:AC,MATCH(X22,[1]List!Y:Y,0)),"")</f>
        <v/>
      </c>
      <c r="CI22" s="900"/>
      <c r="CJ22" s="900"/>
      <c r="CK22" s="900"/>
      <c r="CL22" s="900"/>
      <c r="CM22" s="901"/>
      <c r="CN22" s="902"/>
      <c r="CO22" s="903"/>
      <c r="CP22" s="904"/>
      <c r="CQ22" s="892"/>
    </row>
    <row r="23" spans="1:199" x14ac:dyDescent="0.2">
      <c r="A23" s="894" t="str">
        <f>IF('[1]Core Assumptions'!B43="","",'[1]Core Assumptions'!B43)</f>
        <v/>
      </c>
      <c r="B23" s="895"/>
      <c r="C23" s="896"/>
      <c r="D23" s="897"/>
      <c r="E23" s="897"/>
      <c r="F23" s="897"/>
      <c r="G23" s="897"/>
      <c r="H23" s="897"/>
      <c r="I23" s="897"/>
      <c r="J23" s="897"/>
      <c r="K23" s="897"/>
      <c r="L23" s="897"/>
      <c r="M23" s="897"/>
      <c r="N23" s="897"/>
      <c r="O23" s="897"/>
      <c r="P23" s="897"/>
      <c r="Q23" s="897"/>
      <c r="R23" s="897"/>
      <c r="S23" s="897"/>
      <c r="T23" s="897"/>
      <c r="U23" s="895"/>
      <c r="V23" s="852"/>
      <c r="W23" s="853"/>
      <c r="X23" s="853"/>
      <c r="Y23" s="853"/>
      <c r="Z23" s="853"/>
      <c r="AA23" s="853"/>
      <c r="AB23" s="854">
        <f>_xlfn.XLOOKUP(Table17[[#This Row],[Project Delivery Lead]],[1]List!Y:Y,[1]List!AC:AC)</f>
        <v>0</v>
      </c>
      <c r="AC23" s="853" t="str">
        <f>IF($A23="","",'[1]Core Assumptions'!$D43)</f>
        <v/>
      </c>
      <c r="AD23" s="855"/>
      <c r="AE23" s="856"/>
      <c r="AF23" s="857"/>
      <c r="AG23" s="857"/>
      <c r="AH23" s="853"/>
      <c r="AI23" s="858"/>
      <c r="AJ23" s="858"/>
      <c r="AK23" s="858" t="str">
        <f>IF($A23="","",IF('[1]Pricing Summary'!$B$31="T&amp;M","Time and Material","Fixed Fee"))</f>
        <v/>
      </c>
      <c r="AL23" s="856"/>
      <c r="AM23" s="859" t="str">
        <f>IF($A23="","",'[1]Outputs Recap'!$Z82)</f>
        <v/>
      </c>
      <c r="AN23" s="860" t="str">
        <f>IF($A23="","",'[1]Outputs Recap'!$C$12)</f>
        <v/>
      </c>
      <c r="AO23" s="861" t="str">
        <f>IF($A23="","",VLOOKUP('[1]Outputs Recap'!$C$11,[1]List!$I:$J,2,FALSE))</f>
        <v/>
      </c>
      <c r="AP23" s="856" t="str" cm="1">
        <f t="array" ref="AP23">IF($A23="","",_xlfn.IFS('[1]Pricing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3" s="862" t="str">
        <f>IF($A23="","",_xlfn.XLOOKUP('[1]Core Assumptions'!$D$20,'[1]Other Lookups'!$AH:$AH,'[1]Other Lookups'!$AI:$AI))</f>
        <v/>
      </c>
      <c r="AR23" s="863" t="str">
        <f>IF($A23="","",'[1]Outputs Recap'!$AE82)</f>
        <v/>
      </c>
      <c r="AS23" s="864" t="str">
        <f>IF($A23="","",'[1]Outputs Recap'!$C$13)</f>
        <v/>
      </c>
      <c r="AT23" s="865"/>
      <c r="AU23" s="865"/>
      <c r="AV23" s="865" t="str">
        <f>IF($A23="","",IFERROR(+Table17[[#This Row],[Total Contract Amount]]*Table17[[#This Row],[First-year, one-time Onboarding/Setup Fee %]],0))</f>
        <v/>
      </c>
      <c r="AW23" s="866"/>
      <c r="AX23" s="867"/>
      <c r="AY23" s="868"/>
      <c r="AZ23" s="869"/>
      <c r="BA23" s="870"/>
      <c r="BB23" s="871"/>
      <c r="BC23" s="872"/>
      <c r="BD23" s="872"/>
      <c r="BE23" s="872"/>
      <c r="BF23" s="872"/>
      <c r="BG23" s="872"/>
      <c r="BH23" s="872"/>
      <c r="BI23" s="873"/>
      <c r="BJ23" s="874"/>
      <c r="BK23" s="874"/>
      <c r="BL23" s="875"/>
      <c r="BM23" s="876"/>
      <c r="BN23" s="877"/>
      <c r="BO23" s="878"/>
      <c r="BP23" s="879"/>
      <c r="BQ23" s="880"/>
      <c r="BR23" s="881"/>
      <c r="BS23" s="882"/>
      <c r="BT23" s="883"/>
      <c r="BU23" s="884"/>
      <c r="BV23" s="884"/>
      <c r="BW23" s="884"/>
      <c r="BX23" s="884"/>
      <c r="BY23" s="884"/>
      <c r="BZ23" s="884"/>
      <c r="CA23" s="884"/>
      <c r="CB23" s="884"/>
      <c r="CC23" s="884"/>
      <c r="CD23" s="884"/>
      <c r="CE23" s="885"/>
      <c r="CF23" s="885" t="str">
        <f t="shared" si="0"/>
        <v/>
      </c>
      <c r="CG23" s="898" t="str">
        <f>IF(ISBLANK($X23)=FALSE,"NextGenApp Advisory LLC","")</f>
        <v/>
      </c>
      <c r="CH23" s="899" t="str">
        <f>_xlfn.IFNA(INDEX([1]List!AC:AC,MATCH(X23,[1]List!Y:Y,0)),"")</f>
        <v/>
      </c>
      <c r="CI23" s="900"/>
      <c r="CJ23" s="900"/>
      <c r="CK23" s="900"/>
      <c r="CL23" s="900"/>
      <c r="CM23" s="901"/>
      <c r="CN23" s="902"/>
      <c r="CO23" s="903"/>
      <c r="CP23" s="904"/>
      <c r="CQ23" s="892"/>
    </row>
    <row r="24" spans="1:199" x14ac:dyDescent="0.2">
      <c r="A24" s="894" t="str">
        <f>IF('[1]Core Assumptions'!B44="","",'[1]Core Assumptions'!B44)</f>
        <v/>
      </c>
      <c r="B24" s="895"/>
      <c r="C24" s="896"/>
      <c r="D24" s="897"/>
      <c r="E24" s="897"/>
      <c r="F24" s="897"/>
      <c r="G24" s="897"/>
      <c r="H24" s="897"/>
      <c r="I24" s="897"/>
      <c r="J24" s="897"/>
      <c r="K24" s="897"/>
      <c r="L24" s="897"/>
      <c r="M24" s="897"/>
      <c r="N24" s="897"/>
      <c r="O24" s="897"/>
      <c r="P24" s="897"/>
      <c r="Q24" s="897"/>
      <c r="R24" s="897"/>
      <c r="S24" s="897"/>
      <c r="T24" s="897"/>
      <c r="U24" s="895"/>
      <c r="V24" s="852"/>
      <c r="W24" s="853"/>
      <c r="X24" s="853"/>
      <c r="Y24" s="853"/>
      <c r="Z24" s="853"/>
      <c r="AA24" s="853"/>
      <c r="AB24" s="854">
        <f>_xlfn.XLOOKUP(Table17[[#This Row],[Project Delivery Lead]],[1]List!Y:Y,[1]List!AC:AC)</f>
        <v>0</v>
      </c>
      <c r="AC24" s="853" t="str">
        <f>IF($A24="","",'[1]Core Assumptions'!$D44)</f>
        <v/>
      </c>
      <c r="AD24" s="855"/>
      <c r="AE24" s="856"/>
      <c r="AF24" s="857"/>
      <c r="AG24" s="857"/>
      <c r="AH24" s="853"/>
      <c r="AI24" s="858"/>
      <c r="AJ24" s="858"/>
      <c r="AK24" s="858" t="str">
        <f>IF($A24="","",IF('[1]Pricing Summary'!$B$31="T&amp;M","Time and Material","Fixed Fee"))</f>
        <v/>
      </c>
      <c r="AL24" s="856"/>
      <c r="AM24" s="859" t="str">
        <f>IF($A24="","",'[1]Outputs Recap'!$Z83)</f>
        <v/>
      </c>
      <c r="AN24" s="860" t="str">
        <f>IF($A24="","",'[1]Outputs Recap'!$C$12)</f>
        <v/>
      </c>
      <c r="AO24" s="861" t="str">
        <f>IF($A24="","",VLOOKUP('[1]Outputs Recap'!$C$11,[1]List!$I:$J,2,FALSE))</f>
        <v/>
      </c>
      <c r="AP24" s="856" t="str" cm="1">
        <f t="array" ref="AP24">IF($A24="","",_xlfn.IFS('[1]Pricing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4" s="862" t="str">
        <f>IF($A24="","",_xlfn.XLOOKUP('[1]Core Assumptions'!$D$20,'[1]Other Lookups'!$AH:$AH,'[1]Other Lookups'!$AI:$AI))</f>
        <v/>
      </c>
      <c r="AR24" s="863" t="str">
        <f>IF($A24="","",'[1]Outputs Recap'!$AE83)</f>
        <v/>
      </c>
      <c r="AS24" s="864" t="str">
        <f>IF($A24="","",'[1]Outputs Recap'!$C$13)</f>
        <v/>
      </c>
      <c r="AT24" s="865"/>
      <c r="AU24" s="865"/>
      <c r="AV24" s="865" t="str">
        <f>IF($A24="","",IFERROR(+Table17[[#This Row],[Total Contract Amount]]*Table17[[#This Row],[First-year, one-time Onboarding/Setup Fee %]],0))</f>
        <v/>
      </c>
      <c r="AW24" s="866"/>
      <c r="AX24" s="867"/>
      <c r="AY24" s="868"/>
      <c r="AZ24" s="869"/>
      <c r="BA24" s="870"/>
      <c r="BB24" s="871"/>
      <c r="BC24" s="872"/>
      <c r="BD24" s="872"/>
      <c r="BE24" s="872"/>
      <c r="BF24" s="872"/>
      <c r="BG24" s="872"/>
      <c r="BH24" s="872"/>
      <c r="BI24" s="873"/>
      <c r="BJ24" s="874"/>
      <c r="BK24" s="874"/>
      <c r="BL24" s="875"/>
      <c r="BM24" s="876"/>
      <c r="BN24" s="877"/>
      <c r="BO24" s="878"/>
      <c r="BP24" s="879"/>
      <c r="BQ24" s="880"/>
      <c r="BR24" s="881"/>
      <c r="BS24" s="882"/>
      <c r="BT24" s="883"/>
      <c r="BU24" s="884"/>
      <c r="BV24" s="884"/>
      <c r="BW24" s="884"/>
      <c r="BX24" s="884"/>
      <c r="BY24" s="884"/>
      <c r="BZ24" s="884"/>
      <c r="CA24" s="884"/>
      <c r="CB24" s="884"/>
      <c r="CC24" s="884"/>
      <c r="CD24" s="884"/>
      <c r="CE24" s="885"/>
      <c r="CF24" s="885" t="str">
        <f t="shared" si="0"/>
        <v/>
      </c>
      <c r="CG24" s="898" t="str">
        <f>IF(ISBLANK($X24)=FALSE,"NextGenApp Advisory LLC","")</f>
        <v/>
      </c>
      <c r="CH24" s="899" t="str">
        <f>_xlfn.IFNA(INDEX([1]List!AC:AC,MATCH(X24,[1]List!Y:Y,0)),"")</f>
        <v/>
      </c>
      <c r="CI24" s="900"/>
      <c r="CJ24" s="900"/>
      <c r="CK24" s="900"/>
      <c r="CL24" s="900"/>
      <c r="CM24" s="901"/>
      <c r="CN24" s="902"/>
      <c r="CO24" s="903"/>
      <c r="CP24" s="904"/>
      <c r="CQ24" s="892"/>
    </row>
    <row r="25" spans="1:199" x14ac:dyDescent="0.2">
      <c r="A25" s="894" t="str">
        <f>IF('[1]Core Assumptions'!B45="","",'[1]Core Assumptions'!B45)</f>
        <v/>
      </c>
      <c r="B25" s="895"/>
      <c r="C25" s="896"/>
      <c r="D25" s="897"/>
      <c r="E25" s="897"/>
      <c r="F25" s="897"/>
      <c r="G25" s="897"/>
      <c r="H25" s="897"/>
      <c r="I25" s="897"/>
      <c r="J25" s="897"/>
      <c r="K25" s="897"/>
      <c r="L25" s="897"/>
      <c r="M25" s="897"/>
      <c r="N25" s="897"/>
      <c r="O25" s="897"/>
      <c r="P25" s="897"/>
      <c r="Q25" s="897"/>
      <c r="R25" s="897"/>
      <c r="S25" s="897"/>
      <c r="T25" s="897"/>
      <c r="U25" s="895"/>
      <c r="V25" s="852"/>
      <c r="W25" s="853"/>
      <c r="X25" s="853"/>
      <c r="Y25" s="853"/>
      <c r="Z25" s="853"/>
      <c r="AA25" s="853"/>
      <c r="AB25" s="854">
        <f>_xlfn.XLOOKUP(Table17[[#This Row],[Project Delivery Lead]],[1]List!Y:Y,[1]List!AC:AC)</f>
        <v>0</v>
      </c>
      <c r="AC25" s="853" t="str">
        <f>IF($A25="","",'[1]Core Assumptions'!$D45)</f>
        <v/>
      </c>
      <c r="AD25" s="855"/>
      <c r="AE25" s="856"/>
      <c r="AF25" s="857"/>
      <c r="AG25" s="857"/>
      <c r="AH25" s="853"/>
      <c r="AI25" s="858"/>
      <c r="AJ25" s="858"/>
      <c r="AK25" s="858" t="str">
        <f>IF($A25="","",IF('[1]Pricing Summary'!$B$31="T&amp;M","Time and Material","Fixed Fee"))</f>
        <v/>
      </c>
      <c r="AL25" s="856"/>
      <c r="AM25" s="859" t="str">
        <f>IF($A25="","",'[1]Outputs Recap'!$Z84)</f>
        <v/>
      </c>
      <c r="AN25" s="860" t="str">
        <f>IF($A25="","",'[1]Outputs Recap'!$C$12)</f>
        <v/>
      </c>
      <c r="AO25" s="861" t="str">
        <f>IF($A25="","",VLOOKUP('[1]Outputs Recap'!$C$11,[1]List!$I:$J,2,FALSE))</f>
        <v/>
      </c>
      <c r="AP25" s="856" t="str" cm="1">
        <f t="array" ref="AP25">IF($A25="","",_xlfn.IFS('[1]Pricing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5" s="862" t="str">
        <f>IF($A25="","",_xlfn.XLOOKUP('[1]Core Assumptions'!$D$20,'[1]Other Lookups'!$AH:$AH,'[1]Other Lookups'!$AI:$AI))</f>
        <v/>
      </c>
      <c r="AR25" s="863" t="str">
        <f>IF($A25="","",'[1]Outputs Recap'!$AE84)</f>
        <v/>
      </c>
      <c r="AS25" s="864" t="str">
        <f>IF($A25="","",'[1]Outputs Recap'!$C$13)</f>
        <v/>
      </c>
      <c r="AT25" s="865"/>
      <c r="AU25" s="865"/>
      <c r="AV25" s="865" t="str">
        <f>IF($A25="","",IFERROR(+Table17[[#This Row],[Total Contract Amount]]*Table17[[#This Row],[First-year, one-time Onboarding/Setup Fee %]],0))</f>
        <v/>
      </c>
      <c r="AW25" s="866"/>
      <c r="AX25" s="867"/>
      <c r="AY25" s="868"/>
      <c r="AZ25" s="869"/>
      <c r="BA25" s="870"/>
      <c r="BB25" s="871"/>
      <c r="BC25" s="872"/>
      <c r="BD25" s="872"/>
      <c r="BE25" s="872"/>
      <c r="BF25" s="872"/>
      <c r="BG25" s="872"/>
      <c r="BH25" s="872"/>
      <c r="BI25" s="873"/>
      <c r="BJ25" s="874"/>
      <c r="BK25" s="874"/>
      <c r="BL25" s="875"/>
      <c r="BM25" s="876"/>
      <c r="BN25" s="877"/>
      <c r="BO25" s="878"/>
      <c r="BP25" s="879"/>
      <c r="BQ25" s="880"/>
      <c r="BR25" s="881"/>
      <c r="BS25" s="882"/>
      <c r="BT25" s="883"/>
      <c r="BU25" s="884"/>
      <c r="BV25" s="884"/>
      <c r="BW25" s="884"/>
      <c r="BX25" s="884"/>
      <c r="BY25" s="884"/>
      <c r="BZ25" s="884"/>
      <c r="CA25" s="884"/>
      <c r="CB25" s="884"/>
      <c r="CC25" s="884"/>
      <c r="CD25" s="884"/>
      <c r="CE25" s="885"/>
      <c r="CF25" s="885" t="str">
        <f t="shared" si="0"/>
        <v/>
      </c>
      <c r="CG25" s="898" t="str">
        <f>IF(ISBLANK($X25)=FALSE,"NextGenApp Advisory LLC","")</f>
        <v/>
      </c>
      <c r="CH25" s="899" t="str">
        <f>_xlfn.IFNA(INDEX([1]List!AC:AC,MATCH(X25,[1]List!Y:Y,0)),"")</f>
        <v/>
      </c>
      <c r="CI25" s="900"/>
      <c r="CJ25" s="900"/>
      <c r="CK25" s="900"/>
      <c r="CL25" s="900"/>
      <c r="CM25" s="901"/>
      <c r="CN25" s="902"/>
      <c r="CO25" s="903"/>
      <c r="CP25" s="904"/>
      <c r="CQ25" s="892"/>
    </row>
    <row r="26" spans="1:199" x14ac:dyDescent="0.2">
      <c r="A26" s="894" t="str">
        <f>IF('[1]Core Assumptions'!B46="","",'[1]Core Assumptions'!B46)</f>
        <v/>
      </c>
      <c r="B26" s="895"/>
      <c r="C26" s="896"/>
      <c r="D26" s="897"/>
      <c r="E26" s="897"/>
      <c r="F26" s="897"/>
      <c r="G26" s="897"/>
      <c r="H26" s="897"/>
      <c r="I26" s="897"/>
      <c r="J26" s="897"/>
      <c r="K26" s="897"/>
      <c r="L26" s="897"/>
      <c r="M26" s="897"/>
      <c r="N26" s="897"/>
      <c r="O26" s="897"/>
      <c r="P26" s="897"/>
      <c r="Q26" s="897"/>
      <c r="R26" s="897"/>
      <c r="S26" s="897"/>
      <c r="T26" s="897"/>
      <c r="U26" s="895"/>
      <c r="V26" s="852"/>
      <c r="W26" s="853"/>
      <c r="X26" s="853"/>
      <c r="Y26" s="853"/>
      <c r="Z26" s="853"/>
      <c r="AA26" s="853"/>
      <c r="AB26" s="854">
        <f>_xlfn.XLOOKUP(Table17[[#This Row],[Project Delivery Lead]],[1]List!Y:Y,[1]List!AC:AC)</f>
        <v>0</v>
      </c>
      <c r="AC26" s="853" t="str">
        <f>IF($A26="","",'[1]Core Assumptions'!$D46)</f>
        <v/>
      </c>
      <c r="AD26" s="855"/>
      <c r="AE26" s="856"/>
      <c r="AF26" s="857"/>
      <c r="AG26" s="857"/>
      <c r="AH26" s="853"/>
      <c r="AI26" s="858"/>
      <c r="AJ26" s="858"/>
      <c r="AK26" s="858" t="str">
        <f>IF($A26="","",IF('[1]Pricing Summary'!$B$31="T&amp;M","Time and Material","Fixed Fee"))</f>
        <v/>
      </c>
      <c r="AL26" s="856"/>
      <c r="AM26" s="859" t="str">
        <f>IF($A26="","",'[1]Outputs Recap'!$Z85)</f>
        <v/>
      </c>
      <c r="AN26" s="860" t="str">
        <f>IF($A26="","",'[1]Outputs Recap'!$C$12)</f>
        <v/>
      </c>
      <c r="AO26" s="861" t="str">
        <f>IF($A26="","",VLOOKUP('[1]Outputs Recap'!$C$11,[1]List!$I:$J,2,FALSE))</f>
        <v/>
      </c>
      <c r="AP26" s="856" t="str" cm="1">
        <f t="array" ref="AP26">IF($A26="","",_xlfn.IFS('[1]Pricing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6" s="862" t="str">
        <f>IF($A26="","",_xlfn.XLOOKUP('[1]Core Assumptions'!$D$20,'[1]Other Lookups'!$AH:$AH,'[1]Other Lookups'!$AI:$AI))</f>
        <v/>
      </c>
      <c r="AR26" s="863" t="str">
        <f>IF($A26="","",'[1]Outputs Recap'!$AE85)</f>
        <v/>
      </c>
      <c r="AS26" s="864" t="str">
        <f>IF($A26="","",'[1]Outputs Recap'!$C$13)</f>
        <v/>
      </c>
      <c r="AT26" s="865"/>
      <c r="AU26" s="865"/>
      <c r="AV26" s="865" t="str">
        <f>IF($A26="","",IFERROR(+Table17[[#This Row],[Total Contract Amount]]*Table17[[#This Row],[First-year, one-time Onboarding/Setup Fee %]],0))</f>
        <v/>
      </c>
      <c r="AW26" s="866"/>
      <c r="AX26" s="867"/>
      <c r="AY26" s="868"/>
      <c r="AZ26" s="869"/>
      <c r="BA26" s="870"/>
      <c r="BB26" s="871"/>
      <c r="BC26" s="872"/>
      <c r="BD26" s="872"/>
      <c r="BE26" s="872"/>
      <c r="BF26" s="872"/>
      <c r="BG26" s="872"/>
      <c r="BH26" s="872"/>
      <c r="BI26" s="873"/>
      <c r="BJ26" s="874"/>
      <c r="BK26" s="874"/>
      <c r="BL26" s="875"/>
      <c r="BM26" s="876"/>
      <c r="BN26" s="877"/>
      <c r="BO26" s="878"/>
      <c r="BP26" s="879"/>
      <c r="BQ26" s="880"/>
      <c r="BR26" s="881"/>
      <c r="BS26" s="882"/>
      <c r="BT26" s="883"/>
      <c r="BU26" s="884"/>
      <c r="BV26" s="884"/>
      <c r="BW26" s="884"/>
      <c r="BX26" s="884"/>
      <c r="BY26" s="884"/>
      <c r="BZ26" s="884"/>
      <c r="CA26" s="884"/>
      <c r="CB26" s="884"/>
      <c r="CC26" s="884"/>
      <c r="CD26" s="884"/>
      <c r="CE26" s="885"/>
      <c r="CF26" s="885" t="str">
        <f t="shared" si="0"/>
        <v/>
      </c>
      <c r="CG26" s="898" t="str">
        <f>IF(ISBLANK($X26)=FALSE,"NextGenApp Advisory LLC","")</f>
        <v/>
      </c>
      <c r="CH26" s="899" t="str">
        <f>_xlfn.IFNA(INDEX([1]List!AC:AC,MATCH(X26,[1]List!Y:Y,0)),"")</f>
        <v/>
      </c>
      <c r="CI26" s="900"/>
      <c r="CJ26" s="900"/>
      <c r="CK26" s="900"/>
      <c r="CL26" s="900"/>
      <c r="CM26" s="901"/>
      <c r="CN26" s="902"/>
      <c r="CO26" s="903"/>
      <c r="CP26" s="904"/>
      <c r="CQ26" s="892"/>
    </row>
    <row r="27" spans="1:199" x14ac:dyDescent="0.2">
      <c r="A27" s="894" t="str">
        <f>IF('[1]Core Assumptions'!B47="","",'[1]Core Assumptions'!B47)</f>
        <v/>
      </c>
      <c r="B27" s="895"/>
      <c r="C27" s="896"/>
      <c r="D27" s="897"/>
      <c r="E27" s="897"/>
      <c r="F27" s="897"/>
      <c r="G27" s="897"/>
      <c r="H27" s="897"/>
      <c r="I27" s="897"/>
      <c r="J27" s="897"/>
      <c r="K27" s="897"/>
      <c r="L27" s="897"/>
      <c r="M27" s="897"/>
      <c r="N27" s="897"/>
      <c r="O27" s="897"/>
      <c r="P27" s="897"/>
      <c r="Q27" s="897"/>
      <c r="R27" s="897"/>
      <c r="S27" s="897"/>
      <c r="T27" s="897"/>
      <c r="U27" s="895"/>
      <c r="V27" s="852"/>
      <c r="W27" s="853"/>
      <c r="X27" s="853"/>
      <c r="Y27" s="853"/>
      <c r="Z27" s="853"/>
      <c r="AA27" s="853"/>
      <c r="AB27" s="854">
        <f>_xlfn.XLOOKUP(Table17[[#This Row],[Project Delivery Lead]],[1]List!Y:Y,[1]List!AC:AC)</f>
        <v>0</v>
      </c>
      <c r="AC27" s="853" t="str">
        <f>IF($A27="","",'[1]Core Assumptions'!$D47)</f>
        <v/>
      </c>
      <c r="AD27" s="855"/>
      <c r="AE27" s="856"/>
      <c r="AF27" s="857"/>
      <c r="AG27" s="857"/>
      <c r="AH27" s="853"/>
      <c r="AI27" s="858"/>
      <c r="AJ27" s="858"/>
      <c r="AK27" s="858" t="str">
        <f>IF($A27="","",IF('[1]Pricing Summary'!$B$31="T&amp;M","Time and Material","Fixed Fee"))</f>
        <v/>
      </c>
      <c r="AL27" s="856"/>
      <c r="AM27" s="859" t="str">
        <f>IF($A27="","",'[1]Outputs Recap'!$Z86)</f>
        <v/>
      </c>
      <c r="AN27" s="860" t="str">
        <f>IF($A27="","",'[1]Outputs Recap'!$C$12)</f>
        <v/>
      </c>
      <c r="AO27" s="861" t="str">
        <f>IF($A27="","",VLOOKUP('[1]Outputs Recap'!$C$11,[1]List!$I:$J,2,FALSE))</f>
        <v/>
      </c>
      <c r="AP27" s="856" t="str" cm="1">
        <f t="array" ref="AP27">IF($A27="","",_xlfn.IFS('[1]Pricing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7" s="862" t="str">
        <f>IF($A27="","",_xlfn.XLOOKUP('[1]Core Assumptions'!$D$20,'[1]Other Lookups'!$AH:$AH,'[1]Other Lookups'!$AI:$AI))</f>
        <v/>
      </c>
      <c r="AR27" s="863" t="str">
        <f>IF($A27="","",'[1]Outputs Recap'!$AE86)</f>
        <v/>
      </c>
      <c r="AS27" s="864" t="str">
        <f>IF($A27="","",'[1]Outputs Recap'!$C$13)</f>
        <v/>
      </c>
      <c r="AT27" s="865"/>
      <c r="AU27" s="865"/>
      <c r="AV27" s="865" t="str">
        <f>IF($A27="","",IFERROR(+Table17[[#This Row],[Total Contract Amount]]*Table17[[#This Row],[First-year, one-time Onboarding/Setup Fee %]],0))</f>
        <v/>
      </c>
      <c r="AW27" s="866"/>
      <c r="AX27" s="867"/>
      <c r="AY27" s="868"/>
      <c r="AZ27" s="869"/>
      <c r="BA27" s="870"/>
      <c r="BB27" s="871"/>
      <c r="BC27" s="872"/>
      <c r="BD27" s="872"/>
      <c r="BE27" s="872"/>
      <c r="BF27" s="872"/>
      <c r="BG27" s="872"/>
      <c r="BH27" s="872"/>
      <c r="BI27" s="873"/>
      <c r="BJ27" s="874"/>
      <c r="BK27" s="874"/>
      <c r="BL27" s="875"/>
      <c r="BM27" s="876"/>
      <c r="BN27" s="877"/>
      <c r="BO27" s="878"/>
      <c r="BP27" s="879"/>
      <c r="BQ27" s="880"/>
      <c r="BR27" s="881"/>
      <c r="BS27" s="882"/>
      <c r="BT27" s="883"/>
      <c r="BU27" s="884"/>
      <c r="BV27" s="884"/>
      <c r="BW27" s="884"/>
      <c r="BX27" s="884"/>
      <c r="BY27" s="884"/>
      <c r="BZ27" s="884"/>
      <c r="CA27" s="884"/>
      <c r="CB27" s="884"/>
      <c r="CC27" s="884"/>
      <c r="CD27" s="884"/>
      <c r="CE27" s="885"/>
      <c r="CF27" s="885" t="str">
        <f t="shared" si="0"/>
        <v/>
      </c>
      <c r="CG27" s="898" t="str">
        <f>IF(ISBLANK($X27)=FALSE,"NextGenApp Advisory LLC","")</f>
        <v/>
      </c>
      <c r="CH27" s="899" t="str">
        <f>_xlfn.IFNA(INDEX([1]List!AC:AC,MATCH(X27,[1]List!Y:Y,0)),"")</f>
        <v/>
      </c>
      <c r="CI27" s="900"/>
      <c r="CJ27" s="900"/>
      <c r="CK27" s="900"/>
      <c r="CL27" s="900"/>
      <c r="CM27" s="901"/>
      <c r="CN27" s="902"/>
      <c r="CO27" s="903"/>
      <c r="CP27" s="904"/>
      <c r="CQ27" s="892"/>
    </row>
    <row r="28" spans="1:199" x14ac:dyDescent="0.2">
      <c r="A28" s="894" t="str">
        <f>IF('[1]Core Assumptions'!B48="","",'[1]Core Assumptions'!B48)</f>
        <v/>
      </c>
      <c r="B28" s="895"/>
      <c r="C28" s="896"/>
      <c r="D28" s="897"/>
      <c r="E28" s="897"/>
      <c r="F28" s="897"/>
      <c r="G28" s="897"/>
      <c r="H28" s="897"/>
      <c r="I28" s="897"/>
      <c r="J28" s="897"/>
      <c r="K28" s="897"/>
      <c r="L28" s="897"/>
      <c r="M28" s="897"/>
      <c r="N28" s="897"/>
      <c r="O28" s="897"/>
      <c r="P28" s="897"/>
      <c r="Q28" s="897"/>
      <c r="R28" s="897"/>
      <c r="S28" s="897"/>
      <c r="T28" s="897"/>
      <c r="U28" s="895"/>
      <c r="V28" s="852"/>
      <c r="W28" s="853"/>
      <c r="X28" s="853"/>
      <c r="Y28" s="853"/>
      <c r="Z28" s="853"/>
      <c r="AA28" s="853"/>
      <c r="AB28" s="854">
        <f>_xlfn.XLOOKUP(Table17[[#This Row],[Project Delivery Lead]],[1]List!Y:Y,[1]List!AC:AC)</f>
        <v>0</v>
      </c>
      <c r="AC28" s="853" t="str">
        <f>IF($A28="","",'[1]Core Assumptions'!$D48)</f>
        <v/>
      </c>
      <c r="AD28" s="855"/>
      <c r="AE28" s="856"/>
      <c r="AF28" s="857"/>
      <c r="AG28" s="857"/>
      <c r="AH28" s="853"/>
      <c r="AI28" s="858"/>
      <c r="AJ28" s="858"/>
      <c r="AK28" s="858" t="str">
        <f>IF($A28="","",IF('[1]Pricing Summary'!$B$31="T&amp;M","Time and Material","Fixed Fee"))</f>
        <v/>
      </c>
      <c r="AL28" s="856"/>
      <c r="AM28" s="859" t="str">
        <f>IF($A28="","",'[1]Outputs Recap'!$Z87)</f>
        <v/>
      </c>
      <c r="AN28" s="860" t="str">
        <f>IF($A28="","",'[1]Outputs Recap'!$C$12)</f>
        <v/>
      </c>
      <c r="AO28" s="861" t="str">
        <f>IF($A28="","",VLOOKUP('[1]Outputs Recap'!$C$11,[1]List!$I:$J,2,FALSE))</f>
        <v/>
      </c>
      <c r="AP28" s="856" t="str" cm="1">
        <f t="array" ref="AP28">IF($A28="","",_xlfn.IFS('[1]Pricing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8" s="862" t="str">
        <f>IF($A28="","",_xlfn.XLOOKUP('[1]Core Assumptions'!$D$20,'[1]Other Lookups'!$AH:$AH,'[1]Other Lookups'!$AI:$AI))</f>
        <v/>
      </c>
      <c r="AR28" s="863" t="str">
        <f>IF($A28="","",'[1]Outputs Recap'!$AE87)</f>
        <v/>
      </c>
      <c r="AS28" s="864" t="str">
        <f>IF($A28="","",'[1]Outputs Recap'!$C$13)</f>
        <v/>
      </c>
      <c r="AT28" s="865"/>
      <c r="AU28" s="865"/>
      <c r="AV28" s="865" t="str">
        <f>IF($A28="","",IFERROR(+Table17[[#This Row],[Total Contract Amount]]*Table17[[#This Row],[First-year, one-time Onboarding/Setup Fee %]],0))</f>
        <v/>
      </c>
      <c r="AW28" s="866"/>
      <c r="AX28" s="867"/>
      <c r="AY28" s="868"/>
      <c r="AZ28" s="869"/>
      <c r="BA28" s="870"/>
      <c r="BB28" s="871"/>
      <c r="BC28" s="872"/>
      <c r="BD28" s="872"/>
      <c r="BE28" s="872"/>
      <c r="BF28" s="872"/>
      <c r="BG28" s="872"/>
      <c r="BH28" s="872"/>
      <c r="BI28" s="873"/>
      <c r="BJ28" s="874"/>
      <c r="BK28" s="874"/>
      <c r="BL28" s="875"/>
      <c r="BM28" s="876"/>
      <c r="BN28" s="877"/>
      <c r="BO28" s="878"/>
      <c r="BP28" s="879"/>
      <c r="BQ28" s="880"/>
      <c r="BR28" s="881"/>
      <c r="BS28" s="882"/>
      <c r="BT28" s="883"/>
      <c r="BU28" s="884"/>
      <c r="BV28" s="884"/>
      <c r="BW28" s="884"/>
      <c r="BX28" s="884"/>
      <c r="BY28" s="884"/>
      <c r="BZ28" s="884"/>
      <c r="CA28" s="884"/>
      <c r="CB28" s="884"/>
      <c r="CC28" s="884"/>
      <c r="CD28" s="884"/>
      <c r="CE28" s="885"/>
      <c r="CF28" s="885" t="str">
        <f t="shared" si="0"/>
        <v/>
      </c>
      <c r="CG28" s="898" t="str">
        <f>IF(ISBLANK($X28)=FALSE,"NextGenApp Advisory LLC","")</f>
        <v/>
      </c>
      <c r="CH28" s="899" t="str">
        <f>_xlfn.IFNA(INDEX([1]List!AC:AC,MATCH(X28,[1]List!Y:Y,0)),"")</f>
        <v/>
      </c>
      <c r="CI28" s="900"/>
      <c r="CJ28" s="900"/>
      <c r="CK28" s="900"/>
      <c r="CL28" s="900"/>
      <c r="CM28" s="901"/>
      <c r="CN28" s="902"/>
      <c r="CO28" s="903"/>
      <c r="CP28" s="904"/>
      <c r="CQ28" s="892"/>
    </row>
    <row r="29" spans="1:199" x14ac:dyDescent="0.2">
      <c r="A29" s="894" t="str">
        <f>IF('[1]Core Assumptions'!B49="","",'[1]Core Assumptions'!B49)</f>
        <v/>
      </c>
      <c r="B29" s="895"/>
      <c r="C29" s="896"/>
      <c r="D29" s="897"/>
      <c r="E29" s="897"/>
      <c r="F29" s="897"/>
      <c r="G29" s="897"/>
      <c r="H29" s="897"/>
      <c r="I29" s="897"/>
      <c r="J29" s="897"/>
      <c r="K29" s="897"/>
      <c r="L29" s="897"/>
      <c r="M29" s="897"/>
      <c r="N29" s="897"/>
      <c r="O29" s="897"/>
      <c r="P29" s="897"/>
      <c r="Q29" s="897"/>
      <c r="R29" s="897"/>
      <c r="S29" s="897"/>
      <c r="T29" s="897"/>
      <c r="U29" s="895"/>
      <c r="V29" s="852"/>
      <c r="W29" s="853"/>
      <c r="X29" s="853"/>
      <c r="Y29" s="853"/>
      <c r="Z29" s="853"/>
      <c r="AA29" s="853"/>
      <c r="AB29" s="854">
        <f>_xlfn.XLOOKUP(Table17[[#This Row],[Project Delivery Lead]],[1]List!Y:Y,[1]List!AC:AC)</f>
        <v>0</v>
      </c>
      <c r="AC29" s="853" t="str">
        <f>IF($A29="","",'[1]Core Assumptions'!$D49)</f>
        <v/>
      </c>
      <c r="AD29" s="855"/>
      <c r="AE29" s="856"/>
      <c r="AF29" s="857"/>
      <c r="AG29" s="857"/>
      <c r="AH29" s="853"/>
      <c r="AI29" s="858"/>
      <c r="AJ29" s="858"/>
      <c r="AK29" s="858" t="str">
        <f>IF($A29="","",IF('[1]Pricing Summary'!$B$31="T&amp;M","Time and Material","Fixed Fee"))</f>
        <v/>
      </c>
      <c r="AL29" s="856"/>
      <c r="AM29" s="859" t="str">
        <f>IF($A29="","",'[1]Outputs Recap'!$Z88)</f>
        <v/>
      </c>
      <c r="AN29" s="860" t="str">
        <f>IF($A29="","",'[1]Outputs Recap'!$C$12)</f>
        <v/>
      </c>
      <c r="AO29" s="861" t="str">
        <f>IF($A29="","",VLOOKUP('[1]Outputs Recap'!$C$11,[1]List!$I:$J,2,FALSE))</f>
        <v/>
      </c>
      <c r="AP29" s="856" t="str" cm="1">
        <f t="array" ref="AP29">IF($A29="","",_xlfn.IFS('[1]Pricing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9" s="862" t="str">
        <f>IF($A29="","",_xlfn.XLOOKUP('[1]Core Assumptions'!$D$20,'[1]Other Lookups'!$AH:$AH,'[1]Other Lookups'!$AI:$AI))</f>
        <v/>
      </c>
      <c r="AR29" s="863" t="str">
        <f>IF($A29="","",'[1]Outputs Recap'!$AE88)</f>
        <v/>
      </c>
      <c r="AS29" s="864" t="str">
        <f>IF($A29="","",'[1]Outputs Recap'!$C$13)</f>
        <v/>
      </c>
      <c r="AT29" s="865"/>
      <c r="AU29" s="865"/>
      <c r="AV29" s="865" t="str">
        <f>IF($A29="","",IFERROR(+Table17[[#This Row],[Total Contract Amount]]*Table17[[#This Row],[First-year, one-time Onboarding/Setup Fee %]],0))</f>
        <v/>
      </c>
      <c r="AW29" s="866"/>
      <c r="AX29" s="867"/>
      <c r="AY29" s="868"/>
      <c r="AZ29" s="869"/>
      <c r="BA29" s="870"/>
      <c r="BB29" s="871"/>
      <c r="BC29" s="872"/>
      <c r="BD29" s="872"/>
      <c r="BE29" s="872"/>
      <c r="BF29" s="872"/>
      <c r="BG29" s="872"/>
      <c r="BH29" s="872"/>
      <c r="BI29" s="873"/>
      <c r="BJ29" s="874"/>
      <c r="BK29" s="874"/>
      <c r="BL29" s="875"/>
      <c r="BM29" s="876"/>
      <c r="BN29" s="877"/>
      <c r="BO29" s="878"/>
      <c r="BP29" s="879"/>
      <c r="BQ29" s="880"/>
      <c r="BR29" s="881"/>
      <c r="BS29" s="882"/>
      <c r="BT29" s="883"/>
      <c r="BU29" s="884"/>
      <c r="BV29" s="884"/>
      <c r="BW29" s="884"/>
      <c r="BX29" s="884"/>
      <c r="BY29" s="884"/>
      <c r="BZ29" s="884"/>
      <c r="CA29" s="884"/>
      <c r="CB29" s="884"/>
      <c r="CC29" s="884"/>
      <c r="CD29" s="884"/>
      <c r="CE29" s="885"/>
      <c r="CF29" s="885" t="str">
        <f t="shared" si="0"/>
        <v/>
      </c>
      <c r="CG29" s="898" t="str">
        <f>IF(ISBLANK($X29)=FALSE,"NextGenApp Advisory LLC","")</f>
        <v/>
      </c>
      <c r="CH29" s="899" t="str">
        <f>_xlfn.IFNA(INDEX([1]List!AC:AC,MATCH(X29,[1]List!Y:Y,0)),"")</f>
        <v/>
      </c>
      <c r="CI29" s="900"/>
      <c r="CJ29" s="900"/>
      <c r="CK29" s="900"/>
      <c r="CL29" s="900"/>
      <c r="CM29" s="901"/>
      <c r="CN29" s="902"/>
      <c r="CO29" s="903"/>
      <c r="CP29" s="904"/>
      <c r="CQ29" s="892"/>
    </row>
    <row r="30" spans="1:199" x14ac:dyDescent="0.2">
      <c r="A30" s="894" t="str">
        <f>IF('[1]Core Assumptions'!B50="","",'[1]Core Assumptions'!B50)</f>
        <v/>
      </c>
      <c r="B30" s="895"/>
      <c r="C30" s="896"/>
      <c r="D30" s="897"/>
      <c r="E30" s="897"/>
      <c r="F30" s="897"/>
      <c r="G30" s="897"/>
      <c r="H30" s="897"/>
      <c r="I30" s="897"/>
      <c r="J30" s="897"/>
      <c r="K30" s="897"/>
      <c r="L30" s="897"/>
      <c r="M30" s="897"/>
      <c r="N30" s="897"/>
      <c r="O30" s="897"/>
      <c r="P30" s="897"/>
      <c r="Q30" s="897"/>
      <c r="R30" s="897"/>
      <c r="S30" s="897"/>
      <c r="T30" s="897"/>
      <c r="U30" s="895"/>
      <c r="V30" s="852"/>
      <c r="W30" s="853"/>
      <c r="X30" s="853"/>
      <c r="Y30" s="853"/>
      <c r="Z30" s="853"/>
      <c r="AA30" s="853"/>
      <c r="AB30" s="854">
        <f>_xlfn.XLOOKUP(Table17[[#This Row],[Project Delivery Lead]],[1]List!Y:Y,[1]List!AC:AC)</f>
        <v>0</v>
      </c>
      <c r="AC30" s="853" t="str">
        <f>IF($A30="","",'[1]Core Assumptions'!$D50)</f>
        <v/>
      </c>
      <c r="AD30" s="855"/>
      <c r="AE30" s="856"/>
      <c r="AF30" s="857"/>
      <c r="AG30" s="857"/>
      <c r="AH30" s="853"/>
      <c r="AI30" s="858"/>
      <c r="AJ30" s="858"/>
      <c r="AK30" s="858" t="str">
        <f>IF($A30="","",IF('[1]Pricing Summary'!$B$31="T&amp;M","Time and Material","Fixed Fee"))</f>
        <v/>
      </c>
      <c r="AL30" s="856"/>
      <c r="AM30" s="859" t="str">
        <f>IF($A30="","",'[1]Outputs Recap'!$Z89)</f>
        <v/>
      </c>
      <c r="AN30" s="860" t="str">
        <f>IF($A30="","",'[1]Outputs Recap'!$C$12)</f>
        <v/>
      </c>
      <c r="AO30" s="861" t="str">
        <f>IF($A30="","",VLOOKUP('[1]Outputs Recap'!$C$11,[1]List!$I:$J,2,FALSE))</f>
        <v/>
      </c>
      <c r="AP30" s="856" t="str" cm="1">
        <f t="array" ref="AP30">IF($A30="","",_xlfn.IFS('[1]Pricing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0" s="862" t="str">
        <f>IF($A30="","",_xlfn.XLOOKUP('[1]Core Assumptions'!$D$20,'[1]Other Lookups'!$AH:$AH,'[1]Other Lookups'!$AI:$AI))</f>
        <v/>
      </c>
      <c r="AR30" s="863" t="str">
        <f>IF($A30="","",'[1]Outputs Recap'!$AE89)</f>
        <v/>
      </c>
      <c r="AS30" s="864" t="str">
        <f>IF($A30="","",'[1]Outputs Recap'!$C$13)</f>
        <v/>
      </c>
      <c r="AT30" s="865"/>
      <c r="AU30" s="865"/>
      <c r="AV30" s="865" t="str">
        <f>IF($A30="","",IFERROR(+Table17[[#This Row],[Total Contract Amount]]*Table17[[#This Row],[First-year, one-time Onboarding/Setup Fee %]],0))</f>
        <v/>
      </c>
      <c r="AW30" s="866"/>
      <c r="AX30" s="867"/>
      <c r="AY30" s="868"/>
      <c r="AZ30" s="869"/>
      <c r="BA30" s="870"/>
      <c r="BB30" s="871"/>
      <c r="BC30" s="872"/>
      <c r="BD30" s="872"/>
      <c r="BE30" s="872"/>
      <c r="BF30" s="872"/>
      <c r="BG30" s="872"/>
      <c r="BH30" s="872"/>
      <c r="BI30" s="873"/>
      <c r="BJ30" s="874"/>
      <c r="BK30" s="874"/>
      <c r="BL30" s="875"/>
      <c r="BM30" s="876"/>
      <c r="BN30" s="877"/>
      <c r="BO30" s="878"/>
      <c r="BP30" s="879"/>
      <c r="BQ30" s="880"/>
      <c r="BR30" s="881"/>
      <c r="BS30" s="882"/>
      <c r="BT30" s="883"/>
      <c r="BU30" s="884"/>
      <c r="BV30" s="884"/>
      <c r="BW30" s="884"/>
      <c r="BX30" s="884"/>
      <c r="BY30" s="884"/>
      <c r="BZ30" s="884"/>
      <c r="CA30" s="884"/>
      <c r="CB30" s="884"/>
      <c r="CC30" s="884"/>
      <c r="CD30" s="884"/>
      <c r="CE30" s="885"/>
      <c r="CF30" s="885" t="str">
        <f t="shared" si="0"/>
        <v/>
      </c>
      <c r="CG30" s="898" t="str">
        <f>IF(ISBLANK($X30)=FALSE,"NextGenApp Advisory LLC","")</f>
        <v/>
      </c>
      <c r="CH30" s="899" t="str">
        <f>_xlfn.IFNA(INDEX([1]List!AC:AC,MATCH(X30,[1]List!Y:Y,0)),"")</f>
        <v/>
      </c>
      <c r="CI30" s="900"/>
      <c r="CJ30" s="900"/>
      <c r="CK30" s="900"/>
      <c r="CL30" s="900"/>
      <c r="CM30" s="901"/>
      <c r="CN30" s="902"/>
      <c r="CO30" s="903"/>
      <c r="CP30" s="904"/>
      <c r="CQ30" s="892"/>
    </row>
    <row r="31" spans="1:199" x14ac:dyDescent="0.2">
      <c r="A31" s="894" t="str">
        <f>IF('[1]Core Assumptions'!B51="","",'[1]Core Assumptions'!B51)</f>
        <v/>
      </c>
      <c r="B31" s="895"/>
      <c r="C31" s="896"/>
      <c r="D31" s="897"/>
      <c r="E31" s="897"/>
      <c r="F31" s="897"/>
      <c r="G31" s="897"/>
      <c r="H31" s="897"/>
      <c r="I31" s="897"/>
      <c r="J31" s="897"/>
      <c r="K31" s="897"/>
      <c r="L31" s="897"/>
      <c r="M31" s="897"/>
      <c r="N31" s="897"/>
      <c r="O31" s="897"/>
      <c r="P31" s="897"/>
      <c r="Q31" s="897"/>
      <c r="R31" s="897"/>
      <c r="S31" s="897"/>
      <c r="T31" s="897"/>
      <c r="U31" s="895"/>
      <c r="V31" s="852"/>
      <c r="W31" s="853"/>
      <c r="X31" s="853"/>
      <c r="Y31" s="853"/>
      <c r="Z31" s="853"/>
      <c r="AA31" s="853"/>
      <c r="AB31" s="854">
        <f>_xlfn.XLOOKUP(Table17[[#This Row],[Project Delivery Lead]],[1]List!Y:Y,[1]List!AC:AC)</f>
        <v>0</v>
      </c>
      <c r="AC31" s="853" t="str">
        <f>IF($A31="","",'[1]Core Assumptions'!$D51)</f>
        <v/>
      </c>
      <c r="AD31" s="855"/>
      <c r="AE31" s="856"/>
      <c r="AF31" s="857"/>
      <c r="AG31" s="857"/>
      <c r="AH31" s="853"/>
      <c r="AI31" s="858"/>
      <c r="AJ31" s="858"/>
      <c r="AK31" s="858" t="str">
        <f>IF($A31="","",IF('[1]Pricing Summary'!$B$31="T&amp;M","Time and Material","Fixed Fee"))</f>
        <v/>
      </c>
      <c r="AL31" s="856"/>
      <c r="AM31" s="859" t="str">
        <f>IF($A31="","",'[1]Outputs Recap'!$Z90)</f>
        <v/>
      </c>
      <c r="AN31" s="860" t="str">
        <f>IF($A31="","",'[1]Outputs Recap'!$C$12)</f>
        <v/>
      </c>
      <c r="AO31" s="861" t="str">
        <f>IF($A31="","",VLOOKUP('[1]Outputs Recap'!$C$11,[1]List!$I:$J,2,FALSE))</f>
        <v/>
      </c>
      <c r="AP31" s="856" t="str" cm="1">
        <f t="array" ref="AP31">IF($A31="","",_xlfn.IFS('[1]Pricing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1" s="862" t="str">
        <f>IF($A31="","",_xlfn.XLOOKUP('[1]Core Assumptions'!$D$20,'[1]Other Lookups'!$AH:$AH,'[1]Other Lookups'!$AI:$AI))</f>
        <v/>
      </c>
      <c r="AR31" s="863" t="str">
        <f>IF($A31="","",'[1]Outputs Recap'!$AE90)</f>
        <v/>
      </c>
      <c r="AS31" s="864" t="str">
        <f>IF($A31="","",'[1]Outputs Recap'!$C$13)</f>
        <v/>
      </c>
      <c r="AT31" s="865"/>
      <c r="AU31" s="865"/>
      <c r="AV31" s="865" t="str">
        <f>IF($A31="","",IFERROR(+Table17[[#This Row],[Total Contract Amount]]*Table17[[#This Row],[First-year, one-time Onboarding/Setup Fee %]],0))</f>
        <v/>
      </c>
      <c r="AW31" s="866"/>
      <c r="AX31" s="867"/>
      <c r="AY31" s="868"/>
      <c r="AZ31" s="869"/>
      <c r="BA31" s="870"/>
      <c r="BB31" s="871"/>
      <c r="BC31" s="872"/>
      <c r="BD31" s="872"/>
      <c r="BE31" s="872"/>
      <c r="BF31" s="872"/>
      <c r="BG31" s="872"/>
      <c r="BH31" s="872"/>
      <c r="BI31" s="873"/>
      <c r="BJ31" s="874"/>
      <c r="BK31" s="874"/>
      <c r="BL31" s="875"/>
      <c r="BM31" s="876"/>
      <c r="BN31" s="877"/>
      <c r="BO31" s="878"/>
      <c r="BP31" s="879"/>
      <c r="BQ31" s="880"/>
      <c r="BR31" s="881"/>
      <c r="BS31" s="882"/>
      <c r="BT31" s="883"/>
      <c r="BU31" s="884"/>
      <c r="BV31" s="884"/>
      <c r="BW31" s="884"/>
      <c r="BX31" s="884"/>
      <c r="BY31" s="884"/>
      <c r="BZ31" s="884"/>
      <c r="CA31" s="884"/>
      <c r="CB31" s="884"/>
      <c r="CC31" s="884"/>
      <c r="CD31" s="884"/>
      <c r="CE31" s="885"/>
      <c r="CF31" s="885" t="str">
        <f t="shared" si="0"/>
        <v/>
      </c>
      <c r="CG31" s="898" t="str">
        <f>IF(ISBLANK($X31)=FALSE,"NextGenApp Advisory LLC","")</f>
        <v/>
      </c>
      <c r="CH31" s="899" t="str">
        <f>_xlfn.IFNA(INDEX([1]List!AC:AC,MATCH(X31,[1]List!Y:Y,0)),"")</f>
        <v/>
      </c>
      <c r="CI31" s="900"/>
      <c r="CJ31" s="900"/>
      <c r="CK31" s="900"/>
      <c r="CL31" s="900"/>
      <c r="CM31" s="901"/>
      <c r="CN31" s="902"/>
      <c r="CO31" s="903"/>
      <c r="CP31" s="904"/>
      <c r="CQ31" s="892"/>
    </row>
    <row r="32" spans="1:199" x14ac:dyDescent="0.2">
      <c r="A32" s="894" t="str">
        <f>IF('[1]Core Assumptions'!B52="","",'[1]Core Assumptions'!B52)</f>
        <v/>
      </c>
      <c r="B32" s="895"/>
      <c r="C32" s="896"/>
      <c r="D32" s="897"/>
      <c r="E32" s="897"/>
      <c r="F32" s="897"/>
      <c r="G32" s="897"/>
      <c r="H32" s="897"/>
      <c r="I32" s="897"/>
      <c r="J32" s="897"/>
      <c r="K32" s="897"/>
      <c r="L32" s="897"/>
      <c r="M32" s="897"/>
      <c r="N32" s="897"/>
      <c r="O32" s="897"/>
      <c r="P32" s="897"/>
      <c r="Q32" s="897"/>
      <c r="R32" s="897"/>
      <c r="S32" s="897"/>
      <c r="T32" s="897"/>
      <c r="U32" s="895"/>
      <c r="V32" s="852"/>
      <c r="W32" s="853"/>
      <c r="X32" s="853"/>
      <c r="Y32" s="853"/>
      <c r="Z32" s="853"/>
      <c r="AA32" s="853"/>
      <c r="AB32" s="854">
        <f>_xlfn.XLOOKUP(Table17[[#This Row],[Project Delivery Lead]],[1]List!Y:Y,[1]List!AC:AC)</f>
        <v>0</v>
      </c>
      <c r="AC32" s="853" t="str">
        <f>IF($A32="","",'[1]Core Assumptions'!$D52)</f>
        <v/>
      </c>
      <c r="AD32" s="855"/>
      <c r="AE32" s="856"/>
      <c r="AF32" s="857"/>
      <c r="AG32" s="857"/>
      <c r="AH32" s="853"/>
      <c r="AI32" s="858"/>
      <c r="AJ32" s="858"/>
      <c r="AK32" s="858" t="str">
        <f>IF($A32="","",IF('[1]Pricing Summary'!$B$31="T&amp;M","Time and Material","Fixed Fee"))</f>
        <v/>
      </c>
      <c r="AL32" s="856"/>
      <c r="AM32" s="859" t="str">
        <f>IF($A32="","",'[1]Outputs Recap'!$Z91)</f>
        <v/>
      </c>
      <c r="AN32" s="860" t="str">
        <f>IF($A32="","",'[1]Outputs Recap'!$C$12)</f>
        <v/>
      </c>
      <c r="AO32" s="861" t="str">
        <f>IF($A32="","",VLOOKUP('[1]Outputs Recap'!$C$11,[1]List!$I:$J,2,FALSE))</f>
        <v/>
      </c>
      <c r="AP32" s="856" t="str" cm="1">
        <f t="array" ref="AP32">IF($A32="","",_xlfn.IFS('[1]Pricing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2" s="862" t="str">
        <f>IF($A32="","",_xlfn.XLOOKUP('[1]Core Assumptions'!$D$20,'[1]Other Lookups'!$AH:$AH,'[1]Other Lookups'!$AI:$AI))</f>
        <v/>
      </c>
      <c r="AR32" s="863" t="str">
        <f>IF($A32="","",'[1]Outputs Recap'!$AE91)</f>
        <v/>
      </c>
      <c r="AS32" s="864" t="str">
        <f>IF($A32="","",'[1]Outputs Recap'!$C$13)</f>
        <v/>
      </c>
      <c r="AT32" s="865"/>
      <c r="AU32" s="865"/>
      <c r="AV32" s="865" t="str">
        <f>IF($A32="","",IFERROR(+Table17[[#This Row],[Total Contract Amount]]*Table17[[#This Row],[First-year, one-time Onboarding/Setup Fee %]],0))</f>
        <v/>
      </c>
      <c r="AW32" s="866"/>
      <c r="AX32" s="867"/>
      <c r="AY32" s="868"/>
      <c r="AZ32" s="869"/>
      <c r="BA32" s="870"/>
      <c r="BB32" s="871"/>
      <c r="BC32" s="872"/>
      <c r="BD32" s="872"/>
      <c r="BE32" s="872"/>
      <c r="BF32" s="872"/>
      <c r="BG32" s="872"/>
      <c r="BH32" s="872"/>
      <c r="BI32" s="873"/>
      <c r="BJ32" s="874"/>
      <c r="BK32" s="874"/>
      <c r="BL32" s="875"/>
      <c r="BM32" s="876"/>
      <c r="BN32" s="877"/>
      <c r="BO32" s="878"/>
      <c r="BP32" s="879"/>
      <c r="BQ32" s="880"/>
      <c r="BR32" s="881"/>
      <c r="BS32" s="882"/>
      <c r="BT32" s="883"/>
      <c r="BU32" s="884"/>
      <c r="BV32" s="884"/>
      <c r="BW32" s="884"/>
      <c r="BX32" s="884"/>
      <c r="BY32" s="884"/>
      <c r="BZ32" s="884"/>
      <c r="CA32" s="884"/>
      <c r="CB32" s="884"/>
      <c r="CC32" s="884"/>
      <c r="CD32" s="884"/>
      <c r="CE32" s="885"/>
      <c r="CF32" s="885" t="str">
        <f t="shared" si="0"/>
        <v/>
      </c>
      <c r="CG32" s="898" t="str">
        <f>IF(ISBLANK($X32)=FALSE,"NextGenApp Advisory LLC","")</f>
        <v/>
      </c>
      <c r="CH32" s="899" t="str">
        <f>_xlfn.IFNA(INDEX([1]List!AC:AC,MATCH(X32,[1]List!Y:Y,0)),"")</f>
        <v/>
      </c>
      <c r="CI32" s="900"/>
      <c r="CJ32" s="900"/>
      <c r="CK32" s="900"/>
      <c r="CL32" s="900"/>
      <c r="CM32" s="901"/>
      <c r="CN32" s="902"/>
      <c r="CO32" s="903"/>
      <c r="CP32" s="904"/>
      <c r="CQ32" s="892"/>
    </row>
    <row r="33" spans="1:95" x14ac:dyDescent="0.2">
      <c r="A33" s="894" t="str">
        <f>IF('[1]Core Assumptions'!B53="","",'[1]Core Assumptions'!B53)</f>
        <v/>
      </c>
      <c r="B33" s="895"/>
      <c r="C33" s="896"/>
      <c r="D33" s="897"/>
      <c r="E33" s="897"/>
      <c r="F33" s="897"/>
      <c r="G33" s="897"/>
      <c r="H33" s="897"/>
      <c r="I33" s="897"/>
      <c r="J33" s="897"/>
      <c r="K33" s="897"/>
      <c r="L33" s="897"/>
      <c r="M33" s="897"/>
      <c r="N33" s="897"/>
      <c r="O33" s="897"/>
      <c r="P33" s="897"/>
      <c r="Q33" s="897"/>
      <c r="R33" s="897"/>
      <c r="S33" s="897"/>
      <c r="T33" s="897"/>
      <c r="U33" s="895"/>
      <c r="V33" s="852"/>
      <c r="W33" s="853"/>
      <c r="X33" s="853"/>
      <c r="Y33" s="853"/>
      <c r="Z33" s="853"/>
      <c r="AA33" s="853"/>
      <c r="AB33" s="854">
        <f>_xlfn.XLOOKUP(Table17[[#This Row],[Project Delivery Lead]],[1]List!Y:Y,[1]List!AC:AC)</f>
        <v>0</v>
      </c>
      <c r="AC33" s="853" t="str">
        <f>IF($A33="","",'[1]Core Assumptions'!$D53)</f>
        <v/>
      </c>
      <c r="AD33" s="855"/>
      <c r="AE33" s="856"/>
      <c r="AF33" s="857"/>
      <c r="AG33" s="857"/>
      <c r="AH33" s="853"/>
      <c r="AI33" s="858"/>
      <c r="AJ33" s="858"/>
      <c r="AK33" s="858" t="str">
        <f>IF($A33="","",IF('[1]Pricing Summary'!$B$31="T&amp;M","Time and Material","Fixed Fee"))</f>
        <v/>
      </c>
      <c r="AL33" s="856"/>
      <c r="AM33" s="859" t="str">
        <f>IF($A33="","",'[1]Outputs Recap'!$Z92)</f>
        <v/>
      </c>
      <c r="AN33" s="860" t="str">
        <f>IF($A33="","",'[1]Outputs Recap'!$C$12)</f>
        <v/>
      </c>
      <c r="AO33" s="861" t="str">
        <f>IF($A33="","",VLOOKUP('[1]Outputs Recap'!$C$11,[1]List!$I:$J,2,FALSE))</f>
        <v/>
      </c>
      <c r="AP33" s="856" t="str" cm="1">
        <f t="array" ref="AP33">IF($A33="","",_xlfn.IFS('[1]Pricing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3" s="862" t="str">
        <f>IF($A33="","",_xlfn.XLOOKUP('[1]Core Assumptions'!$D$20,'[1]Other Lookups'!$AH:$AH,'[1]Other Lookups'!$AI:$AI))</f>
        <v/>
      </c>
      <c r="AR33" s="863" t="str">
        <f>IF($A33="","",'[1]Outputs Recap'!$AE92)</f>
        <v/>
      </c>
      <c r="AS33" s="864" t="str">
        <f>IF($A33="","",'[1]Outputs Recap'!$C$13)</f>
        <v/>
      </c>
      <c r="AT33" s="865"/>
      <c r="AU33" s="865"/>
      <c r="AV33" s="865" t="str">
        <f>IF($A33="","",IFERROR(+Table17[[#This Row],[Total Contract Amount]]*Table17[[#This Row],[First-year, one-time Onboarding/Setup Fee %]],0))</f>
        <v/>
      </c>
      <c r="AW33" s="866"/>
      <c r="AX33" s="867"/>
      <c r="AY33" s="868"/>
      <c r="AZ33" s="869"/>
      <c r="BA33" s="870"/>
      <c r="BB33" s="871"/>
      <c r="BC33" s="872"/>
      <c r="BD33" s="872"/>
      <c r="BE33" s="872"/>
      <c r="BF33" s="872"/>
      <c r="BG33" s="872"/>
      <c r="BH33" s="872"/>
      <c r="BI33" s="873"/>
      <c r="BJ33" s="874"/>
      <c r="BK33" s="874"/>
      <c r="BL33" s="875"/>
      <c r="BM33" s="876"/>
      <c r="BN33" s="877"/>
      <c r="BO33" s="878"/>
      <c r="BP33" s="879"/>
      <c r="BQ33" s="880"/>
      <c r="BR33" s="881"/>
      <c r="BS33" s="882"/>
      <c r="BT33" s="883"/>
      <c r="BU33" s="884"/>
      <c r="BV33" s="884"/>
      <c r="BW33" s="884"/>
      <c r="BX33" s="884"/>
      <c r="BY33" s="884"/>
      <c r="BZ33" s="884"/>
      <c r="CA33" s="884"/>
      <c r="CB33" s="884"/>
      <c r="CC33" s="884"/>
      <c r="CD33" s="884"/>
      <c r="CE33" s="885"/>
      <c r="CF33" s="885" t="str">
        <f t="shared" si="0"/>
        <v/>
      </c>
      <c r="CG33" s="898" t="str">
        <f>IF(ISBLANK($X33)=FALSE,"NextGenApp Advisory LLC","")</f>
        <v/>
      </c>
      <c r="CH33" s="899" t="str">
        <f>_xlfn.IFNA(INDEX([1]List!AC:AC,MATCH(X33,[1]List!Y:Y,0)),"")</f>
        <v/>
      </c>
      <c r="CI33" s="900"/>
      <c r="CJ33" s="900"/>
      <c r="CK33" s="900"/>
      <c r="CL33" s="900"/>
      <c r="CM33" s="901"/>
      <c r="CN33" s="902"/>
      <c r="CO33" s="903"/>
      <c r="CP33" s="904"/>
      <c r="CQ33" s="892"/>
    </row>
    <row r="34" spans="1:95" x14ac:dyDescent="0.2">
      <c r="A34" s="894" t="str">
        <f>IF('[1]Core Assumptions'!B54="","",'[1]Core Assumptions'!B54)</f>
        <v/>
      </c>
      <c r="B34" s="895"/>
      <c r="C34" s="896"/>
      <c r="D34" s="897"/>
      <c r="E34" s="897"/>
      <c r="F34" s="897"/>
      <c r="G34" s="897"/>
      <c r="H34" s="897"/>
      <c r="I34" s="897"/>
      <c r="J34" s="897"/>
      <c r="K34" s="897"/>
      <c r="L34" s="897"/>
      <c r="M34" s="897"/>
      <c r="N34" s="897"/>
      <c r="O34" s="897"/>
      <c r="P34" s="897"/>
      <c r="Q34" s="897"/>
      <c r="R34" s="897"/>
      <c r="S34" s="897"/>
      <c r="T34" s="897"/>
      <c r="U34" s="895"/>
      <c r="V34" s="852"/>
      <c r="W34" s="853"/>
      <c r="X34" s="853"/>
      <c r="Y34" s="853"/>
      <c r="Z34" s="853"/>
      <c r="AA34" s="853"/>
      <c r="AB34" s="854">
        <f>_xlfn.XLOOKUP(Table17[[#This Row],[Project Delivery Lead]],[1]List!Y:Y,[1]List!AC:AC)</f>
        <v>0</v>
      </c>
      <c r="AC34" s="853" t="str">
        <f>IF($A34="","",'[1]Core Assumptions'!$D54)</f>
        <v/>
      </c>
      <c r="AD34" s="855"/>
      <c r="AE34" s="856"/>
      <c r="AF34" s="857"/>
      <c r="AG34" s="857"/>
      <c r="AH34" s="853"/>
      <c r="AI34" s="858"/>
      <c r="AJ34" s="858"/>
      <c r="AK34" s="858" t="str">
        <f>IF($A34="","",IF('[1]Pricing Summary'!$B$31="T&amp;M","Time and Material","Fixed Fee"))</f>
        <v/>
      </c>
      <c r="AL34" s="856"/>
      <c r="AM34" s="859" t="str">
        <f>IF($A34="","",'[1]Outputs Recap'!$Z93)</f>
        <v/>
      </c>
      <c r="AN34" s="860" t="str">
        <f>IF($A34="","",'[1]Outputs Recap'!$C$12)</f>
        <v/>
      </c>
      <c r="AO34" s="861" t="str">
        <f>IF($A34="","",VLOOKUP('[1]Outputs Recap'!$C$11,[1]List!$I:$J,2,FALSE))</f>
        <v/>
      </c>
      <c r="AP34" s="856" t="str" cm="1">
        <f t="array" ref="AP34">IF($A34="","",_xlfn.IFS('[1]Pricing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4" s="862" t="str">
        <f>IF($A34="","",_xlfn.XLOOKUP('[1]Core Assumptions'!$D$20,'[1]Other Lookups'!$AH:$AH,'[1]Other Lookups'!$AI:$AI))</f>
        <v/>
      </c>
      <c r="AR34" s="863" t="str">
        <f>IF($A34="","",'[1]Outputs Recap'!$AE93)</f>
        <v/>
      </c>
      <c r="AS34" s="864" t="str">
        <f>IF($A34="","",'[1]Outputs Recap'!$C$13)</f>
        <v/>
      </c>
      <c r="AT34" s="865"/>
      <c r="AU34" s="865"/>
      <c r="AV34" s="865" t="str">
        <f>IF($A34="","",IFERROR(+Table17[[#This Row],[Total Contract Amount]]*Table17[[#This Row],[First-year, one-time Onboarding/Setup Fee %]],0))</f>
        <v/>
      </c>
      <c r="AW34" s="866"/>
      <c r="AX34" s="867"/>
      <c r="AY34" s="868"/>
      <c r="AZ34" s="869"/>
      <c r="BA34" s="870"/>
      <c r="BB34" s="871"/>
      <c r="BC34" s="872"/>
      <c r="BD34" s="872"/>
      <c r="BE34" s="872"/>
      <c r="BF34" s="872"/>
      <c r="BG34" s="872"/>
      <c r="BH34" s="872"/>
      <c r="BI34" s="873"/>
      <c r="BJ34" s="874"/>
      <c r="BK34" s="874"/>
      <c r="BL34" s="875"/>
      <c r="BM34" s="876"/>
      <c r="BN34" s="877"/>
      <c r="BO34" s="878"/>
      <c r="BP34" s="879"/>
      <c r="BQ34" s="880"/>
      <c r="BR34" s="881"/>
      <c r="BS34" s="882"/>
      <c r="BT34" s="883"/>
      <c r="BU34" s="884"/>
      <c r="BV34" s="884"/>
      <c r="BW34" s="884"/>
      <c r="BX34" s="884"/>
      <c r="BY34" s="884"/>
      <c r="BZ34" s="884"/>
      <c r="CA34" s="884"/>
      <c r="CB34" s="884"/>
      <c r="CC34" s="884"/>
      <c r="CD34" s="884"/>
      <c r="CE34" s="885"/>
      <c r="CF34" s="885" t="str">
        <f t="shared" si="0"/>
        <v/>
      </c>
      <c r="CG34" s="898" t="str">
        <f>IF(ISBLANK($X34)=FALSE,"NextGenApp Advisory LLC","")</f>
        <v/>
      </c>
      <c r="CH34" s="899" t="str">
        <f>_xlfn.IFNA(INDEX([1]List!AC:AC,MATCH(X34,[1]List!Y:Y,0)),"")</f>
        <v/>
      </c>
      <c r="CI34" s="900"/>
      <c r="CJ34" s="900"/>
      <c r="CK34" s="900"/>
      <c r="CL34" s="900"/>
      <c r="CM34" s="901"/>
      <c r="CN34" s="902"/>
      <c r="CO34" s="903"/>
      <c r="CP34" s="904"/>
      <c r="CQ34" s="892"/>
    </row>
    <row r="35" spans="1:95" x14ac:dyDescent="0.2">
      <c r="A35" s="894" t="str">
        <f>IF('[1]Core Assumptions'!B55="","",'[1]Core Assumptions'!B55)</f>
        <v/>
      </c>
      <c r="B35" s="895"/>
      <c r="C35" s="896"/>
      <c r="D35" s="897"/>
      <c r="E35" s="897"/>
      <c r="F35" s="897"/>
      <c r="G35" s="897"/>
      <c r="H35" s="897"/>
      <c r="I35" s="897"/>
      <c r="J35" s="897"/>
      <c r="K35" s="897"/>
      <c r="L35" s="897"/>
      <c r="M35" s="897"/>
      <c r="N35" s="897"/>
      <c r="O35" s="897"/>
      <c r="P35" s="897"/>
      <c r="Q35" s="897"/>
      <c r="R35" s="897"/>
      <c r="S35" s="897"/>
      <c r="T35" s="897"/>
      <c r="U35" s="895"/>
      <c r="V35" s="852"/>
      <c r="W35" s="853"/>
      <c r="X35" s="853"/>
      <c r="Y35" s="853"/>
      <c r="Z35" s="853"/>
      <c r="AA35" s="853"/>
      <c r="AB35" s="854">
        <f>_xlfn.XLOOKUP(Table17[[#This Row],[Project Delivery Lead]],[1]List!Y:Y,[1]List!AC:AC)</f>
        <v>0</v>
      </c>
      <c r="AC35" s="853" t="str">
        <f>IF($A35="","",'[1]Core Assumptions'!$D55)</f>
        <v/>
      </c>
      <c r="AD35" s="855"/>
      <c r="AE35" s="856"/>
      <c r="AF35" s="857"/>
      <c r="AG35" s="857"/>
      <c r="AH35" s="853"/>
      <c r="AI35" s="858"/>
      <c r="AJ35" s="858"/>
      <c r="AK35" s="858" t="str">
        <f>IF($A35="","",IF('[1]Pricing Summary'!$B$31="T&amp;M","Time and Material","Fixed Fee"))</f>
        <v/>
      </c>
      <c r="AL35" s="856"/>
      <c r="AM35" s="859" t="str">
        <f>IF($A35="","",'[1]Outputs Recap'!$Z94)</f>
        <v/>
      </c>
      <c r="AN35" s="860" t="str">
        <f>IF($A35="","",'[1]Outputs Recap'!$C$12)</f>
        <v/>
      </c>
      <c r="AO35" s="861" t="str">
        <f>IF($A35="","",VLOOKUP('[1]Outputs Recap'!$C$11,[1]List!$I:$J,2,FALSE))</f>
        <v/>
      </c>
      <c r="AP35" s="856" t="str" cm="1">
        <f t="array" ref="AP35">IF($A35="","",_xlfn.IFS('[1]Pricing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5" s="862" t="str">
        <f>IF($A35="","",_xlfn.XLOOKUP('[1]Core Assumptions'!$D$20,'[1]Other Lookups'!$AH:$AH,'[1]Other Lookups'!$AI:$AI))</f>
        <v/>
      </c>
      <c r="AR35" s="863" t="str">
        <f>IF($A35="","",'[1]Outputs Recap'!$AE94)</f>
        <v/>
      </c>
      <c r="AS35" s="864" t="str">
        <f>IF($A35="","",'[1]Outputs Recap'!$C$13)</f>
        <v/>
      </c>
      <c r="AT35" s="865"/>
      <c r="AU35" s="865"/>
      <c r="AV35" s="865" t="str">
        <f>IF($A35="","",IFERROR(+Table17[[#This Row],[Total Contract Amount]]*Table17[[#This Row],[First-year, one-time Onboarding/Setup Fee %]],0))</f>
        <v/>
      </c>
      <c r="AW35" s="866"/>
      <c r="AX35" s="867"/>
      <c r="AY35" s="868"/>
      <c r="AZ35" s="869"/>
      <c r="BA35" s="870"/>
      <c r="BB35" s="871"/>
      <c r="BC35" s="872"/>
      <c r="BD35" s="872"/>
      <c r="BE35" s="872"/>
      <c r="BF35" s="872"/>
      <c r="BG35" s="872"/>
      <c r="BH35" s="872"/>
      <c r="BI35" s="873"/>
      <c r="BJ35" s="874"/>
      <c r="BK35" s="874"/>
      <c r="BL35" s="875"/>
      <c r="BM35" s="876"/>
      <c r="BN35" s="877"/>
      <c r="BO35" s="878"/>
      <c r="BP35" s="879"/>
      <c r="BQ35" s="880"/>
      <c r="BR35" s="881"/>
      <c r="BS35" s="882"/>
      <c r="BT35" s="883"/>
      <c r="BU35" s="884"/>
      <c r="BV35" s="884"/>
      <c r="BW35" s="884"/>
      <c r="BX35" s="884"/>
      <c r="BY35" s="884"/>
      <c r="BZ35" s="884"/>
      <c r="CA35" s="884"/>
      <c r="CB35" s="884"/>
      <c r="CC35" s="884"/>
      <c r="CD35" s="884"/>
      <c r="CE35" s="885"/>
      <c r="CF35" s="885" t="str">
        <f t="shared" si="0"/>
        <v/>
      </c>
      <c r="CG35" s="898" t="str">
        <f>IF(ISBLANK($X35)=FALSE,"NextGenApp Advisory LLC","")</f>
        <v/>
      </c>
      <c r="CH35" s="899" t="str">
        <f>_xlfn.IFNA(INDEX([1]List!AC:AC,MATCH(X35,[1]List!Y:Y,0)),"")</f>
        <v/>
      </c>
      <c r="CI35" s="900"/>
      <c r="CJ35" s="900"/>
      <c r="CK35" s="900"/>
      <c r="CL35" s="900"/>
      <c r="CM35" s="901"/>
      <c r="CN35" s="902"/>
      <c r="CO35" s="903"/>
      <c r="CP35" s="904"/>
      <c r="CQ35" s="892"/>
    </row>
    <row r="36" spans="1:95" x14ac:dyDescent="0.2">
      <c r="A36" s="894" t="str">
        <f>IF('[1]Core Assumptions'!B56="","",'[1]Core Assumptions'!B56)</f>
        <v/>
      </c>
      <c r="B36" s="895"/>
      <c r="C36" s="896"/>
      <c r="D36" s="897"/>
      <c r="E36" s="897"/>
      <c r="F36" s="897"/>
      <c r="G36" s="897"/>
      <c r="H36" s="897"/>
      <c r="I36" s="897"/>
      <c r="J36" s="897"/>
      <c r="K36" s="897"/>
      <c r="L36" s="897"/>
      <c r="M36" s="897"/>
      <c r="N36" s="897"/>
      <c r="O36" s="897"/>
      <c r="P36" s="897"/>
      <c r="Q36" s="897"/>
      <c r="R36" s="897"/>
      <c r="S36" s="897"/>
      <c r="T36" s="897"/>
      <c r="U36" s="895"/>
      <c r="V36" s="852"/>
      <c r="W36" s="853"/>
      <c r="X36" s="853"/>
      <c r="Y36" s="853"/>
      <c r="Z36" s="853"/>
      <c r="AA36" s="853"/>
      <c r="AB36" s="854">
        <f>_xlfn.XLOOKUP(Table17[[#This Row],[Project Delivery Lead]],[1]List!Y:Y,[1]List!AC:AC)</f>
        <v>0</v>
      </c>
      <c r="AC36" s="853" t="str">
        <f>IF($A36="","",'[1]Core Assumptions'!$D56)</f>
        <v/>
      </c>
      <c r="AD36" s="855"/>
      <c r="AE36" s="856"/>
      <c r="AF36" s="857"/>
      <c r="AG36" s="857"/>
      <c r="AH36" s="853"/>
      <c r="AI36" s="858"/>
      <c r="AJ36" s="858"/>
      <c r="AK36" s="858" t="str">
        <f>IF($A36="","",IF('[1]Pricing Summary'!$B$31="T&amp;M","Time and Material","Fixed Fee"))</f>
        <v/>
      </c>
      <c r="AL36" s="856"/>
      <c r="AM36" s="859" t="str">
        <f>IF($A36="","",'[1]Outputs Recap'!$Z95)</f>
        <v/>
      </c>
      <c r="AN36" s="860" t="str">
        <f>IF($A36="","",'[1]Outputs Recap'!$C$12)</f>
        <v/>
      </c>
      <c r="AO36" s="861" t="str">
        <f>IF($A36="","",VLOOKUP('[1]Outputs Recap'!$C$11,[1]List!$I:$J,2,FALSE))</f>
        <v/>
      </c>
      <c r="AP36" s="856" t="str" cm="1">
        <f t="array" ref="AP36">IF($A36="","",_xlfn.IFS('[1]Pricing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6" s="862" t="str">
        <f>IF($A36="","",_xlfn.XLOOKUP('[1]Core Assumptions'!$D$20,'[1]Other Lookups'!$AH:$AH,'[1]Other Lookups'!$AI:$AI))</f>
        <v/>
      </c>
      <c r="AR36" s="863" t="str">
        <f>IF($A36="","",'[1]Outputs Recap'!$AE95)</f>
        <v/>
      </c>
      <c r="AS36" s="864" t="str">
        <f>IF($A36="","",'[1]Outputs Recap'!$C$13)</f>
        <v/>
      </c>
      <c r="AT36" s="865"/>
      <c r="AU36" s="865"/>
      <c r="AV36" s="865" t="str">
        <f>IF($A36="","",IFERROR(+Table17[[#This Row],[Total Contract Amount]]*Table17[[#This Row],[First-year, one-time Onboarding/Setup Fee %]],0))</f>
        <v/>
      </c>
      <c r="AW36" s="866"/>
      <c r="AX36" s="867"/>
      <c r="AY36" s="868"/>
      <c r="AZ36" s="869"/>
      <c r="BA36" s="870"/>
      <c r="BB36" s="871"/>
      <c r="BC36" s="872"/>
      <c r="BD36" s="872"/>
      <c r="BE36" s="872"/>
      <c r="BF36" s="872"/>
      <c r="BG36" s="872"/>
      <c r="BH36" s="872"/>
      <c r="BI36" s="873"/>
      <c r="BJ36" s="874"/>
      <c r="BK36" s="874"/>
      <c r="BL36" s="875"/>
      <c r="BM36" s="876"/>
      <c r="BN36" s="877"/>
      <c r="BO36" s="878"/>
      <c r="BP36" s="879"/>
      <c r="BQ36" s="880"/>
      <c r="BR36" s="881"/>
      <c r="BS36" s="882"/>
      <c r="BT36" s="883"/>
      <c r="BU36" s="884"/>
      <c r="BV36" s="884"/>
      <c r="BW36" s="884"/>
      <c r="BX36" s="884"/>
      <c r="BY36" s="884"/>
      <c r="BZ36" s="884"/>
      <c r="CA36" s="884"/>
      <c r="CB36" s="884"/>
      <c r="CC36" s="884"/>
      <c r="CD36" s="884"/>
      <c r="CE36" s="885"/>
      <c r="CF36" s="885" t="str">
        <f t="shared" si="0"/>
        <v/>
      </c>
      <c r="CG36" s="898" t="str">
        <f>IF(ISBLANK($X36)=FALSE,"NextGenApp Advisory LLC","")</f>
        <v/>
      </c>
      <c r="CH36" s="899" t="str">
        <f>_xlfn.IFNA(INDEX([1]List!AC:AC,MATCH(X36,[1]List!Y:Y,0)),"")</f>
        <v/>
      </c>
      <c r="CI36" s="900"/>
      <c r="CJ36" s="900"/>
      <c r="CK36" s="900"/>
      <c r="CL36" s="900"/>
      <c r="CM36" s="901"/>
      <c r="CN36" s="902"/>
      <c r="CO36" s="903"/>
      <c r="CP36" s="904"/>
      <c r="CQ36" s="892"/>
    </row>
    <row r="37" spans="1:95" x14ac:dyDescent="0.2">
      <c r="A37" s="894" t="str">
        <f>IF('[1]Core Assumptions'!B57="","",'[1]Core Assumptions'!B57)</f>
        <v/>
      </c>
      <c r="B37" s="895"/>
      <c r="C37" s="896"/>
      <c r="D37" s="897"/>
      <c r="E37" s="897"/>
      <c r="F37" s="897"/>
      <c r="G37" s="897"/>
      <c r="H37" s="897"/>
      <c r="I37" s="897"/>
      <c r="J37" s="897"/>
      <c r="K37" s="897"/>
      <c r="L37" s="897"/>
      <c r="M37" s="897"/>
      <c r="N37" s="897"/>
      <c r="O37" s="897"/>
      <c r="P37" s="897"/>
      <c r="Q37" s="897"/>
      <c r="R37" s="897"/>
      <c r="S37" s="897"/>
      <c r="T37" s="897"/>
      <c r="U37" s="895"/>
      <c r="V37" s="852"/>
      <c r="W37" s="853"/>
      <c r="X37" s="853"/>
      <c r="Y37" s="853"/>
      <c r="Z37" s="853"/>
      <c r="AA37" s="853"/>
      <c r="AB37" s="854">
        <f>_xlfn.XLOOKUP(Table17[[#This Row],[Project Delivery Lead]],[1]List!Y:Y,[1]List!AC:AC)</f>
        <v>0</v>
      </c>
      <c r="AC37" s="853" t="str">
        <f>IF($A37="","",'[1]Core Assumptions'!$D57)</f>
        <v/>
      </c>
      <c r="AD37" s="855"/>
      <c r="AE37" s="856"/>
      <c r="AF37" s="857"/>
      <c r="AG37" s="857"/>
      <c r="AH37" s="853"/>
      <c r="AI37" s="858"/>
      <c r="AJ37" s="858"/>
      <c r="AK37" s="858" t="str">
        <f>IF($A37="","",IF('[1]Pricing Summary'!$B$31="T&amp;M","Time and Material","Fixed Fee"))</f>
        <v/>
      </c>
      <c r="AL37" s="856"/>
      <c r="AM37" s="859" t="str">
        <f>IF($A37="","",'[1]Outputs Recap'!$Z96)</f>
        <v/>
      </c>
      <c r="AN37" s="860" t="str">
        <f>IF($A37="","",'[1]Outputs Recap'!$C$12)</f>
        <v/>
      </c>
      <c r="AO37" s="861" t="str">
        <f>IF($A37="","",VLOOKUP('[1]Outputs Recap'!$C$11,[1]List!$I:$J,2,FALSE))</f>
        <v/>
      </c>
      <c r="AP37" s="856" t="str" cm="1">
        <f t="array" ref="AP37">IF($A37="","",_xlfn.IFS('[1]Pricing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7" s="862" t="str">
        <f>IF($A37="","",_xlfn.XLOOKUP('[1]Core Assumptions'!$D$20,'[1]Other Lookups'!$AH:$AH,'[1]Other Lookups'!$AI:$AI))</f>
        <v/>
      </c>
      <c r="AR37" s="863" t="str">
        <f>IF($A37="","",'[1]Outputs Recap'!$AE96)</f>
        <v/>
      </c>
      <c r="AS37" s="864" t="str">
        <f>IF($A37="","",'[1]Outputs Recap'!$C$13)</f>
        <v/>
      </c>
      <c r="AT37" s="865"/>
      <c r="AU37" s="865"/>
      <c r="AV37" s="865" t="str">
        <f>IF($A37="","",IFERROR(+Table17[[#This Row],[Total Contract Amount]]*Table17[[#This Row],[First-year, one-time Onboarding/Setup Fee %]],0))</f>
        <v/>
      </c>
      <c r="AW37" s="866"/>
      <c r="AX37" s="867"/>
      <c r="AY37" s="868"/>
      <c r="AZ37" s="869"/>
      <c r="BA37" s="870"/>
      <c r="BB37" s="871"/>
      <c r="BC37" s="872"/>
      <c r="BD37" s="872"/>
      <c r="BE37" s="872"/>
      <c r="BF37" s="872"/>
      <c r="BG37" s="872"/>
      <c r="BH37" s="872"/>
      <c r="BI37" s="873"/>
      <c r="BJ37" s="874"/>
      <c r="BK37" s="874"/>
      <c r="BL37" s="875"/>
      <c r="BM37" s="876"/>
      <c r="BN37" s="877"/>
      <c r="BO37" s="878"/>
      <c r="BP37" s="879"/>
      <c r="BQ37" s="880"/>
      <c r="BR37" s="881"/>
      <c r="BS37" s="882"/>
      <c r="BT37" s="883"/>
      <c r="BU37" s="884"/>
      <c r="BV37" s="884"/>
      <c r="BW37" s="884"/>
      <c r="BX37" s="884"/>
      <c r="BY37" s="884"/>
      <c r="BZ37" s="884"/>
      <c r="CA37" s="884"/>
      <c r="CB37" s="884"/>
      <c r="CC37" s="884"/>
      <c r="CD37" s="884"/>
      <c r="CE37" s="885"/>
      <c r="CF37" s="885" t="str">
        <f t="shared" si="0"/>
        <v/>
      </c>
      <c r="CG37" s="898" t="str">
        <f>IF(ISBLANK($X37)=FALSE,"NextGenApp Advisory LLC","")</f>
        <v/>
      </c>
      <c r="CH37" s="899" t="str">
        <f>_xlfn.IFNA(INDEX([1]List!AC:AC,MATCH(X37,[1]List!Y:Y,0)),"")</f>
        <v/>
      </c>
      <c r="CI37" s="900"/>
      <c r="CJ37" s="900"/>
      <c r="CK37" s="900"/>
      <c r="CL37" s="900"/>
      <c r="CM37" s="901"/>
      <c r="CN37" s="902"/>
      <c r="CO37" s="903"/>
      <c r="CP37" s="904"/>
      <c r="CQ37" s="892"/>
    </row>
    <row r="38" spans="1:95" x14ac:dyDescent="0.2">
      <c r="A38" s="894" t="str">
        <f>IF('[1]Core Assumptions'!B58="","",'[1]Core Assumptions'!B58)</f>
        <v/>
      </c>
      <c r="B38" s="895"/>
      <c r="C38" s="896"/>
      <c r="D38" s="897"/>
      <c r="E38" s="897"/>
      <c r="F38" s="897"/>
      <c r="G38" s="897"/>
      <c r="H38" s="897"/>
      <c r="I38" s="897"/>
      <c r="J38" s="897"/>
      <c r="K38" s="897"/>
      <c r="L38" s="897"/>
      <c r="M38" s="897"/>
      <c r="N38" s="897"/>
      <c r="O38" s="897"/>
      <c r="P38" s="897"/>
      <c r="Q38" s="897"/>
      <c r="R38" s="897"/>
      <c r="S38" s="897"/>
      <c r="T38" s="897"/>
      <c r="U38" s="895"/>
      <c r="V38" s="852"/>
      <c r="W38" s="853"/>
      <c r="X38" s="853"/>
      <c r="Y38" s="853"/>
      <c r="Z38" s="853"/>
      <c r="AA38" s="853"/>
      <c r="AB38" s="854">
        <f>_xlfn.XLOOKUP(Table17[[#This Row],[Project Delivery Lead]],[1]List!Y:Y,[1]List!AC:AC)</f>
        <v>0</v>
      </c>
      <c r="AC38" s="853" t="str">
        <f>IF($A38="","",'[1]Core Assumptions'!$D58)</f>
        <v/>
      </c>
      <c r="AD38" s="855"/>
      <c r="AE38" s="856"/>
      <c r="AF38" s="857"/>
      <c r="AG38" s="857"/>
      <c r="AH38" s="853"/>
      <c r="AI38" s="858"/>
      <c r="AJ38" s="858"/>
      <c r="AK38" s="858" t="str">
        <f>IF($A38="","",IF('[1]Pricing Summary'!$B$31="T&amp;M","Time and Material","Fixed Fee"))</f>
        <v/>
      </c>
      <c r="AL38" s="856"/>
      <c r="AM38" s="859" t="str">
        <f>IF($A38="","",'[1]Outputs Recap'!$Z97)</f>
        <v/>
      </c>
      <c r="AN38" s="860" t="str">
        <f>IF($A38="","",'[1]Outputs Recap'!$C$12)</f>
        <v/>
      </c>
      <c r="AO38" s="861" t="str">
        <f>IF($A38="","",VLOOKUP('[1]Outputs Recap'!$C$11,[1]List!$I:$J,2,FALSE))</f>
        <v/>
      </c>
      <c r="AP38" s="856" t="str" cm="1">
        <f t="array" ref="AP38">IF($A38="","",_xlfn.IFS('[1]Pricing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8" s="862" t="str">
        <f>IF($A38="","",_xlfn.XLOOKUP('[1]Core Assumptions'!$D$20,'[1]Other Lookups'!$AH:$AH,'[1]Other Lookups'!$AI:$AI))</f>
        <v/>
      </c>
      <c r="AR38" s="863" t="str">
        <f>IF($A38="","",'[1]Outputs Recap'!$AE97)</f>
        <v/>
      </c>
      <c r="AS38" s="864" t="str">
        <f>IF($A38="","",'[1]Outputs Recap'!$C$13)</f>
        <v/>
      </c>
      <c r="AT38" s="865"/>
      <c r="AU38" s="865"/>
      <c r="AV38" s="865" t="str">
        <f>IF($A38="","",IFERROR(+Table17[[#This Row],[Total Contract Amount]]*Table17[[#This Row],[First-year, one-time Onboarding/Setup Fee %]],0))</f>
        <v/>
      </c>
      <c r="AW38" s="866"/>
      <c r="AX38" s="867"/>
      <c r="AY38" s="868"/>
      <c r="AZ38" s="869"/>
      <c r="BA38" s="870"/>
      <c r="BB38" s="871"/>
      <c r="BC38" s="872"/>
      <c r="BD38" s="872"/>
      <c r="BE38" s="872"/>
      <c r="BF38" s="872"/>
      <c r="BG38" s="872"/>
      <c r="BH38" s="872"/>
      <c r="BI38" s="873"/>
      <c r="BJ38" s="874"/>
      <c r="BK38" s="874"/>
      <c r="BL38" s="875"/>
      <c r="BM38" s="876"/>
      <c r="BN38" s="877"/>
      <c r="BO38" s="878"/>
      <c r="BP38" s="879"/>
      <c r="BQ38" s="880"/>
      <c r="BR38" s="881"/>
      <c r="BS38" s="882"/>
      <c r="BT38" s="883"/>
      <c r="BU38" s="884"/>
      <c r="BV38" s="884"/>
      <c r="BW38" s="884"/>
      <c r="BX38" s="884"/>
      <c r="BY38" s="884"/>
      <c r="BZ38" s="884"/>
      <c r="CA38" s="884"/>
      <c r="CB38" s="884"/>
      <c r="CC38" s="884"/>
      <c r="CD38" s="884"/>
      <c r="CE38" s="885"/>
      <c r="CF38" s="885" t="str">
        <f t="shared" si="0"/>
        <v/>
      </c>
      <c r="CG38" s="898" t="str">
        <f>IF(ISBLANK($X38)=FALSE,"NextGenApp Advisory LLC","")</f>
        <v/>
      </c>
      <c r="CH38" s="899" t="str">
        <f>_xlfn.IFNA(INDEX([1]List!AC:AC,MATCH(X38,[1]List!Y:Y,0)),"")</f>
        <v/>
      </c>
      <c r="CI38" s="900"/>
      <c r="CJ38" s="900"/>
      <c r="CK38" s="900"/>
      <c r="CL38" s="900"/>
      <c r="CM38" s="901"/>
      <c r="CN38" s="902"/>
      <c r="CO38" s="903"/>
      <c r="CP38" s="904"/>
      <c r="CQ38" s="892"/>
    </row>
    <row r="39" spans="1:95" x14ac:dyDescent="0.2">
      <c r="A39" s="894" t="str">
        <f>IF('[1]Core Assumptions'!B59="","",'[1]Core Assumptions'!B59)</f>
        <v/>
      </c>
      <c r="B39" s="895"/>
      <c r="C39" s="896"/>
      <c r="D39" s="897"/>
      <c r="E39" s="897"/>
      <c r="F39" s="897"/>
      <c r="G39" s="897"/>
      <c r="H39" s="897"/>
      <c r="I39" s="897"/>
      <c r="J39" s="897"/>
      <c r="K39" s="897"/>
      <c r="L39" s="897"/>
      <c r="M39" s="897"/>
      <c r="N39" s="897"/>
      <c r="O39" s="897"/>
      <c r="P39" s="897"/>
      <c r="Q39" s="897"/>
      <c r="R39" s="897"/>
      <c r="S39" s="897"/>
      <c r="T39" s="897"/>
      <c r="U39" s="895"/>
      <c r="V39" s="852"/>
      <c r="W39" s="853"/>
      <c r="X39" s="853"/>
      <c r="Y39" s="853"/>
      <c r="Z39" s="853"/>
      <c r="AA39" s="853"/>
      <c r="AB39" s="854">
        <f>_xlfn.XLOOKUP(Table17[[#This Row],[Project Delivery Lead]],[1]List!Y:Y,[1]List!AC:AC)</f>
        <v>0</v>
      </c>
      <c r="AC39" s="853" t="str">
        <f>IF($A39="","",'[1]Core Assumptions'!$D59)</f>
        <v/>
      </c>
      <c r="AD39" s="855"/>
      <c r="AE39" s="856"/>
      <c r="AF39" s="857"/>
      <c r="AG39" s="857"/>
      <c r="AH39" s="853"/>
      <c r="AI39" s="858"/>
      <c r="AJ39" s="858"/>
      <c r="AK39" s="858" t="str">
        <f>IF($A39="","",IF('[1]Pricing Summary'!$B$31="T&amp;M","Time and Material","Fixed Fee"))</f>
        <v/>
      </c>
      <c r="AL39" s="856"/>
      <c r="AM39" s="859" t="str">
        <f>IF($A39="","",'[1]Outputs Recap'!$Z98)</f>
        <v/>
      </c>
      <c r="AN39" s="860" t="str">
        <f>IF($A39="","",'[1]Outputs Recap'!$C$12)</f>
        <v/>
      </c>
      <c r="AO39" s="861" t="str">
        <f>IF($A39="","",VLOOKUP('[1]Outputs Recap'!$C$11,[1]List!$I:$J,2,FALSE))</f>
        <v/>
      </c>
      <c r="AP39" s="856" t="str" cm="1">
        <f t="array" ref="AP39">IF($A39="","",_xlfn.IFS('[1]Pricing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39" s="862" t="str">
        <f>IF($A39="","",_xlfn.XLOOKUP('[1]Core Assumptions'!$D$20,'[1]Other Lookups'!$AH:$AH,'[1]Other Lookups'!$AI:$AI))</f>
        <v/>
      </c>
      <c r="AR39" s="863" t="str">
        <f>IF($A39="","",'[1]Outputs Recap'!$AE98)</f>
        <v/>
      </c>
      <c r="AS39" s="864" t="str">
        <f>IF($A39="","",'[1]Outputs Recap'!$C$13)</f>
        <v/>
      </c>
      <c r="AT39" s="865"/>
      <c r="AU39" s="865"/>
      <c r="AV39" s="865" t="str">
        <f>IF($A39="","",IFERROR(+Table17[[#This Row],[Total Contract Amount]]*Table17[[#This Row],[First-year, one-time Onboarding/Setup Fee %]],0))</f>
        <v/>
      </c>
      <c r="AW39" s="866"/>
      <c r="AX39" s="867"/>
      <c r="AY39" s="868"/>
      <c r="AZ39" s="869"/>
      <c r="BA39" s="870"/>
      <c r="BB39" s="871"/>
      <c r="BC39" s="872"/>
      <c r="BD39" s="872"/>
      <c r="BE39" s="872"/>
      <c r="BF39" s="872"/>
      <c r="BG39" s="872"/>
      <c r="BH39" s="872"/>
      <c r="BI39" s="873"/>
      <c r="BJ39" s="874"/>
      <c r="BK39" s="874"/>
      <c r="BL39" s="875"/>
      <c r="BM39" s="876"/>
      <c r="BN39" s="877"/>
      <c r="BO39" s="878"/>
      <c r="BP39" s="879"/>
      <c r="BQ39" s="880"/>
      <c r="BR39" s="881"/>
      <c r="BS39" s="882"/>
      <c r="BT39" s="883"/>
      <c r="BU39" s="884"/>
      <c r="BV39" s="884"/>
      <c r="BW39" s="884"/>
      <c r="BX39" s="884"/>
      <c r="BY39" s="884"/>
      <c r="BZ39" s="884"/>
      <c r="CA39" s="884"/>
      <c r="CB39" s="884"/>
      <c r="CC39" s="884"/>
      <c r="CD39" s="884"/>
      <c r="CE39" s="885"/>
      <c r="CF39" s="885" t="str">
        <f t="shared" si="0"/>
        <v/>
      </c>
      <c r="CG39" s="898" t="str">
        <f>IF(ISBLANK($X39)=FALSE,"NextGenApp Advisory LLC","")</f>
        <v/>
      </c>
      <c r="CH39" s="899" t="str">
        <f>_xlfn.IFNA(INDEX([1]List!AC:AC,MATCH(X39,[1]List!Y:Y,0)),"")</f>
        <v/>
      </c>
      <c r="CI39" s="900"/>
      <c r="CJ39" s="900"/>
      <c r="CK39" s="900"/>
      <c r="CL39" s="900"/>
      <c r="CM39" s="901"/>
      <c r="CN39" s="902"/>
      <c r="CO39" s="903"/>
      <c r="CP39" s="904"/>
      <c r="CQ39" s="892"/>
    </row>
    <row r="40" spans="1:95" x14ac:dyDescent="0.2">
      <c r="A40" s="894" t="str">
        <f>IF('[1]Core Assumptions'!B60="","",'[1]Core Assumptions'!B60)</f>
        <v/>
      </c>
      <c r="B40" s="895"/>
      <c r="C40" s="896"/>
      <c r="D40" s="897"/>
      <c r="E40" s="897"/>
      <c r="F40" s="897"/>
      <c r="G40" s="897"/>
      <c r="H40" s="897"/>
      <c r="I40" s="897"/>
      <c r="J40" s="897"/>
      <c r="K40" s="897"/>
      <c r="L40" s="897"/>
      <c r="M40" s="897"/>
      <c r="N40" s="897"/>
      <c r="O40" s="897"/>
      <c r="P40" s="897"/>
      <c r="Q40" s="897"/>
      <c r="R40" s="897"/>
      <c r="S40" s="897"/>
      <c r="T40" s="897"/>
      <c r="U40" s="895"/>
      <c r="V40" s="852"/>
      <c r="W40" s="853"/>
      <c r="X40" s="853"/>
      <c r="Y40" s="853"/>
      <c r="Z40" s="853"/>
      <c r="AA40" s="853"/>
      <c r="AB40" s="854">
        <f>_xlfn.XLOOKUP(Table17[[#This Row],[Project Delivery Lead]],[1]List!Y:Y,[1]List!AC:AC)</f>
        <v>0</v>
      </c>
      <c r="AC40" s="853" t="str">
        <f>IF($A40="","",'[1]Core Assumptions'!$D60)</f>
        <v/>
      </c>
      <c r="AD40" s="855"/>
      <c r="AE40" s="856"/>
      <c r="AF40" s="857"/>
      <c r="AG40" s="857"/>
      <c r="AH40" s="853"/>
      <c r="AI40" s="858"/>
      <c r="AJ40" s="858"/>
      <c r="AK40" s="858" t="str">
        <f>IF($A40="","",IF('[1]Pricing Summary'!$B$31="T&amp;M","Time and Material","Fixed Fee"))</f>
        <v/>
      </c>
      <c r="AL40" s="856"/>
      <c r="AM40" s="859" t="str">
        <f>IF($A40="","",'[1]Outputs Recap'!$Z99)</f>
        <v/>
      </c>
      <c r="AN40" s="860" t="str">
        <f>IF($A40="","",'[1]Outputs Recap'!$C$12)</f>
        <v/>
      </c>
      <c r="AO40" s="861" t="str">
        <f>IF($A40="","",VLOOKUP('[1]Outputs Recap'!$C$11,[1]List!$I:$J,2,FALSE))</f>
        <v/>
      </c>
      <c r="AP40" s="856" t="str" cm="1">
        <f t="array" ref="AP40">IF($A40="","",_xlfn.IFS('[1]Pricing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0" s="862" t="str">
        <f>IF($A40="","",_xlfn.XLOOKUP('[1]Core Assumptions'!$D$20,'[1]Other Lookups'!$AH:$AH,'[1]Other Lookups'!$AI:$AI))</f>
        <v/>
      </c>
      <c r="AR40" s="863" t="str">
        <f>IF($A40="","",'[1]Outputs Recap'!$AE99)</f>
        <v/>
      </c>
      <c r="AS40" s="864" t="str">
        <f>IF($A40="","",'[1]Outputs Recap'!$C$13)</f>
        <v/>
      </c>
      <c r="AT40" s="865"/>
      <c r="AU40" s="865"/>
      <c r="AV40" s="865" t="str">
        <f>IF($A40="","",IFERROR(+Table17[[#This Row],[Total Contract Amount]]*Table17[[#This Row],[First-year, one-time Onboarding/Setup Fee %]],0))</f>
        <v/>
      </c>
      <c r="AW40" s="866"/>
      <c r="AX40" s="867"/>
      <c r="AY40" s="868"/>
      <c r="AZ40" s="869"/>
      <c r="BA40" s="870"/>
      <c r="BB40" s="871"/>
      <c r="BC40" s="872"/>
      <c r="BD40" s="872"/>
      <c r="BE40" s="872"/>
      <c r="BF40" s="872"/>
      <c r="BG40" s="872"/>
      <c r="BH40" s="872"/>
      <c r="BI40" s="873"/>
      <c r="BJ40" s="874"/>
      <c r="BK40" s="874"/>
      <c r="BL40" s="875"/>
      <c r="BM40" s="876"/>
      <c r="BN40" s="877"/>
      <c r="BO40" s="878"/>
      <c r="BP40" s="879"/>
      <c r="BQ40" s="880"/>
      <c r="BR40" s="881"/>
      <c r="BS40" s="882"/>
      <c r="BT40" s="883"/>
      <c r="BU40" s="884"/>
      <c r="BV40" s="884"/>
      <c r="BW40" s="884"/>
      <c r="BX40" s="884"/>
      <c r="BY40" s="884"/>
      <c r="BZ40" s="884"/>
      <c r="CA40" s="884"/>
      <c r="CB40" s="884"/>
      <c r="CC40" s="884"/>
      <c r="CD40" s="884"/>
      <c r="CE40" s="885"/>
      <c r="CF40" s="885" t="str">
        <f t="shared" si="0"/>
        <v/>
      </c>
      <c r="CG40" s="898" t="str">
        <f>IF(ISBLANK($X40)=FALSE,"NextGenApp Advisory LLC","")</f>
        <v/>
      </c>
      <c r="CH40" s="899" t="str">
        <f>_xlfn.IFNA(INDEX([1]List!AC:AC,MATCH(X40,[1]List!Y:Y,0)),"")</f>
        <v/>
      </c>
      <c r="CI40" s="900"/>
      <c r="CJ40" s="900"/>
      <c r="CK40" s="900"/>
      <c r="CL40" s="900"/>
      <c r="CM40" s="901"/>
      <c r="CN40" s="902"/>
      <c r="CO40" s="903"/>
      <c r="CP40" s="904"/>
      <c r="CQ40" s="892"/>
    </row>
    <row r="41" spans="1:95" x14ac:dyDescent="0.2">
      <c r="A41" s="894" t="str">
        <f>IF('[1]Core Assumptions'!B61="","",'[1]Core Assumptions'!B61)</f>
        <v/>
      </c>
      <c r="B41" s="895"/>
      <c r="C41" s="896"/>
      <c r="D41" s="897"/>
      <c r="E41" s="897"/>
      <c r="F41" s="897"/>
      <c r="G41" s="897"/>
      <c r="H41" s="897"/>
      <c r="I41" s="897"/>
      <c r="J41" s="897"/>
      <c r="K41" s="897"/>
      <c r="L41" s="897"/>
      <c r="M41" s="897"/>
      <c r="N41" s="897"/>
      <c r="O41" s="897"/>
      <c r="P41" s="897"/>
      <c r="Q41" s="897"/>
      <c r="R41" s="897"/>
      <c r="S41" s="897"/>
      <c r="T41" s="897"/>
      <c r="U41" s="895"/>
      <c r="V41" s="852"/>
      <c r="W41" s="853"/>
      <c r="X41" s="853"/>
      <c r="Y41" s="853"/>
      <c r="Z41" s="853"/>
      <c r="AA41" s="853"/>
      <c r="AB41" s="854">
        <f>_xlfn.XLOOKUP(Table17[[#This Row],[Project Delivery Lead]],[1]List!Y:Y,[1]List!AC:AC)</f>
        <v>0</v>
      </c>
      <c r="AC41" s="853" t="str">
        <f>IF($A41="","",'[1]Core Assumptions'!$D61)</f>
        <v/>
      </c>
      <c r="AD41" s="855"/>
      <c r="AE41" s="856"/>
      <c r="AF41" s="857"/>
      <c r="AG41" s="857"/>
      <c r="AH41" s="853"/>
      <c r="AI41" s="858"/>
      <c r="AJ41" s="858"/>
      <c r="AK41" s="858" t="str">
        <f>IF($A41="","",IF('[1]Pricing Summary'!$B$31="T&amp;M","Time and Material","Fixed Fee"))</f>
        <v/>
      </c>
      <c r="AL41" s="856"/>
      <c r="AM41" s="859" t="str">
        <f>IF($A41="","",'[1]Outputs Recap'!$Z100)</f>
        <v/>
      </c>
      <c r="AN41" s="860" t="str">
        <f>IF($A41="","",'[1]Outputs Recap'!$C$12)</f>
        <v/>
      </c>
      <c r="AO41" s="861" t="str">
        <f>IF($A41="","",VLOOKUP('[1]Outputs Recap'!$C$11,[1]List!$I:$J,2,FALSE))</f>
        <v/>
      </c>
      <c r="AP41" s="856" t="str" cm="1">
        <f t="array" ref="AP41">IF($A41="","",_xlfn.IFS('[1]Pricing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1" s="862" t="str">
        <f>IF($A41="","",_xlfn.XLOOKUP('[1]Core Assumptions'!$D$20,'[1]Other Lookups'!$AH:$AH,'[1]Other Lookups'!$AI:$AI))</f>
        <v/>
      </c>
      <c r="AR41" s="863" t="str">
        <f>IF($A41="","",'[1]Outputs Recap'!$AE100)</f>
        <v/>
      </c>
      <c r="AS41" s="864" t="str">
        <f>IF($A41="","",'[1]Outputs Recap'!$C$13)</f>
        <v/>
      </c>
      <c r="AT41" s="865"/>
      <c r="AU41" s="865"/>
      <c r="AV41" s="865" t="str">
        <f>IF($A41="","",IFERROR(+Table17[[#This Row],[Total Contract Amount]]*Table17[[#This Row],[First-year, one-time Onboarding/Setup Fee %]],0))</f>
        <v/>
      </c>
      <c r="AW41" s="866"/>
      <c r="AX41" s="867"/>
      <c r="AY41" s="868"/>
      <c r="AZ41" s="869"/>
      <c r="BA41" s="870"/>
      <c r="BB41" s="871"/>
      <c r="BC41" s="872"/>
      <c r="BD41" s="872"/>
      <c r="BE41" s="872"/>
      <c r="BF41" s="872"/>
      <c r="BG41" s="872"/>
      <c r="BH41" s="872"/>
      <c r="BI41" s="873"/>
      <c r="BJ41" s="874"/>
      <c r="BK41" s="874"/>
      <c r="BL41" s="875"/>
      <c r="BM41" s="876"/>
      <c r="BN41" s="877"/>
      <c r="BO41" s="878"/>
      <c r="BP41" s="879"/>
      <c r="BQ41" s="880"/>
      <c r="BR41" s="881"/>
      <c r="BS41" s="882"/>
      <c r="BT41" s="883"/>
      <c r="BU41" s="884"/>
      <c r="BV41" s="884"/>
      <c r="BW41" s="884"/>
      <c r="BX41" s="884"/>
      <c r="BY41" s="884"/>
      <c r="BZ41" s="884"/>
      <c r="CA41" s="884"/>
      <c r="CB41" s="884"/>
      <c r="CC41" s="884"/>
      <c r="CD41" s="884"/>
      <c r="CE41" s="885"/>
      <c r="CF41" s="885" t="str">
        <f t="shared" si="0"/>
        <v/>
      </c>
      <c r="CG41" s="898" t="str">
        <f>IF(ISBLANK($X41)=FALSE,"NextGenApp Advisory LLC","")</f>
        <v/>
      </c>
      <c r="CH41" s="899" t="str">
        <f>_xlfn.IFNA(INDEX([1]List!AC:AC,MATCH(X41,[1]List!Y:Y,0)),"")</f>
        <v/>
      </c>
      <c r="CI41" s="900"/>
      <c r="CJ41" s="900"/>
      <c r="CK41" s="900"/>
      <c r="CL41" s="900"/>
      <c r="CM41" s="901"/>
      <c r="CN41" s="902"/>
      <c r="CO41" s="903"/>
      <c r="CP41" s="904"/>
      <c r="CQ41" s="892"/>
    </row>
    <row r="42" spans="1:95" x14ac:dyDescent="0.2">
      <c r="A42" s="894" t="str">
        <f>IF('[1]Core Assumptions'!B62="","",'[1]Core Assumptions'!B62)</f>
        <v/>
      </c>
      <c r="B42" s="895"/>
      <c r="C42" s="896"/>
      <c r="D42" s="897"/>
      <c r="E42" s="897"/>
      <c r="F42" s="897"/>
      <c r="G42" s="897"/>
      <c r="H42" s="897"/>
      <c r="I42" s="897"/>
      <c r="J42" s="897"/>
      <c r="K42" s="897"/>
      <c r="L42" s="897"/>
      <c r="M42" s="897"/>
      <c r="N42" s="897"/>
      <c r="O42" s="897"/>
      <c r="P42" s="897"/>
      <c r="Q42" s="897"/>
      <c r="R42" s="897"/>
      <c r="S42" s="897"/>
      <c r="T42" s="897"/>
      <c r="U42" s="895"/>
      <c r="V42" s="852"/>
      <c r="W42" s="853"/>
      <c r="X42" s="853"/>
      <c r="Y42" s="853"/>
      <c r="Z42" s="853"/>
      <c r="AA42" s="853"/>
      <c r="AB42" s="854">
        <f>_xlfn.XLOOKUP(Table17[[#This Row],[Project Delivery Lead]],[1]List!Y:Y,[1]List!AC:AC)</f>
        <v>0</v>
      </c>
      <c r="AC42" s="853" t="str">
        <f>IF($A42="","",'[1]Core Assumptions'!$D62)</f>
        <v/>
      </c>
      <c r="AD42" s="855"/>
      <c r="AE42" s="856"/>
      <c r="AF42" s="857"/>
      <c r="AG42" s="857"/>
      <c r="AH42" s="853"/>
      <c r="AI42" s="858"/>
      <c r="AJ42" s="858"/>
      <c r="AK42" s="858" t="str">
        <f>IF($A42="","",IF('[1]Pricing Summary'!$B$31="T&amp;M","Time and Material","Fixed Fee"))</f>
        <v/>
      </c>
      <c r="AL42" s="856"/>
      <c r="AM42" s="859" t="str">
        <f>IF($A42="","",'[1]Outputs Recap'!$Z101)</f>
        <v/>
      </c>
      <c r="AN42" s="860" t="str">
        <f>IF($A42="","",'[1]Outputs Recap'!$C$12)</f>
        <v/>
      </c>
      <c r="AO42" s="861" t="str">
        <f>IF($A42="","",VLOOKUP('[1]Outputs Recap'!$C$11,[1]List!$I:$J,2,FALSE))</f>
        <v/>
      </c>
      <c r="AP42" s="856" t="str" cm="1">
        <f t="array" ref="AP42">IF($A42="","",_xlfn.IFS('[1]Pricing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2" s="862" t="str">
        <f>IF($A42="","",_xlfn.XLOOKUP('[1]Core Assumptions'!$D$20,'[1]Other Lookups'!$AH:$AH,'[1]Other Lookups'!$AI:$AI))</f>
        <v/>
      </c>
      <c r="AR42" s="863" t="str">
        <f>IF($A42="","",'[1]Outputs Recap'!$AE101)</f>
        <v/>
      </c>
      <c r="AS42" s="864" t="str">
        <f>IF($A42="","",'[1]Outputs Recap'!$C$13)</f>
        <v/>
      </c>
      <c r="AT42" s="865"/>
      <c r="AU42" s="865"/>
      <c r="AV42" s="865" t="str">
        <f>IF($A42="","",IFERROR(+Table17[[#This Row],[Total Contract Amount]]*Table17[[#This Row],[First-year, one-time Onboarding/Setup Fee %]],0))</f>
        <v/>
      </c>
      <c r="AW42" s="866"/>
      <c r="AX42" s="867"/>
      <c r="AY42" s="868"/>
      <c r="AZ42" s="869"/>
      <c r="BA42" s="870"/>
      <c r="BB42" s="871"/>
      <c r="BC42" s="872"/>
      <c r="BD42" s="872"/>
      <c r="BE42" s="872"/>
      <c r="BF42" s="872"/>
      <c r="BG42" s="872"/>
      <c r="BH42" s="872"/>
      <c r="BI42" s="873"/>
      <c r="BJ42" s="874"/>
      <c r="BK42" s="874"/>
      <c r="BL42" s="875"/>
      <c r="BM42" s="876"/>
      <c r="BN42" s="877"/>
      <c r="BO42" s="878"/>
      <c r="BP42" s="879"/>
      <c r="BQ42" s="880"/>
      <c r="BR42" s="881"/>
      <c r="BS42" s="882"/>
      <c r="BT42" s="883"/>
      <c r="BU42" s="884"/>
      <c r="BV42" s="884"/>
      <c r="BW42" s="884"/>
      <c r="BX42" s="884"/>
      <c r="BY42" s="884"/>
      <c r="BZ42" s="884"/>
      <c r="CA42" s="884"/>
      <c r="CB42" s="884"/>
      <c r="CC42" s="884"/>
      <c r="CD42" s="884"/>
      <c r="CE42" s="885"/>
      <c r="CF42" s="885" t="str">
        <f t="shared" si="0"/>
        <v/>
      </c>
      <c r="CG42" s="898" t="str">
        <f>IF(ISBLANK($X42)=FALSE,"NextGenApp Advisory LLC","")</f>
        <v/>
      </c>
      <c r="CH42" s="899" t="str">
        <f>_xlfn.IFNA(INDEX([1]List!AC:AC,MATCH(X42,[1]List!Y:Y,0)),"")</f>
        <v/>
      </c>
      <c r="CI42" s="900"/>
      <c r="CJ42" s="900"/>
      <c r="CK42" s="900"/>
      <c r="CL42" s="900"/>
      <c r="CM42" s="901"/>
      <c r="CN42" s="902"/>
      <c r="CO42" s="903"/>
      <c r="CP42" s="904"/>
      <c r="CQ42" s="892"/>
    </row>
    <row r="43" spans="1:95" x14ac:dyDescent="0.2">
      <c r="A43" s="894" t="str">
        <f>IF('[1]Core Assumptions'!B63="","",'[1]Core Assumptions'!B63)</f>
        <v/>
      </c>
      <c r="B43" s="895"/>
      <c r="C43" s="896"/>
      <c r="D43" s="897"/>
      <c r="E43" s="897"/>
      <c r="F43" s="897"/>
      <c r="G43" s="897"/>
      <c r="H43" s="897"/>
      <c r="I43" s="897"/>
      <c r="J43" s="897"/>
      <c r="K43" s="897"/>
      <c r="L43" s="897"/>
      <c r="M43" s="897"/>
      <c r="N43" s="897"/>
      <c r="O43" s="897"/>
      <c r="P43" s="897"/>
      <c r="Q43" s="897"/>
      <c r="R43" s="897"/>
      <c r="S43" s="897"/>
      <c r="T43" s="897"/>
      <c r="U43" s="895"/>
      <c r="V43" s="852"/>
      <c r="W43" s="853"/>
      <c r="X43" s="853"/>
      <c r="Y43" s="853"/>
      <c r="Z43" s="853"/>
      <c r="AA43" s="853"/>
      <c r="AB43" s="854">
        <f>_xlfn.XLOOKUP(Table17[[#This Row],[Project Delivery Lead]],[1]List!Y:Y,[1]List!AC:AC)</f>
        <v>0</v>
      </c>
      <c r="AC43" s="853" t="str">
        <f>IF($A43="","",'[1]Core Assumptions'!$D63)</f>
        <v/>
      </c>
      <c r="AD43" s="855"/>
      <c r="AE43" s="856"/>
      <c r="AF43" s="857"/>
      <c r="AG43" s="857"/>
      <c r="AH43" s="853"/>
      <c r="AI43" s="858"/>
      <c r="AJ43" s="858"/>
      <c r="AK43" s="858" t="str">
        <f>IF($A43="","",IF('[1]Pricing Summary'!$B$31="T&amp;M","Time and Material","Fixed Fee"))</f>
        <v/>
      </c>
      <c r="AL43" s="856"/>
      <c r="AM43" s="859" t="str">
        <f>IF($A43="","",'[1]Outputs Recap'!$Z102)</f>
        <v/>
      </c>
      <c r="AN43" s="860" t="str">
        <f>IF($A43="","",'[1]Outputs Recap'!$C$12)</f>
        <v/>
      </c>
      <c r="AO43" s="861" t="str">
        <f>IF($A43="","",VLOOKUP('[1]Outputs Recap'!$C$11,[1]List!$I:$J,2,FALSE))</f>
        <v/>
      </c>
      <c r="AP43" s="856" t="str" cm="1">
        <f t="array" ref="AP43">IF($A43="","",_xlfn.IFS('[1]Pricing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3" s="862" t="str">
        <f>IF($A43="","",_xlfn.XLOOKUP('[1]Core Assumptions'!$D$20,'[1]Other Lookups'!$AH:$AH,'[1]Other Lookups'!$AI:$AI))</f>
        <v/>
      </c>
      <c r="AR43" s="863" t="str">
        <f>IF($A43="","",'[1]Outputs Recap'!$AE102)</f>
        <v/>
      </c>
      <c r="AS43" s="864" t="str">
        <f>IF($A43="","",'[1]Outputs Recap'!$C$13)</f>
        <v/>
      </c>
      <c r="AT43" s="865"/>
      <c r="AU43" s="865"/>
      <c r="AV43" s="865" t="str">
        <f>IF($A43="","",IFERROR(+Table17[[#This Row],[Total Contract Amount]]*Table17[[#This Row],[First-year, one-time Onboarding/Setup Fee %]],0))</f>
        <v/>
      </c>
      <c r="AW43" s="866"/>
      <c r="AX43" s="867"/>
      <c r="AY43" s="868"/>
      <c r="AZ43" s="869"/>
      <c r="BA43" s="870"/>
      <c r="BB43" s="871"/>
      <c r="BC43" s="872"/>
      <c r="BD43" s="872"/>
      <c r="BE43" s="872"/>
      <c r="BF43" s="872"/>
      <c r="BG43" s="872"/>
      <c r="BH43" s="872"/>
      <c r="BI43" s="873"/>
      <c r="BJ43" s="874"/>
      <c r="BK43" s="874"/>
      <c r="BL43" s="875"/>
      <c r="BM43" s="876"/>
      <c r="BN43" s="877"/>
      <c r="BO43" s="878"/>
      <c r="BP43" s="879"/>
      <c r="BQ43" s="880"/>
      <c r="BR43" s="881"/>
      <c r="BS43" s="882"/>
      <c r="BT43" s="883"/>
      <c r="BU43" s="884"/>
      <c r="BV43" s="884"/>
      <c r="BW43" s="884"/>
      <c r="BX43" s="884"/>
      <c r="BY43" s="884"/>
      <c r="BZ43" s="884"/>
      <c r="CA43" s="884"/>
      <c r="CB43" s="884"/>
      <c r="CC43" s="884"/>
      <c r="CD43" s="884"/>
      <c r="CE43" s="885"/>
      <c r="CF43" s="885" t="str">
        <f t="shared" si="0"/>
        <v/>
      </c>
      <c r="CG43" s="898" t="str">
        <f>IF(ISBLANK($X43)=FALSE,"NextGenApp Advisory LLC","")</f>
        <v/>
      </c>
      <c r="CH43" s="899" t="str">
        <f>_xlfn.IFNA(INDEX([1]List!AC:AC,MATCH(X43,[1]List!Y:Y,0)),"")</f>
        <v/>
      </c>
      <c r="CI43" s="900"/>
      <c r="CJ43" s="900"/>
      <c r="CK43" s="900"/>
      <c r="CL43" s="900"/>
      <c r="CM43" s="901"/>
      <c r="CN43" s="902"/>
      <c r="CO43" s="903"/>
      <c r="CP43" s="904"/>
      <c r="CQ43" s="892"/>
    </row>
    <row r="44" spans="1:95" x14ac:dyDescent="0.2">
      <c r="A44" s="894" t="str">
        <f>IF('[1]Core Assumptions'!B64="","",'[1]Core Assumptions'!B64)</f>
        <v/>
      </c>
      <c r="B44" s="895"/>
      <c r="C44" s="896"/>
      <c r="D44" s="897"/>
      <c r="E44" s="897"/>
      <c r="F44" s="897"/>
      <c r="G44" s="897"/>
      <c r="H44" s="897"/>
      <c r="I44" s="897"/>
      <c r="J44" s="897"/>
      <c r="K44" s="897"/>
      <c r="L44" s="897"/>
      <c r="M44" s="897"/>
      <c r="N44" s="897"/>
      <c r="O44" s="897"/>
      <c r="P44" s="897"/>
      <c r="Q44" s="897"/>
      <c r="R44" s="897"/>
      <c r="S44" s="897"/>
      <c r="T44" s="897"/>
      <c r="U44" s="895"/>
      <c r="V44" s="852"/>
      <c r="W44" s="853"/>
      <c r="X44" s="853"/>
      <c r="Y44" s="853"/>
      <c r="Z44" s="853"/>
      <c r="AA44" s="853"/>
      <c r="AB44" s="854">
        <f>_xlfn.XLOOKUP(Table17[[#This Row],[Project Delivery Lead]],[1]List!Y:Y,[1]List!AC:AC)</f>
        <v>0</v>
      </c>
      <c r="AC44" s="853" t="str">
        <f>IF($A44="","",'[1]Core Assumptions'!$D64)</f>
        <v/>
      </c>
      <c r="AD44" s="855"/>
      <c r="AE44" s="856"/>
      <c r="AF44" s="857"/>
      <c r="AG44" s="857"/>
      <c r="AH44" s="853"/>
      <c r="AI44" s="858"/>
      <c r="AJ44" s="858"/>
      <c r="AK44" s="858" t="str">
        <f>IF($A44="","",IF('[1]Pricing Summary'!$B$31="T&amp;M","Time and Material","Fixed Fee"))</f>
        <v/>
      </c>
      <c r="AL44" s="856"/>
      <c r="AM44" s="859" t="str">
        <f>IF($A44="","",'[1]Outputs Recap'!$Z103)</f>
        <v/>
      </c>
      <c r="AN44" s="860" t="str">
        <f>IF($A44="","",'[1]Outputs Recap'!$C$12)</f>
        <v/>
      </c>
      <c r="AO44" s="861" t="str">
        <f>IF($A44="","",VLOOKUP('[1]Outputs Recap'!$C$11,[1]List!$I:$J,2,FALSE))</f>
        <v/>
      </c>
      <c r="AP44" s="856" t="str" cm="1">
        <f t="array" ref="AP44">IF($A44="","",_xlfn.IFS('[1]Pricing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4" s="862" t="str">
        <f>IF($A44="","",_xlfn.XLOOKUP('[1]Core Assumptions'!$D$20,'[1]Other Lookups'!$AH:$AH,'[1]Other Lookups'!$AI:$AI))</f>
        <v/>
      </c>
      <c r="AR44" s="863" t="str">
        <f>IF($A44="","",'[1]Outputs Recap'!$AE103)</f>
        <v/>
      </c>
      <c r="AS44" s="864" t="str">
        <f>IF($A44="","",'[1]Outputs Recap'!$C$13)</f>
        <v/>
      </c>
      <c r="AT44" s="865"/>
      <c r="AU44" s="865"/>
      <c r="AV44" s="865" t="str">
        <f>IF($A44="","",IFERROR(+Table17[[#This Row],[Total Contract Amount]]*Table17[[#This Row],[First-year, one-time Onboarding/Setup Fee %]],0))</f>
        <v/>
      </c>
      <c r="AW44" s="866"/>
      <c r="AX44" s="867"/>
      <c r="AY44" s="868"/>
      <c r="AZ44" s="869"/>
      <c r="BA44" s="870"/>
      <c r="BB44" s="871"/>
      <c r="BC44" s="872"/>
      <c r="BD44" s="872"/>
      <c r="BE44" s="872"/>
      <c r="BF44" s="872"/>
      <c r="BG44" s="872"/>
      <c r="BH44" s="872"/>
      <c r="BI44" s="873"/>
      <c r="BJ44" s="874"/>
      <c r="BK44" s="874"/>
      <c r="BL44" s="875"/>
      <c r="BM44" s="876"/>
      <c r="BN44" s="877"/>
      <c r="BO44" s="878"/>
      <c r="BP44" s="879"/>
      <c r="BQ44" s="880"/>
      <c r="BR44" s="881"/>
      <c r="BS44" s="882"/>
      <c r="BT44" s="883"/>
      <c r="BU44" s="884"/>
      <c r="BV44" s="884"/>
      <c r="BW44" s="884"/>
      <c r="BX44" s="884"/>
      <c r="BY44" s="884"/>
      <c r="BZ44" s="884"/>
      <c r="CA44" s="884"/>
      <c r="CB44" s="884"/>
      <c r="CC44" s="884"/>
      <c r="CD44" s="884"/>
      <c r="CE44" s="885"/>
      <c r="CF44" s="885" t="str">
        <f t="shared" si="0"/>
        <v/>
      </c>
      <c r="CG44" s="898" t="str">
        <f>IF(ISBLANK($X44)=FALSE,"NextGenApp Advisory LLC","")</f>
        <v/>
      </c>
      <c r="CH44" s="899" t="str">
        <f>_xlfn.IFNA(INDEX([1]List!AC:AC,MATCH(X44,[1]List!Y:Y,0)),"")</f>
        <v/>
      </c>
      <c r="CI44" s="900"/>
      <c r="CJ44" s="900"/>
      <c r="CK44" s="900"/>
      <c r="CL44" s="900"/>
      <c r="CM44" s="901"/>
      <c r="CN44" s="902"/>
      <c r="CO44" s="903"/>
      <c r="CP44" s="904"/>
      <c r="CQ44" s="892"/>
    </row>
    <row r="45" spans="1:95" x14ac:dyDescent="0.2">
      <c r="A45" s="894" t="str">
        <f>IF('[1]Core Assumptions'!B65="","",'[1]Core Assumptions'!B65)</f>
        <v/>
      </c>
      <c r="B45" s="895"/>
      <c r="C45" s="896"/>
      <c r="D45" s="897"/>
      <c r="E45" s="897"/>
      <c r="F45" s="897"/>
      <c r="G45" s="897"/>
      <c r="H45" s="897"/>
      <c r="I45" s="897"/>
      <c r="J45" s="897"/>
      <c r="K45" s="897"/>
      <c r="L45" s="897"/>
      <c r="M45" s="897"/>
      <c r="N45" s="897"/>
      <c r="O45" s="897"/>
      <c r="P45" s="897"/>
      <c r="Q45" s="897"/>
      <c r="R45" s="897"/>
      <c r="S45" s="897"/>
      <c r="T45" s="897"/>
      <c r="U45" s="895"/>
      <c r="V45" s="852"/>
      <c r="W45" s="853"/>
      <c r="X45" s="853"/>
      <c r="Y45" s="853"/>
      <c r="Z45" s="853"/>
      <c r="AA45" s="853"/>
      <c r="AB45" s="854">
        <f>_xlfn.XLOOKUP(Table17[[#This Row],[Project Delivery Lead]],[1]List!Y:Y,[1]List!AC:AC)</f>
        <v>0</v>
      </c>
      <c r="AC45" s="853" t="str">
        <f>IF($A45="","",'[1]Core Assumptions'!$D65)</f>
        <v/>
      </c>
      <c r="AD45" s="855"/>
      <c r="AE45" s="856"/>
      <c r="AF45" s="857"/>
      <c r="AG45" s="857"/>
      <c r="AH45" s="853"/>
      <c r="AI45" s="858"/>
      <c r="AJ45" s="858"/>
      <c r="AK45" s="858" t="str">
        <f>IF($A45="","",IF('[1]Pricing Summary'!$B$31="T&amp;M","Time and Material","Fixed Fee"))</f>
        <v/>
      </c>
      <c r="AL45" s="856"/>
      <c r="AM45" s="859" t="str">
        <f>IF($A45="","",'[1]Outputs Recap'!$Z104)</f>
        <v/>
      </c>
      <c r="AN45" s="860" t="str">
        <f>IF($A45="","",'[1]Outputs Recap'!$C$12)</f>
        <v/>
      </c>
      <c r="AO45" s="861" t="str">
        <f>IF($A45="","",VLOOKUP('[1]Outputs Recap'!$C$11,[1]List!$I:$J,2,FALSE))</f>
        <v/>
      </c>
      <c r="AP45" s="856" t="str" cm="1">
        <f t="array" ref="AP45">IF($A45="","",_xlfn.IFS('[1]Pricing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5" s="862" t="str">
        <f>IF($A45="","",_xlfn.XLOOKUP('[1]Core Assumptions'!$D$20,'[1]Other Lookups'!$AH:$AH,'[1]Other Lookups'!$AI:$AI))</f>
        <v/>
      </c>
      <c r="AR45" s="863" t="str">
        <f>IF($A45="","",'[1]Outputs Recap'!$AE104)</f>
        <v/>
      </c>
      <c r="AS45" s="864" t="str">
        <f>IF($A45="","",'[1]Outputs Recap'!$C$13)</f>
        <v/>
      </c>
      <c r="AT45" s="865"/>
      <c r="AU45" s="865"/>
      <c r="AV45" s="865" t="str">
        <f>IF($A45="","",IFERROR(+Table17[[#This Row],[Total Contract Amount]]*Table17[[#This Row],[First-year, one-time Onboarding/Setup Fee %]],0))</f>
        <v/>
      </c>
      <c r="AW45" s="866"/>
      <c r="AX45" s="867"/>
      <c r="AY45" s="868"/>
      <c r="AZ45" s="869"/>
      <c r="BA45" s="870"/>
      <c r="BB45" s="871"/>
      <c r="BC45" s="872"/>
      <c r="BD45" s="872"/>
      <c r="BE45" s="872"/>
      <c r="BF45" s="872"/>
      <c r="BG45" s="872"/>
      <c r="BH45" s="872"/>
      <c r="BI45" s="873"/>
      <c r="BJ45" s="874"/>
      <c r="BK45" s="874"/>
      <c r="BL45" s="875"/>
      <c r="BM45" s="876"/>
      <c r="BN45" s="877"/>
      <c r="BO45" s="878"/>
      <c r="BP45" s="879"/>
      <c r="BQ45" s="880"/>
      <c r="BR45" s="881"/>
      <c r="BS45" s="882"/>
      <c r="BT45" s="883"/>
      <c r="BU45" s="884"/>
      <c r="BV45" s="884"/>
      <c r="BW45" s="884"/>
      <c r="BX45" s="884"/>
      <c r="BY45" s="884"/>
      <c r="BZ45" s="884"/>
      <c r="CA45" s="884"/>
      <c r="CB45" s="884"/>
      <c r="CC45" s="884"/>
      <c r="CD45" s="884"/>
      <c r="CE45" s="885"/>
      <c r="CF45" s="885" t="str">
        <f t="shared" si="0"/>
        <v/>
      </c>
      <c r="CG45" s="898" t="str">
        <f>IF(ISBLANK($X45)=FALSE,"NextGenApp Advisory LLC","")</f>
        <v/>
      </c>
      <c r="CH45" s="899" t="str">
        <f>_xlfn.IFNA(INDEX([1]List!AC:AC,MATCH(X45,[1]List!Y:Y,0)),"")</f>
        <v/>
      </c>
      <c r="CI45" s="900"/>
      <c r="CJ45" s="900"/>
      <c r="CK45" s="900"/>
      <c r="CL45" s="900"/>
      <c r="CM45" s="901"/>
      <c r="CN45" s="902"/>
      <c r="CO45" s="903"/>
      <c r="CP45" s="904"/>
      <c r="CQ45" s="892"/>
    </row>
    <row r="46" spans="1:95" x14ac:dyDescent="0.2">
      <c r="A46" s="894" t="str">
        <f>IF('[1]Core Assumptions'!B66="","",'[1]Core Assumptions'!B66)</f>
        <v/>
      </c>
      <c r="B46" s="895"/>
      <c r="C46" s="896"/>
      <c r="D46" s="897"/>
      <c r="E46" s="897"/>
      <c r="F46" s="897"/>
      <c r="G46" s="897"/>
      <c r="H46" s="897"/>
      <c r="I46" s="897"/>
      <c r="J46" s="897"/>
      <c r="K46" s="897"/>
      <c r="L46" s="897"/>
      <c r="M46" s="897"/>
      <c r="N46" s="897"/>
      <c r="O46" s="897"/>
      <c r="P46" s="897"/>
      <c r="Q46" s="897"/>
      <c r="R46" s="897"/>
      <c r="S46" s="897"/>
      <c r="T46" s="897"/>
      <c r="U46" s="895"/>
      <c r="V46" s="852"/>
      <c r="W46" s="853"/>
      <c r="X46" s="853"/>
      <c r="Y46" s="853"/>
      <c r="Z46" s="853"/>
      <c r="AA46" s="853"/>
      <c r="AB46" s="854">
        <f>_xlfn.XLOOKUP(Table17[[#This Row],[Project Delivery Lead]],[1]List!Y:Y,[1]List!AC:AC)</f>
        <v>0</v>
      </c>
      <c r="AC46" s="853" t="str">
        <f>IF($A46="","",'[1]Core Assumptions'!$D66)</f>
        <v/>
      </c>
      <c r="AD46" s="855"/>
      <c r="AE46" s="856"/>
      <c r="AF46" s="857"/>
      <c r="AG46" s="857"/>
      <c r="AH46" s="853"/>
      <c r="AI46" s="858"/>
      <c r="AJ46" s="858"/>
      <c r="AK46" s="858" t="str">
        <f>IF($A46="","",IF('[1]Pricing Summary'!$B$31="T&amp;M","Time and Material","Fixed Fee"))</f>
        <v/>
      </c>
      <c r="AL46" s="856"/>
      <c r="AM46" s="859" t="str">
        <f>IF($A46="","",'[1]Outputs Recap'!$Z105)</f>
        <v/>
      </c>
      <c r="AN46" s="860" t="str">
        <f>IF($A46="","",'[1]Outputs Recap'!$C$12)</f>
        <v/>
      </c>
      <c r="AO46" s="861" t="str">
        <f>IF($A46="","",VLOOKUP('[1]Outputs Recap'!$C$11,[1]List!$I:$J,2,FALSE))</f>
        <v/>
      </c>
      <c r="AP46" s="856" t="str" cm="1">
        <f t="array" ref="AP46">IF($A46="","",_xlfn.IFS('[1]Pricing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6" s="862" t="str">
        <f>IF($A46="","",_xlfn.XLOOKUP('[1]Core Assumptions'!$D$20,'[1]Other Lookups'!$AH:$AH,'[1]Other Lookups'!$AI:$AI))</f>
        <v/>
      </c>
      <c r="AR46" s="863" t="str">
        <f>IF($A46="","",'[1]Outputs Recap'!$AE105)</f>
        <v/>
      </c>
      <c r="AS46" s="864" t="str">
        <f>IF($A46="","",'[1]Outputs Recap'!$C$13)</f>
        <v/>
      </c>
      <c r="AT46" s="865"/>
      <c r="AU46" s="865"/>
      <c r="AV46" s="865" t="str">
        <f>IF($A46="","",IFERROR(+Table17[[#This Row],[Total Contract Amount]]*Table17[[#This Row],[First-year, one-time Onboarding/Setup Fee %]],0))</f>
        <v/>
      </c>
      <c r="AW46" s="866"/>
      <c r="AX46" s="867"/>
      <c r="AY46" s="868"/>
      <c r="AZ46" s="869"/>
      <c r="BA46" s="870"/>
      <c r="BB46" s="871"/>
      <c r="BC46" s="872"/>
      <c r="BD46" s="872"/>
      <c r="BE46" s="872"/>
      <c r="BF46" s="872"/>
      <c r="BG46" s="872"/>
      <c r="BH46" s="872"/>
      <c r="BI46" s="873"/>
      <c r="BJ46" s="874"/>
      <c r="BK46" s="874"/>
      <c r="BL46" s="875"/>
      <c r="BM46" s="876"/>
      <c r="BN46" s="877"/>
      <c r="BO46" s="878"/>
      <c r="BP46" s="879"/>
      <c r="BQ46" s="880"/>
      <c r="BR46" s="881"/>
      <c r="BS46" s="882"/>
      <c r="BT46" s="883"/>
      <c r="BU46" s="884"/>
      <c r="BV46" s="884"/>
      <c r="BW46" s="884"/>
      <c r="BX46" s="884"/>
      <c r="BY46" s="884"/>
      <c r="BZ46" s="884"/>
      <c r="CA46" s="884"/>
      <c r="CB46" s="884"/>
      <c r="CC46" s="884"/>
      <c r="CD46" s="884"/>
      <c r="CE46" s="885"/>
      <c r="CF46" s="885" t="str">
        <f t="shared" si="0"/>
        <v/>
      </c>
      <c r="CG46" s="898" t="str">
        <f>IF(ISBLANK($X46)=FALSE,"NextGenApp Advisory LLC","")</f>
        <v/>
      </c>
      <c r="CH46" s="899" t="str">
        <f>_xlfn.IFNA(INDEX([1]List!AC:AC,MATCH(X46,[1]List!Y:Y,0)),"")</f>
        <v/>
      </c>
      <c r="CI46" s="900"/>
      <c r="CJ46" s="900"/>
      <c r="CK46" s="900"/>
      <c r="CL46" s="900"/>
      <c r="CM46" s="901"/>
      <c r="CN46" s="902"/>
      <c r="CO46" s="903"/>
      <c r="CP46" s="904"/>
      <c r="CQ46" s="892"/>
    </row>
    <row r="47" spans="1:95" x14ac:dyDescent="0.2">
      <c r="A47" s="894" t="str">
        <f>IF('[1]Core Assumptions'!B67="","",'[1]Core Assumptions'!B67)</f>
        <v/>
      </c>
      <c r="B47" s="895"/>
      <c r="C47" s="896"/>
      <c r="D47" s="897"/>
      <c r="E47" s="897"/>
      <c r="F47" s="897"/>
      <c r="G47" s="897"/>
      <c r="H47" s="897"/>
      <c r="I47" s="897"/>
      <c r="J47" s="897"/>
      <c r="K47" s="897"/>
      <c r="L47" s="897"/>
      <c r="M47" s="897"/>
      <c r="N47" s="897"/>
      <c r="O47" s="897"/>
      <c r="P47" s="897"/>
      <c r="Q47" s="897"/>
      <c r="R47" s="897"/>
      <c r="S47" s="897"/>
      <c r="T47" s="897"/>
      <c r="U47" s="895"/>
      <c r="V47" s="852"/>
      <c r="W47" s="853"/>
      <c r="X47" s="853"/>
      <c r="Y47" s="853"/>
      <c r="Z47" s="853"/>
      <c r="AA47" s="853"/>
      <c r="AB47" s="854">
        <f>_xlfn.XLOOKUP(Table17[[#This Row],[Project Delivery Lead]],[1]List!Y:Y,[1]List!AC:AC)</f>
        <v>0</v>
      </c>
      <c r="AC47" s="853" t="str">
        <f>IF($A47="","",'[1]Core Assumptions'!$D67)</f>
        <v/>
      </c>
      <c r="AD47" s="855"/>
      <c r="AE47" s="856"/>
      <c r="AF47" s="857"/>
      <c r="AG47" s="857"/>
      <c r="AH47" s="853"/>
      <c r="AI47" s="858"/>
      <c r="AJ47" s="858"/>
      <c r="AK47" s="858" t="str">
        <f>IF($A47="","",IF('[1]Pricing Summary'!$B$31="T&amp;M","Time and Material","Fixed Fee"))</f>
        <v/>
      </c>
      <c r="AL47" s="856"/>
      <c r="AM47" s="859" t="str">
        <f>IF($A47="","",'[1]Outputs Recap'!$Z106)</f>
        <v/>
      </c>
      <c r="AN47" s="860" t="str">
        <f>IF($A47="","",'[1]Outputs Recap'!$C$12)</f>
        <v/>
      </c>
      <c r="AO47" s="861" t="str">
        <f>IF($A47="","",VLOOKUP('[1]Outputs Recap'!$C$11,[1]List!$I:$J,2,FALSE))</f>
        <v/>
      </c>
      <c r="AP47" s="856" t="str" cm="1">
        <f t="array" ref="AP47">IF($A47="","",_xlfn.IFS('[1]Pricing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7" s="862" t="str">
        <f>IF($A47="","",_xlfn.XLOOKUP('[1]Core Assumptions'!$D$20,'[1]Other Lookups'!$AH:$AH,'[1]Other Lookups'!$AI:$AI))</f>
        <v/>
      </c>
      <c r="AR47" s="863" t="str">
        <f>IF($A47="","",'[1]Outputs Recap'!$AE106)</f>
        <v/>
      </c>
      <c r="AS47" s="864" t="str">
        <f>IF($A47="","",'[1]Outputs Recap'!$C$13)</f>
        <v/>
      </c>
      <c r="AT47" s="865"/>
      <c r="AU47" s="865"/>
      <c r="AV47" s="865" t="str">
        <f>IF($A47="","",IFERROR(+Table17[[#This Row],[Total Contract Amount]]*Table17[[#This Row],[First-year, one-time Onboarding/Setup Fee %]],0))</f>
        <v/>
      </c>
      <c r="AW47" s="866"/>
      <c r="AX47" s="867"/>
      <c r="AY47" s="868"/>
      <c r="AZ47" s="869"/>
      <c r="BA47" s="870"/>
      <c r="BB47" s="871"/>
      <c r="BC47" s="872"/>
      <c r="BD47" s="872"/>
      <c r="BE47" s="872"/>
      <c r="BF47" s="872"/>
      <c r="BG47" s="872"/>
      <c r="BH47" s="872"/>
      <c r="BI47" s="873"/>
      <c r="BJ47" s="874"/>
      <c r="BK47" s="874"/>
      <c r="BL47" s="875"/>
      <c r="BM47" s="876"/>
      <c r="BN47" s="877"/>
      <c r="BO47" s="878"/>
      <c r="BP47" s="879"/>
      <c r="BQ47" s="880"/>
      <c r="BR47" s="881"/>
      <c r="BS47" s="882"/>
      <c r="BT47" s="883"/>
      <c r="BU47" s="884"/>
      <c r="BV47" s="884"/>
      <c r="BW47" s="884"/>
      <c r="BX47" s="884"/>
      <c r="BY47" s="884"/>
      <c r="BZ47" s="884"/>
      <c r="CA47" s="884"/>
      <c r="CB47" s="884"/>
      <c r="CC47" s="884"/>
      <c r="CD47" s="884"/>
      <c r="CE47" s="885"/>
      <c r="CF47" s="885" t="str">
        <f t="shared" si="0"/>
        <v/>
      </c>
      <c r="CG47" s="898" t="str">
        <f>IF(ISBLANK($X47)=FALSE,"NextGenApp Advisory LLC","")</f>
        <v/>
      </c>
      <c r="CH47" s="899" t="str">
        <f>_xlfn.IFNA(INDEX([1]List!AC:AC,MATCH(X47,[1]List!Y:Y,0)),"")</f>
        <v/>
      </c>
      <c r="CI47" s="900"/>
      <c r="CJ47" s="900"/>
      <c r="CK47" s="900"/>
      <c r="CL47" s="900"/>
      <c r="CM47" s="901"/>
      <c r="CN47" s="902"/>
      <c r="CO47" s="903"/>
      <c r="CP47" s="904"/>
      <c r="CQ47" s="892"/>
    </row>
    <row r="48" spans="1:95" x14ac:dyDescent="0.2">
      <c r="A48" s="894" t="str">
        <f>IF('[1]Core Assumptions'!B68="","",'[1]Core Assumptions'!B68)</f>
        <v/>
      </c>
      <c r="B48" s="895"/>
      <c r="C48" s="896"/>
      <c r="D48" s="897"/>
      <c r="E48" s="897"/>
      <c r="F48" s="897"/>
      <c r="G48" s="897"/>
      <c r="H48" s="897"/>
      <c r="I48" s="897"/>
      <c r="J48" s="897"/>
      <c r="K48" s="897"/>
      <c r="L48" s="897"/>
      <c r="M48" s="897"/>
      <c r="N48" s="897"/>
      <c r="O48" s="897"/>
      <c r="P48" s="897"/>
      <c r="Q48" s="897"/>
      <c r="R48" s="897"/>
      <c r="S48" s="897"/>
      <c r="T48" s="897"/>
      <c r="U48" s="895"/>
      <c r="V48" s="852"/>
      <c r="W48" s="853"/>
      <c r="X48" s="853"/>
      <c r="Y48" s="853"/>
      <c r="Z48" s="853"/>
      <c r="AA48" s="853"/>
      <c r="AB48" s="854">
        <f>_xlfn.XLOOKUP(Table17[[#This Row],[Project Delivery Lead]],[1]List!Y:Y,[1]List!AC:AC)</f>
        <v>0</v>
      </c>
      <c r="AC48" s="853" t="str">
        <f>IF($A48="","",'[1]Core Assumptions'!$D68)</f>
        <v/>
      </c>
      <c r="AD48" s="855"/>
      <c r="AE48" s="856"/>
      <c r="AF48" s="857"/>
      <c r="AG48" s="857"/>
      <c r="AH48" s="853"/>
      <c r="AI48" s="858"/>
      <c r="AJ48" s="858"/>
      <c r="AK48" s="858" t="str">
        <f>IF($A48="","",IF('[1]Pricing Summary'!$B$31="T&amp;M","Time and Material","Fixed Fee"))</f>
        <v/>
      </c>
      <c r="AL48" s="856"/>
      <c r="AM48" s="859" t="str">
        <f>IF($A48="","",'[1]Outputs Recap'!$Z107)</f>
        <v/>
      </c>
      <c r="AN48" s="860" t="str">
        <f>IF($A48="","",'[1]Outputs Recap'!$C$12)</f>
        <v/>
      </c>
      <c r="AO48" s="861" t="str">
        <f>IF($A48="","",VLOOKUP('[1]Outputs Recap'!$C$11,[1]List!$I:$J,2,FALSE))</f>
        <v/>
      </c>
      <c r="AP48" s="856" t="str" cm="1">
        <f t="array" ref="AP48">IF($A48="","",_xlfn.IFS('[1]Pricing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8" s="862" t="str">
        <f>IF($A48="","",_xlfn.XLOOKUP('[1]Core Assumptions'!$D$20,'[1]Other Lookups'!$AH:$AH,'[1]Other Lookups'!$AI:$AI))</f>
        <v/>
      </c>
      <c r="AR48" s="863" t="str">
        <f>IF($A48="","",'[1]Outputs Recap'!$AE107)</f>
        <v/>
      </c>
      <c r="AS48" s="864" t="str">
        <f>IF($A48="","",'[1]Outputs Recap'!$C$13)</f>
        <v/>
      </c>
      <c r="AT48" s="865"/>
      <c r="AU48" s="865"/>
      <c r="AV48" s="865" t="str">
        <f>IF($A48="","",IFERROR(+Table17[[#This Row],[Total Contract Amount]]*Table17[[#This Row],[First-year, one-time Onboarding/Setup Fee %]],0))</f>
        <v/>
      </c>
      <c r="AW48" s="866"/>
      <c r="AX48" s="867"/>
      <c r="AY48" s="868"/>
      <c r="AZ48" s="869"/>
      <c r="BA48" s="870"/>
      <c r="BB48" s="871"/>
      <c r="BC48" s="872"/>
      <c r="BD48" s="872"/>
      <c r="BE48" s="872"/>
      <c r="BF48" s="872"/>
      <c r="BG48" s="872"/>
      <c r="BH48" s="872"/>
      <c r="BI48" s="873"/>
      <c r="BJ48" s="874"/>
      <c r="BK48" s="874"/>
      <c r="BL48" s="875"/>
      <c r="BM48" s="876"/>
      <c r="BN48" s="877"/>
      <c r="BO48" s="878"/>
      <c r="BP48" s="879"/>
      <c r="BQ48" s="880"/>
      <c r="BR48" s="881"/>
      <c r="BS48" s="882"/>
      <c r="BT48" s="883"/>
      <c r="BU48" s="884"/>
      <c r="BV48" s="884"/>
      <c r="BW48" s="884"/>
      <c r="BX48" s="884"/>
      <c r="BY48" s="884"/>
      <c r="BZ48" s="884"/>
      <c r="CA48" s="884"/>
      <c r="CB48" s="884"/>
      <c r="CC48" s="884"/>
      <c r="CD48" s="884"/>
      <c r="CE48" s="885"/>
      <c r="CF48" s="885" t="str">
        <f t="shared" si="0"/>
        <v/>
      </c>
      <c r="CG48" s="898" t="str">
        <f>IF(ISBLANK($X48)=FALSE,"NextGenApp Advisory LLC","")</f>
        <v/>
      </c>
      <c r="CH48" s="899" t="str">
        <f>_xlfn.IFNA(INDEX([1]List!AC:AC,MATCH(X48,[1]List!Y:Y,0)),"")</f>
        <v/>
      </c>
      <c r="CI48" s="900"/>
      <c r="CJ48" s="900"/>
      <c r="CK48" s="900"/>
      <c r="CL48" s="900"/>
      <c r="CM48" s="901"/>
      <c r="CN48" s="902"/>
      <c r="CO48" s="903"/>
      <c r="CP48" s="904"/>
      <c r="CQ48" s="892"/>
    </row>
    <row r="49" spans="1:95" x14ac:dyDescent="0.2">
      <c r="A49" s="894" t="str">
        <f>IF('[1]Core Assumptions'!B69="","",'[1]Core Assumptions'!B69)</f>
        <v/>
      </c>
      <c r="B49" s="895"/>
      <c r="C49" s="896"/>
      <c r="D49" s="897"/>
      <c r="E49" s="897"/>
      <c r="F49" s="897"/>
      <c r="G49" s="897"/>
      <c r="H49" s="897"/>
      <c r="I49" s="897"/>
      <c r="J49" s="897"/>
      <c r="K49" s="897"/>
      <c r="L49" s="897"/>
      <c r="M49" s="897"/>
      <c r="N49" s="897"/>
      <c r="O49" s="897"/>
      <c r="P49" s="897"/>
      <c r="Q49" s="897"/>
      <c r="R49" s="897"/>
      <c r="S49" s="897"/>
      <c r="T49" s="897"/>
      <c r="U49" s="895"/>
      <c r="V49" s="852"/>
      <c r="W49" s="853"/>
      <c r="X49" s="853"/>
      <c r="Y49" s="853"/>
      <c r="Z49" s="853"/>
      <c r="AA49" s="853"/>
      <c r="AB49" s="854">
        <f>_xlfn.XLOOKUP(Table17[[#This Row],[Project Delivery Lead]],[1]List!Y:Y,[1]List!AC:AC)</f>
        <v>0</v>
      </c>
      <c r="AC49" s="853" t="str">
        <f>IF($A49="","",'[1]Core Assumptions'!$D69)</f>
        <v/>
      </c>
      <c r="AD49" s="855"/>
      <c r="AE49" s="856"/>
      <c r="AF49" s="857"/>
      <c r="AG49" s="857"/>
      <c r="AH49" s="853"/>
      <c r="AI49" s="858"/>
      <c r="AJ49" s="858"/>
      <c r="AK49" s="858" t="str">
        <f>IF($A49="","",IF('[1]Pricing Summary'!$B$31="T&amp;M","Time and Material","Fixed Fee"))</f>
        <v/>
      </c>
      <c r="AL49" s="856"/>
      <c r="AM49" s="859" t="str">
        <f>IF($A49="","",'[1]Outputs Recap'!$Z108)</f>
        <v/>
      </c>
      <c r="AN49" s="860" t="str">
        <f>IF($A49="","",'[1]Outputs Recap'!$C$12)</f>
        <v/>
      </c>
      <c r="AO49" s="861" t="str">
        <f>IF($A49="","",VLOOKUP('[1]Outputs Recap'!$C$11,[1]List!$I:$J,2,FALSE))</f>
        <v/>
      </c>
      <c r="AP49" s="856" t="str" cm="1">
        <f t="array" ref="AP49">IF($A49="","",_xlfn.IFS('[1]Pricing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49" s="862" t="str">
        <f>IF($A49="","",_xlfn.XLOOKUP('[1]Core Assumptions'!$D$20,'[1]Other Lookups'!$AH:$AH,'[1]Other Lookups'!$AI:$AI))</f>
        <v/>
      </c>
      <c r="AR49" s="863" t="str">
        <f>IF($A49="","",'[1]Outputs Recap'!$AE108)</f>
        <v/>
      </c>
      <c r="AS49" s="864" t="str">
        <f>IF($A49="","",'[1]Outputs Recap'!$C$13)</f>
        <v/>
      </c>
      <c r="AT49" s="865"/>
      <c r="AU49" s="865"/>
      <c r="AV49" s="865" t="str">
        <f>IF($A49="","",IFERROR(+Table17[[#This Row],[Total Contract Amount]]*Table17[[#This Row],[First-year, one-time Onboarding/Setup Fee %]],0))</f>
        <v/>
      </c>
      <c r="AW49" s="866"/>
      <c r="AX49" s="867"/>
      <c r="AY49" s="868"/>
      <c r="AZ49" s="869"/>
      <c r="BA49" s="870"/>
      <c r="BB49" s="871"/>
      <c r="BC49" s="872"/>
      <c r="BD49" s="872"/>
      <c r="BE49" s="872"/>
      <c r="BF49" s="872"/>
      <c r="BG49" s="872"/>
      <c r="BH49" s="872"/>
      <c r="BI49" s="873"/>
      <c r="BJ49" s="874"/>
      <c r="BK49" s="874"/>
      <c r="BL49" s="875"/>
      <c r="BM49" s="876"/>
      <c r="BN49" s="877"/>
      <c r="BO49" s="878"/>
      <c r="BP49" s="879"/>
      <c r="BQ49" s="880"/>
      <c r="BR49" s="881"/>
      <c r="BS49" s="882"/>
      <c r="BT49" s="883"/>
      <c r="BU49" s="884"/>
      <c r="BV49" s="884"/>
      <c r="BW49" s="884"/>
      <c r="BX49" s="884"/>
      <c r="BY49" s="884"/>
      <c r="BZ49" s="884"/>
      <c r="CA49" s="884"/>
      <c r="CB49" s="884"/>
      <c r="CC49" s="884"/>
      <c r="CD49" s="884"/>
      <c r="CE49" s="885"/>
      <c r="CF49" s="885" t="str">
        <f t="shared" si="0"/>
        <v/>
      </c>
      <c r="CG49" s="898" t="str">
        <f>IF(ISBLANK($X49)=FALSE,"NextGenApp Advisory LLC","")</f>
        <v/>
      </c>
      <c r="CH49" s="899" t="str">
        <f>_xlfn.IFNA(INDEX([1]List!AC:AC,MATCH(X49,[1]List!Y:Y,0)),"")</f>
        <v/>
      </c>
      <c r="CI49" s="900"/>
      <c r="CJ49" s="900"/>
      <c r="CK49" s="900"/>
      <c r="CL49" s="900"/>
      <c r="CM49" s="901"/>
      <c r="CN49" s="902"/>
      <c r="CO49" s="903"/>
      <c r="CP49" s="904"/>
      <c r="CQ49" s="892"/>
    </row>
    <row r="50" spans="1:95" x14ac:dyDescent="0.2">
      <c r="A50" s="894" t="str">
        <f>IF('[1]Core Assumptions'!B70="","",'[1]Core Assumptions'!B70)</f>
        <v/>
      </c>
      <c r="B50" s="895"/>
      <c r="C50" s="896"/>
      <c r="D50" s="897"/>
      <c r="E50" s="897"/>
      <c r="F50" s="897"/>
      <c r="G50" s="897"/>
      <c r="H50" s="897"/>
      <c r="I50" s="897"/>
      <c r="J50" s="897"/>
      <c r="K50" s="897"/>
      <c r="L50" s="897"/>
      <c r="M50" s="897"/>
      <c r="N50" s="897"/>
      <c r="O50" s="897"/>
      <c r="P50" s="897"/>
      <c r="Q50" s="897"/>
      <c r="R50" s="897"/>
      <c r="S50" s="897"/>
      <c r="T50" s="897"/>
      <c r="U50" s="895"/>
      <c r="V50" s="852"/>
      <c r="W50" s="853"/>
      <c r="X50" s="853"/>
      <c r="Y50" s="853"/>
      <c r="Z50" s="853"/>
      <c r="AA50" s="853"/>
      <c r="AB50" s="854">
        <f>_xlfn.XLOOKUP(Table17[[#This Row],[Project Delivery Lead]],[1]List!Y:Y,[1]List!AC:AC)</f>
        <v>0</v>
      </c>
      <c r="AC50" s="853" t="str">
        <f>IF($A50="","",'[1]Core Assumptions'!$D70)</f>
        <v/>
      </c>
      <c r="AD50" s="855"/>
      <c r="AE50" s="856"/>
      <c r="AF50" s="857"/>
      <c r="AG50" s="857"/>
      <c r="AH50" s="853"/>
      <c r="AI50" s="858"/>
      <c r="AJ50" s="858"/>
      <c r="AK50" s="858" t="str">
        <f>IF($A50="","",IF('[1]Pricing Summary'!$B$31="T&amp;M","Time and Material","Fixed Fee"))</f>
        <v/>
      </c>
      <c r="AL50" s="856"/>
      <c r="AM50" s="859" t="str">
        <f>IF($A50="","",'[1]Outputs Recap'!$Z109)</f>
        <v/>
      </c>
      <c r="AN50" s="860" t="str">
        <f>IF($A50="","",'[1]Outputs Recap'!$C$12)</f>
        <v/>
      </c>
      <c r="AO50" s="861" t="str">
        <f>IF($A50="","",VLOOKUP('[1]Outputs Recap'!$C$11,[1]List!$I:$J,2,FALSE))</f>
        <v/>
      </c>
      <c r="AP50" s="856" t="str" cm="1">
        <f t="array" ref="AP50">IF($A50="","",_xlfn.IFS('[1]Pricing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0" s="862" t="str">
        <f>IF($A50="","",_xlfn.XLOOKUP('[1]Core Assumptions'!$D$20,'[1]Other Lookups'!$AH:$AH,'[1]Other Lookups'!$AI:$AI))</f>
        <v/>
      </c>
      <c r="AR50" s="863" t="str">
        <f>IF($A50="","",'[1]Outputs Recap'!$AE109)</f>
        <v/>
      </c>
      <c r="AS50" s="864" t="str">
        <f>IF($A50="","",'[1]Outputs Recap'!$C$13)</f>
        <v/>
      </c>
      <c r="AT50" s="865"/>
      <c r="AU50" s="865"/>
      <c r="AV50" s="865" t="str">
        <f>IF($A50="","",IFERROR(+Table17[[#This Row],[Total Contract Amount]]*Table17[[#This Row],[First-year, one-time Onboarding/Setup Fee %]],0))</f>
        <v/>
      </c>
      <c r="AW50" s="866"/>
      <c r="AX50" s="867"/>
      <c r="AY50" s="868"/>
      <c r="AZ50" s="869"/>
      <c r="BA50" s="870"/>
      <c r="BB50" s="871"/>
      <c r="BC50" s="872"/>
      <c r="BD50" s="872"/>
      <c r="BE50" s="872"/>
      <c r="BF50" s="872"/>
      <c r="BG50" s="872"/>
      <c r="BH50" s="872"/>
      <c r="BI50" s="873"/>
      <c r="BJ50" s="874"/>
      <c r="BK50" s="874"/>
      <c r="BL50" s="875"/>
      <c r="BM50" s="876"/>
      <c r="BN50" s="877"/>
      <c r="BO50" s="878"/>
      <c r="BP50" s="879"/>
      <c r="BQ50" s="880"/>
      <c r="BR50" s="881"/>
      <c r="BS50" s="882"/>
      <c r="BT50" s="883"/>
      <c r="BU50" s="884"/>
      <c r="BV50" s="884"/>
      <c r="BW50" s="884"/>
      <c r="BX50" s="884"/>
      <c r="BY50" s="884"/>
      <c r="BZ50" s="884"/>
      <c r="CA50" s="884"/>
      <c r="CB50" s="884"/>
      <c r="CC50" s="884"/>
      <c r="CD50" s="884"/>
      <c r="CE50" s="885"/>
      <c r="CF50" s="885" t="str">
        <f t="shared" si="0"/>
        <v/>
      </c>
      <c r="CG50" s="898" t="str">
        <f>IF(ISBLANK($X50)=FALSE,"NextGenApp Advisory LLC","")</f>
        <v/>
      </c>
      <c r="CH50" s="899" t="str">
        <f>_xlfn.IFNA(INDEX([1]List!AC:AC,MATCH(X50,[1]List!Y:Y,0)),"")</f>
        <v/>
      </c>
      <c r="CI50" s="900"/>
      <c r="CJ50" s="900"/>
      <c r="CK50" s="900"/>
      <c r="CL50" s="900"/>
      <c r="CM50" s="901"/>
      <c r="CN50" s="902"/>
      <c r="CO50" s="903"/>
      <c r="CP50" s="904"/>
      <c r="CQ50" s="892"/>
    </row>
    <row r="51" spans="1:95" x14ac:dyDescent="0.2">
      <c r="A51" s="894" t="str">
        <f>IF('[1]Core Assumptions'!B71="","",'[1]Core Assumptions'!B71)</f>
        <v/>
      </c>
      <c r="B51" s="895"/>
      <c r="C51" s="896"/>
      <c r="D51" s="897"/>
      <c r="E51" s="897"/>
      <c r="F51" s="897"/>
      <c r="G51" s="897"/>
      <c r="H51" s="897"/>
      <c r="I51" s="897"/>
      <c r="J51" s="897"/>
      <c r="K51" s="897"/>
      <c r="L51" s="897"/>
      <c r="M51" s="897"/>
      <c r="N51" s="897"/>
      <c r="O51" s="897"/>
      <c r="P51" s="897"/>
      <c r="Q51" s="897"/>
      <c r="R51" s="897"/>
      <c r="S51" s="897"/>
      <c r="T51" s="897"/>
      <c r="U51" s="895"/>
      <c r="V51" s="852"/>
      <c r="W51" s="853"/>
      <c r="X51" s="853"/>
      <c r="Y51" s="853"/>
      <c r="Z51" s="853"/>
      <c r="AA51" s="853"/>
      <c r="AB51" s="854">
        <f>_xlfn.XLOOKUP(Table17[[#This Row],[Project Delivery Lead]],[1]List!Y:Y,[1]List!AC:AC)</f>
        <v>0</v>
      </c>
      <c r="AC51" s="853" t="str">
        <f>IF($A51="","",'[1]Core Assumptions'!$D71)</f>
        <v/>
      </c>
      <c r="AD51" s="855"/>
      <c r="AE51" s="856"/>
      <c r="AF51" s="857"/>
      <c r="AG51" s="857"/>
      <c r="AH51" s="853"/>
      <c r="AI51" s="858"/>
      <c r="AJ51" s="858"/>
      <c r="AK51" s="858" t="str">
        <f>IF($A51="","",IF('[1]Pricing Summary'!$B$31="T&amp;M","Time and Material","Fixed Fee"))</f>
        <v/>
      </c>
      <c r="AL51" s="856"/>
      <c r="AM51" s="859" t="str">
        <f>IF($A51="","",'[1]Outputs Recap'!$Z110)</f>
        <v/>
      </c>
      <c r="AN51" s="860" t="str">
        <f>IF($A51="","",'[1]Outputs Recap'!$C$12)</f>
        <v/>
      </c>
      <c r="AO51" s="861" t="str">
        <f>IF($A51="","",VLOOKUP('[1]Outputs Recap'!$C$11,[1]List!$I:$J,2,FALSE))</f>
        <v/>
      </c>
      <c r="AP51" s="856" t="str" cm="1">
        <f t="array" ref="AP51">IF($A51="","",_xlfn.IFS('[1]Pricing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1" s="862" t="str">
        <f>IF($A51="","",_xlfn.XLOOKUP('[1]Core Assumptions'!$D$20,'[1]Other Lookups'!$AH:$AH,'[1]Other Lookups'!$AI:$AI))</f>
        <v/>
      </c>
      <c r="AR51" s="863" t="str">
        <f>IF($A51="","",'[1]Outputs Recap'!$AE110)</f>
        <v/>
      </c>
      <c r="AS51" s="864" t="str">
        <f>IF($A51="","",'[1]Outputs Recap'!$C$13)</f>
        <v/>
      </c>
      <c r="AT51" s="865"/>
      <c r="AU51" s="865"/>
      <c r="AV51" s="865" t="str">
        <f>IF($A51="","",IFERROR(+Table17[[#This Row],[Total Contract Amount]]*Table17[[#This Row],[First-year, one-time Onboarding/Setup Fee %]],0))</f>
        <v/>
      </c>
      <c r="AW51" s="866"/>
      <c r="AX51" s="867"/>
      <c r="AY51" s="868"/>
      <c r="AZ51" s="869"/>
      <c r="BA51" s="870"/>
      <c r="BB51" s="871"/>
      <c r="BC51" s="872"/>
      <c r="BD51" s="872"/>
      <c r="BE51" s="872"/>
      <c r="BF51" s="872"/>
      <c r="BG51" s="872"/>
      <c r="BH51" s="872"/>
      <c r="BI51" s="873"/>
      <c r="BJ51" s="874"/>
      <c r="BK51" s="874"/>
      <c r="BL51" s="875"/>
      <c r="BM51" s="876"/>
      <c r="BN51" s="877"/>
      <c r="BO51" s="878"/>
      <c r="BP51" s="879"/>
      <c r="BQ51" s="880"/>
      <c r="BR51" s="881"/>
      <c r="BS51" s="882"/>
      <c r="BT51" s="883"/>
      <c r="BU51" s="884"/>
      <c r="BV51" s="884"/>
      <c r="BW51" s="884"/>
      <c r="BX51" s="884"/>
      <c r="BY51" s="884"/>
      <c r="BZ51" s="884"/>
      <c r="CA51" s="884"/>
      <c r="CB51" s="884"/>
      <c r="CC51" s="884"/>
      <c r="CD51" s="884"/>
      <c r="CE51" s="885"/>
      <c r="CF51" s="885" t="str">
        <f t="shared" si="0"/>
        <v/>
      </c>
      <c r="CG51" s="898" t="str">
        <f>IF(ISBLANK($X51)=FALSE,"NextGenApp Advisory LLC","")</f>
        <v/>
      </c>
      <c r="CH51" s="899" t="str">
        <f>_xlfn.IFNA(INDEX([1]List!AC:AC,MATCH(X51,[1]List!Y:Y,0)),"")</f>
        <v/>
      </c>
      <c r="CI51" s="900"/>
      <c r="CJ51" s="900"/>
      <c r="CK51" s="900"/>
      <c r="CL51" s="900"/>
      <c r="CM51" s="901"/>
      <c r="CN51" s="902"/>
      <c r="CO51" s="903"/>
      <c r="CP51" s="904"/>
      <c r="CQ51" s="892"/>
    </row>
    <row r="52" spans="1:95" x14ac:dyDescent="0.2">
      <c r="A52" s="894"/>
      <c r="B52" s="895"/>
      <c r="C52" s="896"/>
      <c r="D52" s="897"/>
      <c r="E52" s="897"/>
      <c r="F52" s="897"/>
      <c r="G52" s="897"/>
      <c r="H52" s="897"/>
      <c r="I52" s="897"/>
      <c r="J52" s="897"/>
      <c r="K52" s="897"/>
      <c r="L52" s="897"/>
      <c r="M52" s="897"/>
      <c r="N52" s="897"/>
      <c r="O52" s="897"/>
      <c r="P52" s="897"/>
      <c r="Q52" s="897"/>
      <c r="R52" s="897"/>
      <c r="S52" s="897"/>
      <c r="T52" s="897"/>
      <c r="U52" s="895"/>
      <c r="V52" s="852"/>
      <c r="W52" s="853"/>
      <c r="X52" s="853"/>
      <c r="Y52" s="853"/>
      <c r="Z52" s="853"/>
      <c r="AA52" s="853"/>
      <c r="AB52" s="854">
        <f>_xlfn.XLOOKUP(Table17[[#This Row],[Project Delivery Lead]],[1]List!Y:Y,[1]List!AC:AC)</f>
        <v>0</v>
      </c>
      <c r="AC52" s="853" t="str">
        <f>IF($A52="","",'[1]Core Assumptions'!$D72)</f>
        <v/>
      </c>
      <c r="AD52" s="855"/>
      <c r="AE52" s="905"/>
      <c r="AF52" s="857"/>
      <c r="AG52" s="857"/>
      <c r="AH52" s="858"/>
      <c r="AI52" s="858"/>
      <c r="AJ52" s="858"/>
      <c r="AK52" s="858" t="str">
        <f>IF($A52="","",IF('[1]Pricing Summary'!$B$31="T&amp;M","Time and Material","Fixed Fee"))</f>
        <v/>
      </c>
      <c r="AL52" s="856"/>
      <c r="AM52" s="856"/>
      <c r="AN52" s="906" t="str">
        <f>IF($A52="","",'[1]Outputs Recap'!$C$12)</f>
        <v/>
      </c>
      <c r="AO52" s="861" t="str">
        <f>IF($A52="","",VLOOKUP('[1]Outputs Recap'!$C$11,[1]List!$I:$J,2,FALSE))</f>
        <v/>
      </c>
      <c r="AP52" s="856" t="str" cm="1">
        <f t="array" ref="AP52">IF($A52="","",_xlfn.IFS('[1]Pricing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2" s="862" t="str">
        <f>IF($A52="","",_xlfn.XLOOKUP('[1]Core Assumptions'!$D$20,'[1]Other Lookups'!$AH:$AH,'[1]Other Lookups'!$AI:$AI))</f>
        <v/>
      </c>
      <c r="AR52" s="863"/>
      <c r="AS52" s="864" t="str">
        <f>IF($A52="","",'[1]Outputs Recap'!$C$13)</f>
        <v/>
      </c>
      <c r="AT52" s="907"/>
      <c r="AU52" s="907"/>
      <c r="AV52" s="907" t="str">
        <f>IF($A52="","",IFERROR(+Table17[[#This Row],[Total Contract Amount]]*Table17[[#This Row],[First-year, one-time Onboarding/Setup Fee %]],0))</f>
        <v/>
      </c>
      <c r="AW52" s="853"/>
      <c r="AX52" s="867"/>
      <c r="AY52" s="908"/>
      <c r="AZ52" s="909"/>
      <c r="BA52" s="910"/>
      <c r="BB52" s="871"/>
      <c r="BC52" s="871"/>
      <c r="BD52" s="871"/>
      <c r="BE52" s="871"/>
      <c r="BF52" s="871"/>
      <c r="BG52" s="871"/>
      <c r="BH52" s="872"/>
      <c r="BI52" s="874"/>
      <c r="BJ52" s="874"/>
      <c r="BK52" s="874"/>
      <c r="BL52" s="875"/>
      <c r="BM52" s="876"/>
      <c r="BN52" s="911"/>
      <c r="BO52" s="878"/>
      <c r="BP52" s="879"/>
      <c r="BQ52" s="880"/>
      <c r="BR52" s="881"/>
      <c r="BS52" s="882"/>
      <c r="BT52" s="883"/>
      <c r="BU52" s="884"/>
      <c r="BV52" s="884"/>
      <c r="BW52" s="884"/>
      <c r="BX52" s="884"/>
      <c r="BY52" s="884"/>
      <c r="BZ52" s="884"/>
      <c r="CA52" s="884"/>
      <c r="CB52" s="884"/>
      <c r="CC52" s="884"/>
      <c r="CD52" s="884"/>
      <c r="CE52" s="885"/>
      <c r="CF52" s="885" t="str">
        <f>IF($A52="","",IF(#REF!&lt;&gt;0,#REF!-SUM(BT52:CE52),""))</f>
        <v/>
      </c>
      <c r="CG52" s="898" t="str">
        <f>IF(ISBLANK($X52)=FALSE,"NextGenApp Advisory LLC","")</f>
        <v/>
      </c>
      <c r="CH52" s="899" t="str">
        <f>_xlfn.IFNA(INDEX([1]List!AC:AC,MATCH(X52,[1]List!Y:Y,0)),"")</f>
        <v/>
      </c>
      <c r="CI52" s="900"/>
      <c r="CJ52" s="900"/>
      <c r="CK52" s="900"/>
      <c r="CL52" s="900"/>
      <c r="CM52" s="901"/>
      <c r="CN52" s="902"/>
      <c r="CO52" s="903"/>
      <c r="CP52" s="904"/>
      <c r="CQ52" s="892"/>
    </row>
    <row r="53" spans="1:95" x14ac:dyDescent="0.2">
      <c r="A53" s="894"/>
      <c r="B53" s="895"/>
      <c r="C53" s="896"/>
      <c r="D53" s="897"/>
      <c r="E53" s="897"/>
      <c r="F53" s="897"/>
      <c r="G53" s="897"/>
      <c r="H53" s="897"/>
      <c r="I53" s="897"/>
      <c r="J53" s="897"/>
      <c r="K53" s="897"/>
      <c r="L53" s="897"/>
      <c r="M53" s="897"/>
      <c r="N53" s="897"/>
      <c r="O53" s="897"/>
      <c r="P53" s="897"/>
      <c r="Q53" s="897"/>
      <c r="R53" s="897"/>
      <c r="S53" s="897"/>
      <c r="T53" s="897"/>
      <c r="U53" s="895"/>
      <c r="V53" s="852"/>
      <c r="W53" s="853"/>
      <c r="X53" s="853"/>
      <c r="Y53" s="853"/>
      <c r="Z53" s="853"/>
      <c r="AA53" s="853"/>
      <c r="AB53" s="854">
        <f>_xlfn.XLOOKUP(Table17[[#This Row],[Project Delivery Lead]],[1]List!Y:Y,[1]List!AC:AC)</f>
        <v>0</v>
      </c>
      <c r="AC53" s="853" t="str">
        <f>IF($A53="","",'[1]Core Assumptions'!$D73)</f>
        <v/>
      </c>
      <c r="AD53" s="855"/>
      <c r="AE53" s="905"/>
      <c r="AF53" s="857"/>
      <c r="AG53" s="857"/>
      <c r="AH53" s="858"/>
      <c r="AI53" s="858"/>
      <c r="AJ53" s="858"/>
      <c r="AK53" s="858" t="str">
        <f>IF($A53="","",IF('[1]Pricing Summary'!$B$31="T&amp;M","Time and Material","Fixed Fee"))</f>
        <v/>
      </c>
      <c r="AL53" s="856"/>
      <c r="AM53" s="856"/>
      <c r="AN53" s="906" t="str">
        <f>IF($A53="","",'[1]Outputs Recap'!$C$12)</f>
        <v/>
      </c>
      <c r="AO53" s="861" t="str">
        <f>IF($A53="","",VLOOKUP('[1]Outputs Recap'!$C$11,[1]List!$I:$J,2,FALSE))</f>
        <v/>
      </c>
      <c r="AP53" s="856" t="str" cm="1">
        <f t="array" ref="AP53">IF($A53="","",_xlfn.IFS('[1]Pricing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3" s="862" t="str">
        <f>IF($A53="","",_xlfn.XLOOKUP('[1]Core Assumptions'!$D$20,'[1]Other Lookups'!$AH:$AH,'[1]Other Lookups'!$AI:$AI))</f>
        <v/>
      </c>
      <c r="AR53" s="863"/>
      <c r="AS53" s="864" t="str">
        <f>IF($A53="","",'[1]Outputs Recap'!$C$13)</f>
        <v/>
      </c>
      <c r="AT53" s="907"/>
      <c r="AU53" s="907"/>
      <c r="AV53" s="907" t="str">
        <f>IF($A53="","",IFERROR(+Table17[[#This Row],[Total Contract Amount]]*Table17[[#This Row],[First-year, one-time Onboarding/Setup Fee %]],0))</f>
        <v/>
      </c>
      <c r="AW53" s="853"/>
      <c r="AX53" s="867"/>
      <c r="AY53" s="908"/>
      <c r="AZ53" s="909"/>
      <c r="BA53" s="910"/>
      <c r="BB53" s="871"/>
      <c r="BC53" s="871"/>
      <c r="BD53" s="871"/>
      <c r="BE53" s="871"/>
      <c r="BF53" s="871"/>
      <c r="BG53" s="871"/>
      <c r="BH53" s="872"/>
      <c r="BI53" s="874"/>
      <c r="BJ53" s="874"/>
      <c r="BK53" s="874"/>
      <c r="BL53" s="875"/>
      <c r="BM53" s="876"/>
      <c r="BN53" s="911"/>
      <c r="BO53" s="878"/>
      <c r="BP53" s="879"/>
      <c r="BQ53" s="880"/>
      <c r="BR53" s="881"/>
      <c r="BS53" s="882"/>
      <c r="BT53" s="883"/>
      <c r="BU53" s="884"/>
      <c r="BV53" s="884"/>
      <c r="BW53" s="884"/>
      <c r="BX53" s="884"/>
      <c r="BY53" s="884"/>
      <c r="BZ53" s="884"/>
      <c r="CA53" s="884"/>
      <c r="CB53" s="884"/>
      <c r="CC53" s="884"/>
      <c r="CD53" s="884"/>
      <c r="CE53" s="885"/>
      <c r="CF53" s="885" t="str">
        <f>IF($A53="","",IF(#REF!&lt;&gt;0,#REF!-SUM(BT53:CE53),""))</f>
        <v/>
      </c>
      <c r="CG53" s="898" t="str">
        <f>IF(ISBLANK($X53)=FALSE,"NextGenApp Advisory LLC","")</f>
        <v/>
      </c>
      <c r="CH53" s="899" t="str">
        <f>_xlfn.IFNA(INDEX([1]List!AC:AC,MATCH(X53,[1]List!Y:Y,0)),"")</f>
        <v/>
      </c>
      <c r="CI53" s="900"/>
      <c r="CJ53" s="900"/>
      <c r="CK53" s="900"/>
      <c r="CL53" s="900"/>
      <c r="CM53" s="901"/>
      <c r="CN53" s="902"/>
      <c r="CO53" s="903"/>
      <c r="CP53" s="904"/>
      <c r="CQ53" s="892"/>
    </row>
    <row r="54" spans="1:95" x14ac:dyDescent="0.2">
      <c r="A54" s="894"/>
      <c r="B54" s="895"/>
      <c r="C54" s="896"/>
      <c r="D54" s="897"/>
      <c r="E54" s="897"/>
      <c r="F54" s="897"/>
      <c r="G54" s="897"/>
      <c r="H54" s="897"/>
      <c r="I54" s="897"/>
      <c r="J54" s="897"/>
      <c r="K54" s="897"/>
      <c r="L54" s="897"/>
      <c r="M54" s="897"/>
      <c r="N54" s="897"/>
      <c r="O54" s="897"/>
      <c r="P54" s="897"/>
      <c r="Q54" s="897"/>
      <c r="R54" s="897"/>
      <c r="S54" s="897"/>
      <c r="T54" s="897"/>
      <c r="U54" s="895"/>
      <c r="V54" s="852"/>
      <c r="W54" s="853"/>
      <c r="X54" s="853"/>
      <c r="Y54" s="853"/>
      <c r="Z54" s="853"/>
      <c r="AA54" s="853"/>
      <c r="AB54" s="854">
        <f>_xlfn.XLOOKUP(Table17[[#This Row],[Project Delivery Lead]],[1]List!Y:Y,[1]List!AC:AC)</f>
        <v>0</v>
      </c>
      <c r="AC54" s="853" t="str">
        <f>IF($A54="","",'[1]Core Assumptions'!$D74)</f>
        <v/>
      </c>
      <c r="AD54" s="855"/>
      <c r="AE54" s="905"/>
      <c r="AF54" s="857"/>
      <c r="AG54" s="857"/>
      <c r="AH54" s="858"/>
      <c r="AI54" s="858"/>
      <c r="AJ54" s="858"/>
      <c r="AK54" s="858" t="str">
        <f>IF($A54="","",IF('[1]Pricing Summary'!$B$31="T&amp;M","Time and Material","Fixed Fee"))</f>
        <v/>
      </c>
      <c r="AL54" s="856"/>
      <c r="AM54" s="856"/>
      <c r="AN54" s="906" t="str">
        <f>IF($A54="","",'[1]Outputs Recap'!$C$12)</f>
        <v/>
      </c>
      <c r="AO54" s="861" t="str">
        <f>IF($A54="","",VLOOKUP('[1]Outputs Recap'!$C$11,[1]List!$I:$J,2,FALSE))</f>
        <v/>
      </c>
      <c r="AP54" s="856" t="str" cm="1">
        <f t="array" ref="AP54">IF($A54="","",_xlfn.IFS('[1]Pricing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4" s="862" t="str">
        <f>IF($A54="","",_xlfn.XLOOKUP('[1]Core Assumptions'!$D$20,'[1]Other Lookups'!$AH:$AH,'[1]Other Lookups'!$AI:$AI))</f>
        <v/>
      </c>
      <c r="AR54" s="863"/>
      <c r="AS54" s="864" t="str">
        <f>IF($A54="","",'[1]Outputs Recap'!$C$13)</f>
        <v/>
      </c>
      <c r="AT54" s="907"/>
      <c r="AU54" s="907"/>
      <c r="AV54" s="907" t="str">
        <f>IF($A54="","",IFERROR(+Table17[[#This Row],[Total Contract Amount]]*Table17[[#This Row],[First-year, one-time Onboarding/Setup Fee %]],0))</f>
        <v/>
      </c>
      <c r="AW54" s="853"/>
      <c r="AX54" s="867"/>
      <c r="AY54" s="908"/>
      <c r="AZ54" s="909"/>
      <c r="BA54" s="910"/>
      <c r="BB54" s="871"/>
      <c r="BC54" s="871"/>
      <c r="BD54" s="871"/>
      <c r="BE54" s="871"/>
      <c r="BF54" s="871"/>
      <c r="BG54" s="871"/>
      <c r="BH54" s="872"/>
      <c r="BI54" s="874"/>
      <c r="BJ54" s="874"/>
      <c r="BK54" s="874"/>
      <c r="BL54" s="875"/>
      <c r="BM54" s="876"/>
      <c r="BN54" s="911"/>
      <c r="BO54" s="878"/>
      <c r="BP54" s="879"/>
      <c r="BQ54" s="880"/>
      <c r="BR54" s="881"/>
      <c r="BS54" s="882"/>
      <c r="BT54" s="883"/>
      <c r="BU54" s="884"/>
      <c r="BV54" s="884"/>
      <c r="BW54" s="884"/>
      <c r="BX54" s="884"/>
      <c r="BY54" s="884"/>
      <c r="BZ54" s="884"/>
      <c r="CA54" s="884"/>
      <c r="CB54" s="884"/>
      <c r="CC54" s="884"/>
      <c r="CD54" s="884"/>
      <c r="CE54" s="885"/>
      <c r="CF54" s="885" t="str">
        <f>IF($A54="","",IF(#REF!&lt;&gt;0,#REF!-SUM(BT54:CE54),""))</f>
        <v/>
      </c>
      <c r="CG54" s="898" t="str">
        <f>IF(ISBLANK($X54)=FALSE,"NextGenApp Advisory LLC","")</f>
        <v/>
      </c>
      <c r="CH54" s="899" t="str">
        <f>_xlfn.IFNA(INDEX([1]List!AC:AC,MATCH(X54,[1]List!Y:Y,0)),"")</f>
        <v/>
      </c>
      <c r="CI54" s="900"/>
      <c r="CJ54" s="900"/>
      <c r="CK54" s="900"/>
      <c r="CL54" s="900"/>
      <c r="CM54" s="901"/>
      <c r="CN54" s="902"/>
      <c r="CO54" s="903"/>
      <c r="CP54" s="904"/>
      <c r="CQ54" s="892"/>
    </row>
    <row r="55" spans="1:95" x14ac:dyDescent="0.2">
      <c r="A55" s="894"/>
      <c r="B55" s="895"/>
      <c r="C55" s="896"/>
      <c r="D55" s="897"/>
      <c r="E55" s="897"/>
      <c r="F55" s="897"/>
      <c r="G55" s="897"/>
      <c r="H55" s="897"/>
      <c r="I55" s="897"/>
      <c r="J55" s="897"/>
      <c r="K55" s="897"/>
      <c r="L55" s="897"/>
      <c r="M55" s="897"/>
      <c r="N55" s="897"/>
      <c r="O55" s="897"/>
      <c r="P55" s="897"/>
      <c r="Q55" s="897"/>
      <c r="R55" s="897"/>
      <c r="S55" s="897"/>
      <c r="T55" s="897"/>
      <c r="U55" s="895"/>
      <c r="V55" s="852"/>
      <c r="W55" s="853"/>
      <c r="X55" s="853"/>
      <c r="Y55" s="853"/>
      <c r="Z55" s="853"/>
      <c r="AA55" s="853"/>
      <c r="AB55" s="854">
        <f>_xlfn.XLOOKUP(Table17[[#This Row],[Project Delivery Lead]],[1]List!Y:Y,[1]List!AC:AC)</f>
        <v>0</v>
      </c>
      <c r="AC55" s="853" t="str">
        <f>IF($A55="","",'[1]Core Assumptions'!$D75)</f>
        <v/>
      </c>
      <c r="AD55" s="855"/>
      <c r="AE55" s="905"/>
      <c r="AF55" s="857"/>
      <c r="AG55" s="857"/>
      <c r="AH55" s="858"/>
      <c r="AI55" s="858"/>
      <c r="AJ55" s="858"/>
      <c r="AK55" s="858" t="str">
        <f>IF($A55="","",IF('[1]Pricing Summary'!$B$31="T&amp;M","Time and Material","Fixed Fee"))</f>
        <v/>
      </c>
      <c r="AL55" s="856"/>
      <c r="AM55" s="856"/>
      <c r="AN55" s="906" t="str">
        <f>IF($A55="","",'[1]Outputs Recap'!$C$12)</f>
        <v/>
      </c>
      <c r="AO55" s="861" t="str">
        <f>IF($A55="","",VLOOKUP('[1]Outputs Recap'!$C$11,[1]List!$I:$J,2,FALSE))</f>
        <v/>
      </c>
      <c r="AP55" s="856" t="str" cm="1">
        <f t="array" ref="AP55">IF($A55="","",_xlfn.IFS('[1]Pricing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5" s="862" t="str">
        <f>IF($A55="","",_xlfn.XLOOKUP('[1]Core Assumptions'!$D$20,'[1]Other Lookups'!$AH:$AH,'[1]Other Lookups'!$AI:$AI))</f>
        <v/>
      </c>
      <c r="AR55" s="863"/>
      <c r="AS55" s="864" t="str">
        <f>IF($A55="","",'[1]Outputs Recap'!$C$13)</f>
        <v/>
      </c>
      <c r="AT55" s="907"/>
      <c r="AU55" s="907"/>
      <c r="AV55" s="907" t="str">
        <f>IF($A55="","",IFERROR(+Table17[[#This Row],[Total Contract Amount]]*Table17[[#This Row],[First-year, one-time Onboarding/Setup Fee %]],0))</f>
        <v/>
      </c>
      <c r="AW55" s="853"/>
      <c r="AX55" s="867"/>
      <c r="AY55" s="908"/>
      <c r="AZ55" s="909"/>
      <c r="BA55" s="910"/>
      <c r="BB55" s="871"/>
      <c r="BC55" s="871"/>
      <c r="BD55" s="871"/>
      <c r="BE55" s="871"/>
      <c r="BF55" s="871"/>
      <c r="BG55" s="871"/>
      <c r="BH55" s="872"/>
      <c r="BI55" s="874"/>
      <c r="BJ55" s="874"/>
      <c r="BK55" s="874"/>
      <c r="BL55" s="875"/>
      <c r="BM55" s="876"/>
      <c r="BN55" s="911"/>
      <c r="BO55" s="878"/>
      <c r="BP55" s="879"/>
      <c r="BQ55" s="880"/>
      <c r="BR55" s="881"/>
      <c r="BS55" s="882"/>
      <c r="BT55" s="883"/>
      <c r="BU55" s="884"/>
      <c r="BV55" s="884"/>
      <c r="BW55" s="884"/>
      <c r="BX55" s="884"/>
      <c r="BY55" s="884"/>
      <c r="BZ55" s="884"/>
      <c r="CA55" s="884"/>
      <c r="CB55" s="884"/>
      <c r="CC55" s="884"/>
      <c r="CD55" s="884"/>
      <c r="CE55" s="885"/>
      <c r="CF55" s="885" t="str">
        <f>IF($A55="","",IF(#REF!&lt;&gt;0,#REF!-SUM(BT55:CE55),""))</f>
        <v/>
      </c>
      <c r="CG55" s="898" t="str">
        <f>IF(ISBLANK($X55)=FALSE,"NextGenApp Advisory LLC","")</f>
        <v/>
      </c>
      <c r="CH55" s="899" t="str">
        <f>_xlfn.IFNA(INDEX([1]List!AC:AC,MATCH(X55,[1]List!Y:Y,0)),"")</f>
        <v/>
      </c>
      <c r="CI55" s="900"/>
      <c r="CJ55" s="900"/>
      <c r="CK55" s="900"/>
      <c r="CL55" s="900"/>
      <c r="CM55" s="901"/>
      <c r="CN55" s="902"/>
      <c r="CO55" s="903"/>
      <c r="CP55" s="904"/>
      <c r="CQ55" s="892"/>
    </row>
    <row r="56" spans="1:95" x14ac:dyDescent="0.2">
      <c r="A56" s="894"/>
      <c r="B56" s="895"/>
      <c r="C56" s="896"/>
      <c r="D56" s="897"/>
      <c r="E56" s="897"/>
      <c r="F56" s="897"/>
      <c r="G56" s="897"/>
      <c r="H56" s="897"/>
      <c r="I56" s="897"/>
      <c r="J56" s="897"/>
      <c r="K56" s="897"/>
      <c r="L56" s="897"/>
      <c r="M56" s="897"/>
      <c r="N56" s="897"/>
      <c r="O56" s="897"/>
      <c r="P56" s="897"/>
      <c r="Q56" s="897"/>
      <c r="R56" s="897"/>
      <c r="S56" s="897"/>
      <c r="T56" s="897"/>
      <c r="U56" s="895"/>
      <c r="V56" s="852"/>
      <c r="W56" s="853"/>
      <c r="X56" s="853"/>
      <c r="Y56" s="853"/>
      <c r="Z56" s="853"/>
      <c r="AA56" s="853"/>
      <c r="AB56" s="854">
        <f>_xlfn.XLOOKUP(Table17[[#This Row],[Project Delivery Lead]],[1]List!Y:Y,[1]List!AC:AC)</f>
        <v>0</v>
      </c>
      <c r="AC56" s="853" t="str">
        <f>IF($A56="","",'[1]Core Assumptions'!$D76)</f>
        <v/>
      </c>
      <c r="AD56" s="855"/>
      <c r="AE56" s="905"/>
      <c r="AF56" s="857"/>
      <c r="AG56" s="857"/>
      <c r="AH56" s="858"/>
      <c r="AI56" s="858"/>
      <c r="AJ56" s="858"/>
      <c r="AK56" s="858" t="str">
        <f>IF($A56="","",IF('[1]Pricing Summary'!$B$31="T&amp;M","Time and Material","Fixed Fee"))</f>
        <v/>
      </c>
      <c r="AL56" s="856"/>
      <c r="AM56" s="856"/>
      <c r="AN56" s="906" t="str">
        <f>IF($A56="","",'[1]Outputs Recap'!$C$12)</f>
        <v/>
      </c>
      <c r="AO56" s="861" t="str">
        <f>IF($A56="","",VLOOKUP('[1]Outputs Recap'!$C$11,[1]List!$I:$J,2,FALSE))</f>
        <v/>
      </c>
      <c r="AP56" s="856" t="str" cm="1">
        <f t="array" ref="AP56">IF($A56="","",_xlfn.IFS('[1]Pricing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6" s="862" t="str">
        <f>IF($A56="","",_xlfn.XLOOKUP('[1]Core Assumptions'!$D$20,'[1]Other Lookups'!$AH:$AH,'[1]Other Lookups'!$AI:$AI))</f>
        <v/>
      </c>
      <c r="AR56" s="863"/>
      <c r="AS56" s="864" t="str">
        <f>IF($A56="","",'[1]Outputs Recap'!$C$13)</f>
        <v/>
      </c>
      <c r="AT56" s="907"/>
      <c r="AU56" s="907"/>
      <c r="AV56" s="907" t="str">
        <f>IF($A56="","",IFERROR(+Table17[[#This Row],[Total Contract Amount]]*Table17[[#This Row],[First-year, one-time Onboarding/Setup Fee %]],0))</f>
        <v/>
      </c>
      <c r="AW56" s="853"/>
      <c r="AX56" s="867"/>
      <c r="AY56" s="908"/>
      <c r="AZ56" s="909"/>
      <c r="BA56" s="910"/>
      <c r="BB56" s="871"/>
      <c r="BC56" s="871"/>
      <c r="BD56" s="871"/>
      <c r="BE56" s="871"/>
      <c r="BF56" s="871"/>
      <c r="BG56" s="871"/>
      <c r="BH56" s="872"/>
      <c r="BI56" s="874"/>
      <c r="BJ56" s="874"/>
      <c r="BK56" s="874"/>
      <c r="BL56" s="875"/>
      <c r="BM56" s="876"/>
      <c r="BN56" s="911"/>
      <c r="BO56" s="878"/>
      <c r="BP56" s="879"/>
      <c r="BQ56" s="880"/>
      <c r="BR56" s="881"/>
      <c r="BS56" s="882"/>
      <c r="BT56" s="883"/>
      <c r="BU56" s="884"/>
      <c r="BV56" s="884"/>
      <c r="BW56" s="884"/>
      <c r="BX56" s="884"/>
      <c r="BY56" s="884"/>
      <c r="BZ56" s="884"/>
      <c r="CA56" s="884"/>
      <c r="CB56" s="884"/>
      <c r="CC56" s="884"/>
      <c r="CD56" s="884"/>
      <c r="CE56" s="885"/>
      <c r="CF56" s="885" t="str">
        <f>IF($A56="","",IF(#REF!&lt;&gt;0,#REF!-SUM(BT56:CE56),""))</f>
        <v/>
      </c>
      <c r="CG56" s="898" t="str">
        <f>IF(ISBLANK($X56)=FALSE,"NextGenApp Advisory LLC","")</f>
        <v/>
      </c>
      <c r="CH56" s="899" t="str">
        <f>_xlfn.IFNA(INDEX([1]List!AC:AC,MATCH(X56,[1]List!Y:Y,0)),"")</f>
        <v/>
      </c>
      <c r="CI56" s="900"/>
      <c r="CJ56" s="900"/>
      <c r="CK56" s="900"/>
      <c r="CL56" s="900"/>
      <c r="CM56" s="901"/>
      <c r="CN56" s="902"/>
      <c r="CO56" s="903"/>
      <c r="CP56" s="904"/>
      <c r="CQ56" s="892"/>
    </row>
    <row r="57" spans="1:95" x14ac:dyDescent="0.2">
      <c r="A57" s="894"/>
      <c r="B57" s="895"/>
      <c r="C57" s="896"/>
      <c r="D57" s="897"/>
      <c r="E57" s="897"/>
      <c r="F57" s="897"/>
      <c r="G57" s="897"/>
      <c r="H57" s="897"/>
      <c r="I57" s="897"/>
      <c r="J57" s="897"/>
      <c r="K57" s="897"/>
      <c r="L57" s="897"/>
      <c r="M57" s="897"/>
      <c r="N57" s="897"/>
      <c r="O57" s="897"/>
      <c r="P57" s="897"/>
      <c r="Q57" s="897"/>
      <c r="R57" s="897"/>
      <c r="S57" s="897"/>
      <c r="T57" s="897"/>
      <c r="U57" s="895"/>
      <c r="V57" s="852"/>
      <c r="W57" s="853"/>
      <c r="X57" s="853"/>
      <c r="Y57" s="853"/>
      <c r="Z57" s="853"/>
      <c r="AA57" s="853"/>
      <c r="AB57" s="854">
        <f>_xlfn.XLOOKUP(Table17[[#This Row],[Project Delivery Lead]],[1]List!Y:Y,[1]List!AC:AC)</f>
        <v>0</v>
      </c>
      <c r="AC57" s="853" t="str">
        <f>IF($A57="","",'[1]Core Assumptions'!$D77)</f>
        <v/>
      </c>
      <c r="AD57" s="855"/>
      <c r="AE57" s="905"/>
      <c r="AF57" s="857"/>
      <c r="AG57" s="857"/>
      <c r="AH57" s="858"/>
      <c r="AI57" s="858"/>
      <c r="AJ57" s="858"/>
      <c r="AK57" s="858" t="str">
        <f>IF($A57="","",IF('[1]Pricing Summary'!$B$31="T&amp;M","Time and Material","Fixed Fee"))</f>
        <v/>
      </c>
      <c r="AL57" s="856"/>
      <c r="AM57" s="856"/>
      <c r="AN57" s="906" t="str">
        <f>IF($A57="","",'[1]Outputs Recap'!$C$12)</f>
        <v/>
      </c>
      <c r="AO57" s="861" t="str">
        <f>IF($A57="","",VLOOKUP('[1]Outputs Recap'!$C$11,[1]List!$I:$J,2,FALSE))</f>
        <v/>
      </c>
      <c r="AP57" s="856" t="str" cm="1">
        <f t="array" ref="AP57">IF($A57="","",_xlfn.IFS('[1]Pricing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7" s="862" t="str">
        <f>IF($A57="","",_xlfn.XLOOKUP('[1]Core Assumptions'!$D$20,'[1]Other Lookups'!$AH:$AH,'[1]Other Lookups'!$AI:$AI))</f>
        <v/>
      </c>
      <c r="AR57" s="863"/>
      <c r="AS57" s="864" t="str">
        <f>IF($A57="","",'[1]Outputs Recap'!$C$13)</f>
        <v/>
      </c>
      <c r="AT57" s="907"/>
      <c r="AU57" s="907"/>
      <c r="AV57" s="907" t="str">
        <f>IF($A57="","",IFERROR(+Table17[[#This Row],[Total Contract Amount]]*Table17[[#This Row],[First-year, one-time Onboarding/Setup Fee %]],0))</f>
        <v/>
      </c>
      <c r="AW57" s="853"/>
      <c r="AX57" s="867"/>
      <c r="AY57" s="908"/>
      <c r="AZ57" s="909"/>
      <c r="BA57" s="910"/>
      <c r="BB57" s="871"/>
      <c r="BC57" s="871"/>
      <c r="BD57" s="871"/>
      <c r="BE57" s="871"/>
      <c r="BF57" s="871"/>
      <c r="BG57" s="871"/>
      <c r="BH57" s="872"/>
      <c r="BI57" s="874"/>
      <c r="BJ57" s="874"/>
      <c r="BK57" s="874"/>
      <c r="BL57" s="875"/>
      <c r="BM57" s="876"/>
      <c r="BN57" s="911"/>
      <c r="BO57" s="878"/>
      <c r="BP57" s="879"/>
      <c r="BQ57" s="880"/>
      <c r="BR57" s="881"/>
      <c r="BS57" s="882"/>
      <c r="BT57" s="883"/>
      <c r="BU57" s="884"/>
      <c r="BV57" s="884"/>
      <c r="BW57" s="884"/>
      <c r="BX57" s="884"/>
      <c r="BY57" s="884"/>
      <c r="BZ57" s="884"/>
      <c r="CA57" s="884"/>
      <c r="CB57" s="884"/>
      <c r="CC57" s="884"/>
      <c r="CD57" s="884"/>
      <c r="CE57" s="885"/>
      <c r="CF57" s="885" t="str">
        <f>IF($A57="","",IF(#REF!&lt;&gt;0,#REF!-SUM(BT57:CE57),""))</f>
        <v/>
      </c>
      <c r="CG57" s="898" t="str">
        <f>IF(ISBLANK($X57)=FALSE,"NextGenApp Advisory LLC","")</f>
        <v/>
      </c>
      <c r="CH57" s="899" t="str">
        <f>_xlfn.IFNA(INDEX([1]List!AC:AC,MATCH(X57,[1]List!Y:Y,0)),"")</f>
        <v/>
      </c>
      <c r="CI57" s="900"/>
      <c r="CJ57" s="900"/>
      <c r="CK57" s="900"/>
      <c r="CL57" s="900"/>
      <c r="CM57" s="901"/>
      <c r="CN57" s="902"/>
      <c r="CO57" s="903"/>
      <c r="CP57" s="904"/>
      <c r="CQ57" s="892"/>
    </row>
    <row r="58" spans="1:95" x14ac:dyDescent="0.2">
      <c r="A58" s="894"/>
      <c r="B58" s="895"/>
      <c r="C58" s="896"/>
      <c r="D58" s="897"/>
      <c r="E58" s="897"/>
      <c r="F58" s="897"/>
      <c r="G58" s="897"/>
      <c r="H58" s="897"/>
      <c r="I58" s="897"/>
      <c r="J58" s="897"/>
      <c r="K58" s="897"/>
      <c r="L58" s="897"/>
      <c r="M58" s="897"/>
      <c r="N58" s="897"/>
      <c r="O58" s="897"/>
      <c r="P58" s="897"/>
      <c r="Q58" s="897"/>
      <c r="R58" s="897"/>
      <c r="S58" s="897"/>
      <c r="T58" s="897"/>
      <c r="U58" s="895"/>
      <c r="V58" s="852"/>
      <c r="W58" s="853"/>
      <c r="X58" s="853"/>
      <c r="Y58" s="853"/>
      <c r="Z58" s="853"/>
      <c r="AA58" s="853"/>
      <c r="AB58" s="854">
        <f>_xlfn.XLOOKUP(Table17[[#This Row],[Project Delivery Lead]],[1]List!Y:Y,[1]List!AC:AC)</f>
        <v>0</v>
      </c>
      <c r="AC58" s="853" t="str">
        <f>IF($A58="","",'[1]Core Assumptions'!$D78)</f>
        <v/>
      </c>
      <c r="AD58" s="855"/>
      <c r="AE58" s="905"/>
      <c r="AF58" s="857"/>
      <c r="AG58" s="857"/>
      <c r="AH58" s="858"/>
      <c r="AI58" s="858"/>
      <c r="AJ58" s="858"/>
      <c r="AK58" s="858" t="str">
        <f>IF($A58="","",IF('[1]Pricing Summary'!$B$31="T&amp;M","Time and Material","Fixed Fee"))</f>
        <v/>
      </c>
      <c r="AL58" s="856"/>
      <c r="AM58" s="856"/>
      <c r="AN58" s="906" t="str">
        <f>IF($A58="","",'[1]Outputs Recap'!$C$12)</f>
        <v/>
      </c>
      <c r="AO58" s="861" t="str">
        <f>IF($A58="","",VLOOKUP('[1]Outputs Recap'!$C$11,[1]List!$I:$J,2,FALSE))</f>
        <v/>
      </c>
      <c r="AP58" s="856" t="str" cm="1">
        <f t="array" ref="AP58">IF($A58="","",_xlfn.IFS('[1]Pricing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8" s="862" t="str">
        <f>IF($A58="","",_xlfn.XLOOKUP('[1]Core Assumptions'!$D$20,'[1]Other Lookups'!$AH:$AH,'[1]Other Lookups'!$AI:$AI))</f>
        <v/>
      </c>
      <c r="AR58" s="863"/>
      <c r="AS58" s="864" t="str">
        <f>IF($A58="","",'[1]Outputs Recap'!$C$13)</f>
        <v/>
      </c>
      <c r="AT58" s="907"/>
      <c r="AU58" s="907"/>
      <c r="AV58" s="907" t="str">
        <f>IF($A58="","",IFERROR(+Table17[[#This Row],[Total Contract Amount]]*Table17[[#This Row],[First-year, one-time Onboarding/Setup Fee %]],0))</f>
        <v/>
      </c>
      <c r="AW58" s="853"/>
      <c r="AX58" s="867"/>
      <c r="AY58" s="908"/>
      <c r="AZ58" s="909"/>
      <c r="BA58" s="910"/>
      <c r="BB58" s="871"/>
      <c r="BC58" s="871"/>
      <c r="BD58" s="871"/>
      <c r="BE58" s="871"/>
      <c r="BF58" s="871"/>
      <c r="BG58" s="871"/>
      <c r="BH58" s="872"/>
      <c r="BI58" s="874"/>
      <c r="BJ58" s="874"/>
      <c r="BK58" s="874"/>
      <c r="BL58" s="875"/>
      <c r="BM58" s="876"/>
      <c r="BN58" s="911"/>
      <c r="BO58" s="878"/>
      <c r="BP58" s="879"/>
      <c r="BQ58" s="880"/>
      <c r="BR58" s="881"/>
      <c r="BS58" s="882"/>
      <c r="BT58" s="883"/>
      <c r="BU58" s="884"/>
      <c r="BV58" s="884"/>
      <c r="BW58" s="884"/>
      <c r="BX58" s="884"/>
      <c r="BY58" s="884"/>
      <c r="BZ58" s="884"/>
      <c r="CA58" s="884"/>
      <c r="CB58" s="884"/>
      <c r="CC58" s="884"/>
      <c r="CD58" s="884"/>
      <c r="CE58" s="885"/>
      <c r="CF58" s="885" t="str">
        <f>IF($A58="","",IF(#REF!&lt;&gt;0,#REF!-SUM(BT58:CE58),""))</f>
        <v/>
      </c>
      <c r="CG58" s="898" t="str">
        <f>IF(ISBLANK($X58)=FALSE,"NextGenApp Advisory LLC","")</f>
        <v/>
      </c>
      <c r="CH58" s="899" t="str">
        <f>_xlfn.IFNA(INDEX([1]List!AC:AC,MATCH(X58,[1]List!Y:Y,0)),"")</f>
        <v/>
      </c>
      <c r="CI58" s="900"/>
      <c r="CJ58" s="900"/>
      <c r="CK58" s="900"/>
      <c r="CL58" s="900"/>
      <c r="CM58" s="901"/>
      <c r="CN58" s="902"/>
      <c r="CO58" s="903"/>
      <c r="CP58" s="904"/>
      <c r="CQ58" s="892"/>
    </row>
    <row r="59" spans="1:95" x14ac:dyDescent="0.2">
      <c r="A59" s="894"/>
      <c r="B59" s="895"/>
      <c r="C59" s="896"/>
      <c r="D59" s="897"/>
      <c r="E59" s="897"/>
      <c r="F59" s="897"/>
      <c r="G59" s="897"/>
      <c r="H59" s="897"/>
      <c r="I59" s="897"/>
      <c r="J59" s="897"/>
      <c r="K59" s="897"/>
      <c r="L59" s="897"/>
      <c r="M59" s="897"/>
      <c r="N59" s="897"/>
      <c r="O59" s="897"/>
      <c r="P59" s="897"/>
      <c r="Q59" s="897"/>
      <c r="R59" s="897"/>
      <c r="S59" s="897"/>
      <c r="T59" s="897"/>
      <c r="U59" s="895"/>
      <c r="V59" s="852"/>
      <c r="W59" s="853"/>
      <c r="X59" s="853"/>
      <c r="Y59" s="853"/>
      <c r="Z59" s="853"/>
      <c r="AA59" s="853"/>
      <c r="AB59" s="854">
        <f>_xlfn.XLOOKUP(Table17[[#This Row],[Project Delivery Lead]],[1]List!Y:Y,[1]List!AC:AC)</f>
        <v>0</v>
      </c>
      <c r="AC59" s="853" t="str">
        <f>IF($A59="","",'[1]Core Assumptions'!$D79)</f>
        <v/>
      </c>
      <c r="AD59" s="855"/>
      <c r="AE59" s="905"/>
      <c r="AF59" s="857"/>
      <c r="AG59" s="857"/>
      <c r="AH59" s="858"/>
      <c r="AI59" s="858"/>
      <c r="AJ59" s="858"/>
      <c r="AK59" s="858" t="str">
        <f>IF($A59="","",IF('[1]Pricing Summary'!$B$31="T&amp;M","Time and Material","Fixed Fee"))</f>
        <v/>
      </c>
      <c r="AL59" s="856"/>
      <c r="AM59" s="856"/>
      <c r="AN59" s="906" t="str">
        <f>IF($A59="","",'[1]Outputs Recap'!$C$12)</f>
        <v/>
      </c>
      <c r="AO59" s="861" t="str">
        <f>IF($A59="","",VLOOKUP('[1]Outputs Recap'!$C$11,[1]List!$I:$J,2,FALSE))</f>
        <v/>
      </c>
      <c r="AP59" s="856" t="str" cm="1">
        <f t="array" ref="AP59">IF($A59="","",_xlfn.IFS('[1]Pricing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59" s="862" t="str">
        <f>IF($A59="","",_xlfn.XLOOKUP('[1]Core Assumptions'!$D$20,'[1]Other Lookups'!$AH:$AH,'[1]Other Lookups'!$AI:$AI))</f>
        <v/>
      </c>
      <c r="AR59" s="863"/>
      <c r="AS59" s="864" t="str">
        <f>IF($A59="","",'[1]Outputs Recap'!$C$13)</f>
        <v/>
      </c>
      <c r="AT59" s="907"/>
      <c r="AU59" s="907"/>
      <c r="AV59" s="907" t="str">
        <f>IF($A59="","",IFERROR(+Table17[[#This Row],[Total Contract Amount]]*Table17[[#This Row],[First-year, one-time Onboarding/Setup Fee %]],0))</f>
        <v/>
      </c>
      <c r="AW59" s="853"/>
      <c r="AX59" s="867"/>
      <c r="AY59" s="908"/>
      <c r="AZ59" s="909"/>
      <c r="BA59" s="910"/>
      <c r="BB59" s="871"/>
      <c r="BC59" s="871"/>
      <c r="BD59" s="871"/>
      <c r="BE59" s="871"/>
      <c r="BF59" s="871"/>
      <c r="BG59" s="871"/>
      <c r="BH59" s="872"/>
      <c r="BI59" s="874"/>
      <c r="BJ59" s="874"/>
      <c r="BK59" s="874"/>
      <c r="BL59" s="875"/>
      <c r="BM59" s="876"/>
      <c r="BN59" s="911"/>
      <c r="BO59" s="878"/>
      <c r="BP59" s="879"/>
      <c r="BQ59" s="880"/>
      <c r="BR59" s="881"/>
      <c r="BS59" s="882"/>
      <c r="BT59" s="883"/>
      <c r="BU59" s="884"/>
      <c r="BV59" s="884"/>
      <c r="BW59" s="884"/>
      <c r="BX59" s="884"/>
      <c r="BY59" s="884"/>
      <c r="BZ59" s="884"/>
      <c r="CA59" s="884"/>
      <c r="CB59" s="884"/>
      <c r="CC59" s="884"/>
      <c r="CD59" s="884"/>
      <c r="CE59" s="885"/>
      <c r="CF59" s="885" t="str">
        <f>IF($A59="","",IF(#REF!&lt;&gt;0,#REF!-SUM(BT59:CE59),""))</f>
        <v/>
      </c>
      <c r="CG59" s="898" t="str">
        <f>IF(ISBLANK($X59)=FALSE,"NextGenApp Advisory LLC","")</f>
        <v/>
      </c>
      <c r="CH59" s="899" t="str">
        <f>_xlfn.IFNA(INDEX([1]List!AC:AC,MATCH(X59,[1]List!Y:Y,0)),"")</f>
        <v/>
      </c>
      <c r="CI59" s="900"/>
      <c r="CJ59" s="900"/>
      <c r="CK59" s="900"/>
      <c r="CL59" s="900"/>
      <c r="CM59" s="901"/>
      <c r="CN59" s="902"/>
      <c r="CO59" s="903"/>
      <c r="CP59" s="904"/>
      <c r="CQ59" s="892"/>
    </row>
    <row r="60" spans="1:95" x14ac:dyDescent="0.2">
      <c r="A60" s="894"/>
      <c r="B60" s="895"/>
      <c r="C60" s="896"/>
      <c r="D60" s="897"/>
      <c r="E60" s="897"/>
      <c r="F60" s="897"/>
      <c r="G60" s="897"/>
      <c r="H60" s="897"/>
      <c r="I60" s="897"/>
      <c r="J60" s="897"/>
      <c r="K60" s="897"/>
      <c r="L60" s="897"/>
      <c r="M60" s="897"/>
      <c r="N60" s="897"/>
      <c r="O60" s="897"/>
      <c r="P60" s="897"/>
      <c r="Q60" s="897"/>
      <c r="R60" s="897"/>
      <c r="S60" s="897"/>
      <c r="T60" s="897"/>
      <c r="U60" s="895"/>
      <c r="V60" s="852"/>
      <c r="W60" s="853"/>
      <c r="X60" s="853"/>
      <c r="Y60" s="853"/>
      <c r="Z60" s="853"/>
      <c r="AA60" s="853"/>
      <c r="AB60" s="854">
        <f>_xlfn.XLOOKUP(Table17[[#This Row],[Project Delivery Lead]],[1]List!Y:Y,[1]List!AC:AC)</f>
        <v>0</v>
      </c>
      <c r="AC60" s="853" t="str">
        <f>IF($A60="","",'[1]Core Assumptions'!$D80)</f>
        <v/>
      </c>
      <c r="AD60" s="855"/>
      <c r="AE60" s="905"/>
      <c r="AF60" s="857"/>
      <c r="AG60" s="857"/>
      <c r="AH60" s="858"/>
      <c r="AI60" s="858"/>
      <c r="AJ60" s="858"/>
      <c r="AK60" s="858" t="str">
        <f>IF($A60="","",IF('[1]Pricing Summary'!$B$31="T&amp;M","Time and Material","Fixed Fee"))</f>
        <v/>
      </c>
      <c r="AL60" s="856"/>
      <c r="AM60" s="856"/>
      <c r="AN60" s="906" t="str">
        <f>IF($A60="","",'[1]Outputs Recap'!$C$12)</f>
        <v/>
      </c>
      <c r="AO60" s="861" t="str">
        <f>IF($A60="","",VLOOKUP('[1]Outputs Recap'!$C$11,[1]List!$I:$J,2,FALSE))</f>
        <v/>
      </c>
      <c r="AP60" s="856" t="str" cm="1">
        <f t="array" ref="AP60">IF($A60="","",_xlfn.IFS('[1]Pricing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0" s="862" t="str">
        <f>IF($A60="","",_xlfn.XLOOKUP('[1]Core Assumptions'!$D$20,'[1]Other Lookups'!$AH:$AH,'[1]Other Lookups'!$AI:$AI))</f>
        <v/>
      </c>
      <c r="AR60" s="863"/>
      <c r="AS60" s="864" t="str">
        <f>IF($A60="","",'[1]Outputs Recap'!$C$13)</f>
        <v/>
      </c>
      <c r="AT60" s="907"/>
      <c r="AU60" s="907"/>
      <c r="AV60" s="907" t="str">
        <f>IF($A60="","",IFERROR(+Table17[[#This Row],[Total Contract Amount]]*Table17[[#This Row],[First-year, one-time Onboarding/Setup Fee %]],0))</f>
        <v/>
      </c>
      <c r="AW60" s="853"/>
      <c r="AX60" s="867"/>
      <c r="AY60" s="908"/>
      <c r="AZ60" s="909"/>
      <c r="BA60" s="910"/>
      <c r="BB60" s="871"/>
      <c r="BC60" s="871"/>
      <c r="BD60" s="871"/>
      <c r="BE60" s="871"/>
      <c r="BF60" s="871"/>
      <c r="BG60" s="871"/>
      <c r="BH60" s="872"/>
      <c r="BI60" s="874"/>
      <c r="BJ60" s="874"/>
      <c r="BK60" s="874"/>
      <c r="BL60" s="875"/>
      <c r="BM60" s="876"/>
      <c r="BN60" s="911"/>
      <c r="BO60" s="878"/>
      <c r="BP60" s="879"/>
      <c r="BQ60" s="880"/>
      <c r="BR60" s="881"/>
      <c r="BS60" s="882"/>
      <c r="BT60" s="883"/>
      <c r="BU60" s="884"/>
      <c r="BV60" s="884"/>
      <c r="BW60" s="884"/>
      <c r="BX60" s="884"/>
      <c r="BY60" s="884"/>
      <c r="BZ60" s="884"/>
      <c r="CA60" s="884"/>
      <c r="CB60" s="884"/>
      <c r="CC60" s="884"/>
      <c r="CD60" s="884"/>
      <c r="CE60" s="885"/>
      <c r="CF60" s="885" t="str">
        <f>IF($A60="","",IF(#REF!&lt;&gt;0,#REF!-SUM(BT60:CE60),""))</f>
        <v/>
      </c>
      <c r="CG60" s="898" t="str">
        <f>IF(ISBLANK($X60)=FALSE,"NextGenApp Advisory LLC","")</f>
        <v/>
      </c>
      <c r="CH60" s="899" t="str">
        <f>_xlfn.IFNA(INDEX([1]List!AC:AC,MATCH(X60,[1]List!Y:Y,0)),"")</f>
        <v/>
      </c>
      <c r="CI60" s="900"/>
      <c r="CJ60" s="900"/>
      <c r="CK60" s="900"/>
      <c r="CL60" s="900"/>
      <c r="CM60" s="901"/>
      <c r="CN60" s="902"/>
      <c r="CO60" s="903"/>
      <c r="CP60" s="904"/>
      <c r="CQ60" s="892"/>
    </row>
    <row r="61" spans="1:95" x14ac:dyDescent="0.2">
      <c r="A61" s="894"/>
      <c r="B61" s="895"/>
      <c r="C61" s="896"/>
      <c r="D61" s="897"/>
      <c r="E61" s="897"/>
      <c r="F61" s="897"/>
      <c r="G61" s="897"/>
      <c r="H61" s="897"/>
      <c r="I61" s="897"/>
      <c r="J61" s="897"/>
      <c r="K61" s="897"/>
      <c r="L61" s="897"/>
      <c r="M61" s="897"/>
      <c r="N61" s="897"/>
      <c r="O61" s="897"/>
      <c r="P61" s="897"/>
      <c r="Q61" s="897"/>
      <c r="R61" s="897"/>
      <c r="S61" s="897"/>
      <c r="T61" s="897"/>
      <c r="U61" s="895"/>
      <c r="V61" s="852"/>
      <c r="W61" s="853"/>
      <c r="X61" s="853"/>
      <c r="Y61" s="853"/>
      <c r="Z61" s="853"/>
      <c r="AA61" s="853"/>
      <c r="AB61" s="854">
        <f>_xlfn.XLOOKUP(Table17[[#This Row],[Project Delivery Lead]],[1]List!Y:Y,[1]List!AC:AC)</f>
        <v>0</v>
      </c>
      <c r="AC61" s="853" t="str">
        <f>IF($A61="","",'[1]Core Assumptions'!$D81)</f>
        <v/>
      </c>
      <c r="AD61" s="855"/>
      <c r="AE61" s="905"/>
      <c r="AF61" s="857"/>
      <c r="AG61" s="857"/>
      <c r="AH61" s="858"/>
      <c r="AI61" s="858"/>
      <c r="AJ61" s="858"/>
      <c r="AK61" s="858" t="str">
        <f>IF($A61="","",IF('[1]Pricing Summary'!$B$31="T&amp;M","Time and Material","Fixed Fee"))</f>
        <v/>
      </c>
      <c r="AL61" s="856"/>
      <c r="AM61" s="856"/>
      <c r="AN61" s="906" t="str">
        <f>IF($A61="","",'[1]Outputs Recap'!$C$12)</f>
        <v/>
      </c>
      <c r="AO61" s="861" t="str">
        <f>IF($A61="","",VLOOKUP('[1]Outputs Recap'!$C$11,[1]List!$I:$J,2,FALSE))</f>
        <v/>
      </c>
      <c r="AP61" s="856" t="str" cm="1">
        <f t="array" ref="AP61">IF($A61="","",_xlfn.IFS('[1]Pricing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1" s="862" t="str">
        <f>IF($A61="","",_xlfn.XLOOKUP('[1]Core Assumptions'!$D$20,'[1]Other Lookups'!$AH:$AH,'[1]Other Lookups'!$AI:$AI))</f>
        <v/>
      </c>
      <c r="AR61" s="863"/>
      <c r="AS61" s="864" t="str">
        <f>IF($A61="","",'[1]Outputs Recap'!$C$13)</f>
        <v/>
      </c>
      <c r="AT61" s="907"/>
      <c r="AU61" s="907"/>
      <c r="AV61" s="907" t="str">
        <f>IF($A61="","",IFERROR(+Table17[[#This Row],[Total Contract Amount]]*Table17[[#This Row],[First-year, one-time Onboarding/Setup Fee %]],0))</f>
        <v/>
      </c>
      <c r="AW61" s="853"/>
      <c r="AX61" s="867"/>
      <c r="AY61" s="908"/>
      <c r="AZ61" s="909"/>
      <c r="BA61" s="910"/>
      <c r="BB61" s="871"/>
      <c r="BC61" s="871"/>
      <c r="BD61" s="871"/>
      <c r="BE61" s="871"/>
      <c r="BF61" s="871"/>
      <c r="BG61" s="871"/>
      <c r="BH61" s="872"/>
      <c r="BI61" s="874"/>
      <c r="BJ61" s="874"/>
      <c r="BK61" s="874"/>
      <c r="BL61" s="875"/>
      <c r="BM61" s="876"/>
      <c r="BN61" s="911"/>
      <c r="BO61" s="878"/>
      <c r="BP61" s="879"/>
      <c r="BQ61" s="880"/>
      <c r="BR61" s="881"/>
      <c r="BS61" s="882"/>
      <c r="BT61" s="883"/>
      <c r="BU61" s="884"/>
      <c r="BV61" s="884"/>
      <c r="BW61" s="884"/>
      <c r="BX61" s="884"/>
      <c r="BY61" s="884"/>
      <c r="BZ61" s="884"/>
      <c r="CA61" s="884"/>
      <c r="CB61" s="884"/>
      <c r="CC61" s="884"/>
      <c r="CD61" s="884"/>
      <c r="CE61" s="885"/>
      <c r="CF61" s="885" t="str">
        <f>IF($A61="","",IF(#REF!&lt;&gt;0,#REF!-SUM(BT61:CE61),""))</f>
        <v/>
      </c>
      <c r="CG61" s="898" t="str">
        <f>IF(ISBLANK($X61)=FALSE,"NextGenApp Advisory LLC","")</f>
        <v/>
      </c>
      <c r="CH61" s="899" t="str">
        <f>_xlfn.IFNA(INDEX([1]List!AC:AC,MATCH(X61,[1]List!Y:Y,0)),"")</f>
        <v/>
      </c>
      <c r="CI61" s="900"/>
      <c r="CJ61" s="900"/>
      <c r="CK61" s="900"/>
      <c r="CL61" s="900"/>
      <c r="CM61" s="901"/>
      <c r="CN61" s="902"/>
      <c r="CO61" s="903"/>
      <c r="CP61" s="904"/>
      <c r="CQ61" s="892"/>
    </row>
    <row r="62" spans="1:95" x14ac:dyDescent="0.2">
      <c r="A62" s="894"/>
      <c r="B62" s="895"/>
      <c r="C62" s="896"/>
      <c r="D62" s="897"/>
      <c r="E62" s="897"/>
      <c r="F62" s="897"/>
      <c r="G62" s="897"/>
      <c r="H62" s="897"/>
      <c r="I62" s="897"/>
      <c r="J62" s="897"/>
      <c r="K62" s="897"/>
      <c r="L62" s="897"/>
      <c r="M62" s="897"/>
      <c r="N62" s="897"/>
      <c r="O62" s="897"/>
      <c r="P62" s="897"/>
      <c r="Q62" s="897"/>
      <c r="R62" s="897"/>
      <c r="S62" s="897"/>
      <c r="T62" s="897"/>
      <c r="U62" s="895"/>
      <c r="V62" s="852"/>
      <c r="W62" s="853"/>
      <c r="X62" s="853"/>
      <c r="Y62" s="853"/>
      <c r="Z62" s="853"/>
      <c r="AA62" s="853"/>
      <c r="AB62" s="854">
        <f>_xlfn.XLOOKUP(Table17[[#This Row],[Project Delivery Lead]],[1]List!Y:Y,[1]List!AC:AC)</f>
        <v>0</v>
      </c>
      <c r="AC62" s="853" t="str">
        <f>IF($A62="","",'[1]Core Assumptions'!$D82)</f>
        <v/>
      </c>
      <c r="AD62" s="855"/>
      <c r="AE62" s="905"/>
      <c r="AF62" s="857"/>
      <c r="AG62" s="857"/>
      <c r="AH62" s="858"/>
      <c r="AI62" s="858"/>
      <c r="AJ62" s="858"/>
      <c r="AK62" s="858" t="str">
        <f>IF($A62="","",IF('[1]Pricing Summary'!$B$31="T&amp;M","Time and Material","Fixed Fee"))</f>
        <v/>
      </c>
      <c r="AL62" s="856"/>
      <c r="AM62" s="856"/>
      <c r="AN62" s="906" t="str">
        <f>IF($A62="","",'[1]Outputs Recap'!$C$12)</f>
        <v/>
      </c>
      <c r="AO62" s="861" t="str">
        <f>IF($A62="","",VLOOKUP('[1]Outputs Recap'!$C$11,[1]List!$I:$J,2,FALSE))</f>
        <v/>
      </c>
      <c r="AP62" s="856" t="str" cm="1">
        <f t="array" ref="AP62">IF($A62="","",_xlfn.IFS('[1]Pricing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2" s="862" t="str">
        <f>IF($A62="","",_xlfn.XLOOKUP('[1]Core Assumptions'!$D$20,'[1]Other Lookups'!$AH:$AH,'[1]Other Lookups'!$AI:$AI))</f>
        <v/>
      </c>
      <c r="AR62" s="863"/>
      <c r="AS62" s="864" t="str">
        <f>IF($A62="","",'[1]Outputs Recap'!$C$13)</f>
        <v/>
      </c>
      <c r="AT62" s="907"/>
      <c r="AU62" s="907"/>
      <c r="AV62" s="907" t="str">
        <f>IF($A62="","",IFERROR(+Table17[[#This Row],[Total Contract Amount]]*Table17[[#This Row],[First-year, one-time Onboarding/Setup Fee %]],0))</f>
        <v/>
      </c>
      <c r="AW62" s="853"/>
      <c r="AX62" s="867"/>
      <c r="AY62" s="908"/>
      <c r="AZ62" s="909"/>
      <c r="BA62" s="910"/>
      <c r="BB62" s="871"/>
      <c r="BC62" s="871"/>
      <c r="BD62" s="871"/>
      <c r="BE62" s="871"/>
      <c r="BF62" s="871"/>
      <c r="BG62" s="871"/>
      <c r="BH62" s="872"/>
      <c r="BI62" s="874"/>
      <c r="BJ62" s="874"/>
      <c r="BK62" s="874"/>
      <c r="BL62" s="875"/>
      <c r="BM62" s="876"/>
      <c r="BN62" s="911"/>
      <c r="BO62" s="878"/>
      <c r="BP62" s="879"/>
      <c r="BQ62" s="880"/>
      <c r="BR62" s="881"/>
      <c r="BS62" s="882"/>
      <c r="BT62" s="883"/>
      <c r="BU62" s="884"/>
      <c r="BV62" s="884"/>
      <c r="BW62" s="884"/>
      <c r="BX62" s="884"/>
      <c r="BY62" s="884"/>
      <c r="BZ62" s="884"/>
      <c r="CA62" s="884"/>
      <c r="CB62" s="884"/>
      <c r="CC62" s="884"/>
      <c r="CD62" s="884"/>
      <c r="CE62" s="885"/>
      <c r="CF62" s="885" t="str">
        <f>IF($A62="","",IF(#REF!&lt;&gt;0,#REF!-SUM(BT62:CE62),""))</f>
        <v/>
      </c>
      <c r="CG62" s="898" t="str">
        <f>IF(ISBLANK($X62)=FALSE,"NextGenApp Advisory LLC","")</f>
        <v/>
      </c>
      <c r="CH62" s="899" t="str">
        <f>_xlfn.IFNA(INDEX([1]List!AC:AC,MATCH(X62,[1]List!Y:Y,0)),"")</f>
        <v/>
      </c>
      <c r="CI62" s="900"/>
      <c r="CJ62" s="900"/>
      <c r="CK62" s="900"/>
      <c r="CL62" s="900"/>
      <c r="CM62" s="901"/>
      <c r="CN62" s="902"/>
      <c r="CO62" s="903"/>
      <c r="CP62" s="904"/>
      <c r="CQ62" s="892"/>
    </row>
    <row r="63" spans="1:95" x14ac:dyDescent="0.2">
      <c r="A63" s="894"/>
      <c r="B63" s="895"/>
      <c r="C63" s="896"/>
      <c r="D63" s="897"/>
      <c r="E63" s="897"/>
      <c r="F63" s="897"/>
      <c r="G63" s="897"/>
      <c r="H63" s="897"/>
      <c r="I63" s="897"/>
      <c r="J63" s="897"/>
      <c r="K63" s="897"/>
      <c r="L63" s="897"/>
      <c r="M63" s="897"/>
      <c r="N63" s="897"/>
      <c r="O63" s="897"/>
      <c r="P63" s="897"/>
      <c r="Q63" s="897"/>
      <c r="R63" s="897"/>
      <c r="S63" s="897"/>
      <c r="T63" s="897"/>
      <c r="U63" s="895"/>
      <c r="V63" s="852"/>
      <c r="W63" s="853"/>
      <c r="X63" s="853"/>
      <c r="Y63" s="853"/>
      <c r="Z63" s="853"/>
      <c r="AA63" s="853"/>
      <c r="AB63" s="854">
        <f>_xlfn.XLOOKUP(Table17[[#This Row],[Project Delivery Lead]],[1]List!Y:Y,[1]List!AC:AC)</f>
        <v>0</v>
      </c>
      <c r="AC63" s="853" t="str">
        <f>IF($A63="","",'[1]Core Assumptions'!$D83)</f>
        <v/>
      </c>
      <c r="AD63" s="855"/>
      <c r="AE63" s="905"/>
      <c r="AF63" s="857"/>
      <c r="AG63" s="857"/>
      <c r="AH63" s="858"/>
      <c r="AI63" s="858"/>
      <c r="AJ63" s="858"/>
      <c r="AK63" s="858" t="str">
        <f>IF($A63="","",IF('[1]Pricing Summary'!$B$31="T&amp;M","Time and Material","Fixed Fee"))</f>
        <v/>
      </c>
      <c r="AL63" s="856"/>
      <c r="AM63" s="856"/>
      <c r="AN63" s="906" t="str">
        <f>IF($A63="","",'[1]Outputs Recap'!$C$12)</f>
        <v/>
      </c>
      <c r="AO63" s="861" t="str">
        <f>IF($A63="","",VLOOKUP('[1]Outputs Recap'!$C$11,[1]List!$I:$J,2,FALSE))</f>
        <v/>
      </c>
      <c r="AP63" s="856" t="str" cm="1">
        <f t="array" ref="AP63">IF($A63="","",_xlfn.IFS('[1]Pricing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3" s="862" t="str">
        <f>IF($A63="","",_xlfn.XLOOKUP('[1]Core Assumptions'!$D$20,'[1]Other Lookups'!$AH:$AH,'[1]Other Lookups'!$AI:$AI))</f>
        <v/>
      </c>
      <c r="AR63" s="863"/>
      <c r="AS63" s="864" t="str">
        <f>IF($A63="","",'[1]Outputs Recap'!$C$13)</f>
        <v/>
      </c>
      <c r="AT63" s="907"/>
      <c r="AU63" s="907"/>
      <c r="AV63" s="907" t="str">
        <f>IF($A63="","",IFERROR(+Table17[[#This Row],[Total Contract Amount]]*Table17[[#This Row],[First-year, one-time Onboarding/Setup Fee %]],0))</f>
        <v/>
      </c>
      <c r="AW63" s="853"/>
      <c r="AX63" s="867"/>
      <c r="AY63" s="908"/>
      <c r="AZ63" s="909"/>
      <c r="BA63" s="910"/>
      <c r="BB63" s="871"/>
      <c r="BC63" s="871"/>
      <c r="BD63" s="871"/>
      <c r="BE63" s="871"/>
      <c r="BF63" s="871"/>
      <c r="BG63" s="871"/>
      <c r="BH63" s="872"/>
      <c r="BI63" s="874"/>
      <c r="BJ63" s="874"/>
      <c r="BK63" s="874"/>
      <c r="BL63" s="875"/>
      <c r="BM63" s="876"/>
      <c r="BN63" s="911"/>
      <c r="BO63" s="878"/>
      <c r="BP63" s="879"/>
      <c r="BQ63" s="880"/>
      <c r="BR63" s="881"/>
      <c r="BS63" s="882"/>
      <c r="BT63" s="883"/>
      <c r="BU63" s="884"/>
      <c r="BV63" s="884"/>
      <c r="BW63" s="884"/>
      <c r="BX63" s="884"/>
      <c r="BY63" s="884"/>
      <c r="BZ63" s="884"/>
      <c r="CA63" s="884"/>
      <c r="CB63" s="884"/>
      <c r="CC63" s="884"/>
      <c r="CD63" s="884"/>
      <c r="CE63" s="885"/>
      <c r="CF63" s="885" t="str">
        <f>IF($A63="","",IF(#REF!&lt;&gt;0,#REF!-SUM(BT63:CE63),""))</f>
        <v/>
      </c>
      <c r="CG63" s="898" t="str">
        <f>IF(ISBLANK($X63)=FALSE,"NextGenApp Advisory LLC","")</f>
        <v/>
      </c>
      <c r="CH63" s="899" t="str">
        <f>_xlfn.IFNA(INDEX([1]List!AC:AC,MATCH(X63,[1]List!Y:Y,0)),"")</f>
        <v/>
      </c>
      <c r="CI63" s="900"/>
      <c r="CJ63" s="900"/>
      <c r="CK63" s="900"/>
      <c r="CL63" s="900"/>
      <c r="CM63" s="901"/>
      <c r="CN63" s="902"/>
      <c r="CO63" s="903"/>
      <c r="CP63" s="904"/>
      <c r="CQ63" s="892"/>
    </row>
    <row r="64" spans="1:95" x14ac:dyDescent="0.2">
      <c r="A64" s="894"/>
      <c r="B64" s="895"/>
      <c r="C64" s="896"/>
      <c r="D64" s="897"/>
      <c r="E64" s="897"/>
      <c r="F64" s="897"/>
      <c r="G64" s="897"/>
      <c r="H64" s="897"/>
      <c r="I64" s="897"/>
      <c r="J64" s="897"/>
      <c r="K64" s="897"/>
      <c r="L64" s="897"/>
      <c r="M64" s="897"/>
      <c r="N64" s="897"/>
      <c r="O64" s="897"/>
      <c r="P64" s="897"/>
      <c r="Q64" s="897"/>
      <c r="R64" s="897"/>
      <c r="S64" s="897"/>
      <c r="T64" s="897"/>
      <c r="U64" s="895"/>
      <c r="V64" s="852"/>
      <c r="W64" s="853"/>
      <c r="X64" s="853"/>
      <c r="Y64" s="853"/>
      <c r="Z64" s="853"/>
      <c r="AA64" s="853"/>
      <c r="AB64" s="854">
        <f>_xlfn.XLOOKUP(Table17[[#This Row],[Project Delivery Lead]],[1]List!Y:Y,[1]List!AC:AC)</f>
        <v>0</v>
      </c>
      <c r="AC64" s="853" t="str">
        <f>IF($A64="","",'[1]Core Assumptions'!$D84)</f>
        <v/>
      </c>
      <c r="AD64" s="855"/>
      <c r="AE64" s="905"/>
      <c r="AF64" s="857"/>
      <c r="AG64" s="857"/>
      <c r="AH64" s="858"/>
      <c r="AI64" s="858"/>
      <c r="AJ64" s="858"/>
      <c r="AK64" s="858" t="str">
        <f>IF($A64="","",IF('[1]Pricing Summary'!$B$31="T&amp;M","Time and Material","Fixed Fee"))</f>
        <v/>
      </c>
      <c r="AL64" s="856"/>
      <c r="AM64" s="856"/>
      <c r="AN64" s="906" t="str">
        <f>IF($A64="","",'[1]Outputs Recap'!$C$12)</f>
        <v/>
      </c>
      <c r="AO64" s="861" t="str">
        <f>IF($A64="","",VLOOKUP('[1]Outputs Recap'!$C$11,[1]List!$I:$J,2,FALSE))</f>
        <v/>
      </c>
      <c r="AP64" s="856" t="str" cm="1">
        <f t="array" ref="AP64">IF($A64="","",_xlfn.IFS('[1]Pricing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4" s="862" t="str">
        <f>IF($A64="","",_xlfn.XLOOKUP('[1]Core Assumptions'!$D$20,'[1]Other Lookups'!$AH:$AH,'[1]Other Lookups'!$AI:$AI))</f>
        <v/>
      </c>
      <c r="AR64" s="863"/>
      <c r="AS64" s="864" t="str">
        <f>IF($A64="","",'[1]Outputs Recap'!$C$13)</f>
        <v/>
      </c>
      <c r="AT64" s="907"/>
      <c r="AU64" s="907"/>
      <c r="AV64" s="907" t="str">
        <f>IF($A64="","",IFERROR(+Table17[[#This Row],[Total Contract Amount]]*Table17[[#This Row],[First-year, one-time Onboarding/Setup Fee %]],0))</f>
        <v/>
      </c>
      <c r="AW64" s="853"/>
      <c r="AX64" s="867"/>
      <c r="AY64" s="908"/>
      <c r="AZ64" s="909"/>
      <c r="BA64" s="910"/>
      <c r="BB64" s="871"/>
      <c r="BC64" s="871"/>
      <c r="BD64" s="871"/>
      <c r="BE64" s="871"/>
      <c r="BF64" s="871"/>
      <c r="BG64" s="871"/>
      <c r="BH64" s="872"/>
      <c r="BI64" s="874"/>
      <c r="BJ64" s="874"/>
      <c r="BK64" s="874"/>
      <c r="BL64" s="875"/>
      <c r="BM64" s="876"/>
      <c r="BN64" s="911"/>
      <c r="BO64" s="878"/>
      <c r="BP64" s="879"/>
      <c r="BQ64" s="880"/>
      <c r="BR64" s="881"/>
      <c r="BS64" s="882"/>
      <c r="BT64" s="883"/>
      <c r="BU64" s="884"/>
      <c r="BV64" s="884"/>
      <c r="BW64" s="884"/>
      <c r="BX64" s="884"/>
      <c r="BY64" s="884"/>
      <c r="BZ64" s="884"/>
      <c r="CA64" s="884"/>
      <c r="CB64" s="884"/>
      <c r="CC64" s="884"/>
      <c r="CD64" s="884"/>
      <c r="CE64" s="885"/>
      <c r="CF64" s="885" t="str">
        <f>IF($A64="","",IF(#REF!&lt;&gt;0,#REF!-SUM(BT64:CE64),""))</f>
        <v/>
      </c>
      <c r="CG64" s="898" t="str">
        <f>IF(ISBLANK($X64)=FALSE,"NextGenApp Advisory LLC","")</f>
        <v/>
      </c>
      <c r="CH64" s="899" t="str">
        <f>_xlfn.IFNA(INDEX([1]List!AC:AC,MATCH(X64,[1]List!Y:Y,0)),"")</f>
        <v/>
      </c>
      <c r="CI64" s="900"/>
      <c r="CJ64" s="900"/>
      <c r="CK64" s="900"/>
      <c r="CL64" s="900"/>
      <c r="CM64" s="901"/>
      <c r="CN64" s="902"/>
      <c r="CO64" s="903"/>
      <c r="CP64" s="904"/>
      <c r="CQ64" s="892"/>
    </row>
    <row r="65" spans="1:95" x14ac:dyDescent="0.2">
      <c r="A65" s="894"/>
      <c r="B65" s="895"/>
      <c r="C65" s="896"/>
      <c r="D65" s="897"/>
      <c r="E65" s="897"/>
      <c r="F65" s="897"/>
      <c r="G65" s="897"/>
      <c r="H65" s="897"/>
      <c r="I65" s="897"/>
      <c r="J65" s="897"/>
      <c r="K65" s="897"/>
      <c r="L65" s="897"/>
      <c r="M65" s="897"/>
      <c r="N65" s="897"/>
      <c r="O65" s="897"/>
      <c r="P65" s="897"/>
      <c r="Q65" s="897"/>
      <c r="R65" s="897"/>
      <c r="S65" s="897"/>
      <c r="T65" s="897"/>
      <c r="U65" s="895"/>
      <c r="V65" s="852"/>
      <c r="W65" s="853"/>
      <c r="X65" s="853"/>
      <c r="Y65" s="853"/>
      <c r="Z65" s="853"/>
      <c r="AA65" s="853"/>
      <c r="AB65" s="854">
        <f>_xlfn.XLOOKUP(Table17[[#This Row],[Project Delivery Lead]],[1]List!Y:Y,[1]List!AC:AC)</f>
        <v>0</v>
      </c>
      <c r="AC65" s="853" t="str">
        <f>IF($A65="","",'[1]Core Assumptions'!$D85)</f>
        <v/>
      </c>
      <c r="AD65" s="855"/>
      <c r="AE65" s="905"/>
      <c r="AF65" s="857"/>
      <c r="AG65" s="857"/>
      <c r="AH65" s="858"/>
      <c r="AI65" s="858"/>
      <c r="AJ65" s="858"/>
      <c r="AK65" s="858" t="str">
        <f>IF($A65="","",IF('[1]Pricing Summary'!$B$31="T&amp;M","Time and Material","Fixed Fee"))</f>
        <v/>
      </c>
      <c r="AL65" s="856"/>
      <c r="AM65" s="856"/>
      <c r="AN65" s="906" t="str">
        <f>IF($A65="","",'[1]Outputs Recap'!$C$12)</f>
        <v/>
      </c>
      <c r="AO65" s="861" t="str">
        <f>IF($A65="","",VLOOKUP('[1]Outputs Recap'!$C$11,[1]List!$I:$J,2,FALSE))</f>
        <v/>
      </c>
      <c r="AP65" s="856" t="str" cm="1">
        <f t="array" ref="AP65">IF($A65="","",_xlfn.IFS('[1]Pricing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5" s="862" t="str">
        <f>IF($A65="","",_xlfn.XLOOKUP('[1]Core Assumptions'!$D$20,'[1]Other Lookups'!$AH:$AH,'[1]Other Lookups'!$AI:$AI))</f>
        <v/>
      </c>
      <c r="AR65" s="863"/>
      <c r="AS65" s="864" t="str">
        <f>IF($A65="","",'[1]Outputs Recap'!$C$13)</f>
        <v/>
      </c>
      <c r="AT65" s="907"/>
      <c r="AU65" s="907"/>
      <c r="AV65" s="907" t="str">
        <f>IF($A65="","",IFERROR(+Table17[[#This Row],[Total Contract Amount]]*Table17[[#This Row],[First-year, one-time Onboarding/Setup Fee %]],0))</f>
        <v/>
      </c>
      <c r="AW65" s="853"/>
      <c r="AX65" s="867"/>
      <c r="AY65" s="908"/>
      <c r="AZ65" s="909"/>
      <c r="BA65" s="910"/>
      <c r="BB65" s="871"/>
      <c r="BC65" s="871"/>
      <c r="BD65" s="871"/>
      <c r="BE65" s="871"/>
      <c r="BF65" s="871"/>
      <c r="BG65" s="871"/>
      <c r="BH65" s="872"/>
      <c r="BI65" s="874"/>
      <c r="BJ65" s="874"/>
      <c r="BK65" s="874"/>
      <c r="BL65" s="875"/>
      <c r="BM65" s="876"/>
      <c r="BN65" s="911"/>
      <c r="BO65" s="878"/>
      <c r="BP65" s="879"/>
      <c r="BQ65" s="880"/>
      <c r="BR65" s="881"/>
      <c r="BS65" s="882"/>
      <c r="BT65" s="883"/>
      <c r="BU65" s="884"/>
      <c r="BV65" s="884"/>
      <c r="BW65" s="884"/>
      <c r="BX65" s="884"/>
      <c r="BY65" s="884"/>
      <c r="BZ65" s="884"/>
      <c r="CA65" s="884"/>
      <c r="CB65" s="884"/>
      <c r="CC65" s="884"/>
      <c r="CD65" s="884"/>
      <c r="CE65" s="885"/>
      <c r="CF65" s="885" t="str">
        <f>IF($A65="","",IF(#REF!&lt;&gt;0,#REF!-SUM(BT65:CE65),""))</f>
        <v/>
      </c>
      <c r="CG65" s="898" t="str">
        <f>IF(ISBLANK($X65)=FALSE,"NextGenApp Advisory LLC","")</f>
        <v/>
      </c>
      <c r="CH65" s="899" t="str">
        <f>_xlfn.IFNA(INDEX([1]List!AC:AC,MATCH(X65,[1]List!Y:Y,0)),"")</f>
        <v/>
      </c>
      <c r="CI65" s="900"/>
      <c r="CJ65" s="900"/>
      <c r="CK65" s="900"/>
      <c r="CL65" s="900"/>
      <c r="CM65" s="901"/>
      <c r="CN65" s="902"/>
      <c r="CO65" s="903"/>
      <c r="CP65" s="904"/>
      <c r="CQ65" s="892"/>
    </row>
    <row r="66" spans="1:95" x14ac:dyDescent="0.2">
      <c r="A66" s="894"/>
      <c r="B66" s="895"/>
      <c r="C66" s="896"/>
      <c r="D66" s="897"/>
      <c r="E66" s="897"/>
      <c r="F66" s="897"/>
      <c r="G66" s="897"/>
      <c r="H66" s="897"/>
      <c r="I66" s="897"/>
      <c r="J66" s="897"/>
      <c r="K66" s="897"/>
      <c r="L66" s="897"/>
      <c r="M66" s="897"/>
      <c r="N66" s="897"/>
      <c r="O66" s="897"/>
      <c r="P66" s="897"/>
      <c r="Q66" s="897"/>
      <c r="R66" s="897"/>
      <c r="S66" s="897"/>
      <c r="T66" s="897"/>
      <c r="U66" s="895"/>
      <c r="V66" s="852"/>
      <c r="W66" s="853"/>
      <c r="X66" s="853"/>
      <c r="Y66" s="853"/>
      <c r="Z66" s="853"/>
      <c r="AA66" s="853"/>
      <c r="AB66" s="854">
        <f>_xlfn.XLOOKUP(Table17[[#This Row],[Project Delivery Lead]],[1]List!Y:Y,[1]List!AC:AC)</f>
        <v>0</v>
      </c>
      <c r="AC66" s="853" t="str">
        <f>IF($A66="","",'[1]Core Assumptions'!$D86)</f>
        <v/>
      </c>
      <c r="AD66" s="855"/>
      <c r="AE66" s="905"/>
      <c r="AF66" s="857"/>
      <c r="AG66" s="857"/>
      <c r="AH66" s="858"/>
      <c r="AI66" s="858"/>
      <c r="AJ66" s="858"/>
      <c r="AK66" s="858" t="str">
        <f>IF($A66="","",IF('[1]Pricing Summary'!$B$31="T&amp;M","Time and Material","Fixed Fee"))</f>
        <v/>
      </c>
      <c r="AL66" s="856"/>
      <c r="AM66" s="856"/>
      <c r="AN66" s="906" t="str">
        <f>IF($A66="","",'[1]Outputs Recap'!$C$12)</f>
        <v/>
      </c>
      <c r="AO66" s="861" t="str">
        <f>IF($A66="","",VLOOKUP('[1]Outputs Recap'!$C$11,[1]List!$I:$J,2,FALSE))</f>
        <v/>
      </c>
      <c r="AP66" s="856" t="str" cm="1">
        <f t="array" ref="AP66">IF($A66="","",_xlfn.IFS('[1]Pricing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6" s="862" t="str">
        <f>IF($A66="","",_xlfn.XLOOKUP('[1]Core Assumptions'!$D$20,'[1]Other Lookups'!$AH:$AH,'[1]Other Lookups'!$AI:$AI))</f>
        <v/>
      </c>
      <c r="AR66" s="863"/>
      <c r="AS66" s="864" t="str">
        <f>IF($A66="","",'[1]Outputs Recap'!$C$13)</f>
        <v/>
      </c>
      <c r="AT66" s="907"/>
      <c r="AU66" s="907"/>
      <c r="AV66" s="907" t="str">
        <f>IF($A66="","",IFERROR(+Table17[[#This Row],[Total Contract Amount]]*Table17[[#This Row],[First-year, one-time Onboarding/Setup Fee %]],0))</f>
        <v/>
      </c>
      <c r="AW66" s="853"/>
      <c r="AX66" s="867"/>
      <c r="AY66" s="908"/>
      <c r="AZ66" s="909"/>
      <c r="BA66" s="910"/>
      <c r="BB66" s="871"/>
      <c r="BC66" s="871"/>
      <c r="BD66" s="871"/>
      <c r="BE66" s="871"/>
      <c r="BF66" s="871"/>
      <c r="BG66" s="871"/>
      <c r="BH66" s="872"/>
      <c r="BI66" s="874"/>
      <c r="BJ66" s="874"/>
      <c r="BK66" s="874"/>
      <c r="BL66" s="875"/>
      <c r="BM66" s="876"/>
      <c r="BN66" s="911"/>
      <c r="BO66" s="878"/>
      <c r="BP66" s="879"/>
      <c r="BQ66" s="880"/>
      <c r="BR66" s="881"/>
      <c r="BS66" s="882"/>
      <c r="BT66" s="883"/>
      <c r="BU66" s="884"/>
      <c r="BV66" s="884"/>
      <c r="BW66" s="884"/>
      <c r="BX66" s="884"/>
      <c r="BY66" s="884"/>
      <c r="BZ66" s="884"/>
      <c r="CA66" s="884"/>
      <c r="CB66" s="884"/>
      <c r="CC66" s="884"/>
      <c r="CD66" s="884"/>
      <c r="CE66" s="885"/>
      <c r="CF66" s="885" t="str">
        <f>IF($A66="","",IF(#REF!&lt;&gt;0,#REF!-SUM(BT66:CE66),""))</f>
        <v/>
      </c>
      <c r="CG66" s="898" t="str">
        <f>IF(ISBLANK($X66)=FALSE,"NextGenApp Advisory LLC","")</f>
        <v/>
      </c>
      <c r="CH66" s="899" t="str">
        <f>_xlfn.IFNA(INDEX([1]List!AC:AC,MATCH(X66,[1]List!Y:Y,0)),"")</f>
        <v/>
      </c>
      <c r="CI66" s="900"/>
      <c r="CJ66" s="900"/>
      <c r="CK66" s="900"/>
      <c r="CL66" s="900"/>
      <c r="CM66" s="901"/>
      <c r="CN66" s="902"/>
      <c r="CO66" s="903"/>
      <c r="CP66" s="904"/>
      <c r="CQ66" s="892"/>
    </row>
    <row r="67" spans="1:95" x14ac:dyDescent="0.2">
      <c r="A67" s="894"/>
      <c r="B67" s="895"/>
      <c r="C67" s="896"/>
      <c r="D67" s="897"/>
      <c r="E67" s="897"/>
      <c r="F67" s="897"/>
      <c r="G67" s="897"/>
      <c r="H67" s="897"/>
      <c r="I67" s="897"/>
      <c r="J67" s="897"/>
      <c r="K67" s="897"/>
      <c r="L67" s="897"/>
      <c r="M67" s="897"/>
      <c r="N67" s="897"/>
      <c r="O67" s="897"/>
      <c r="P67" s="897"/>
      <c r="Q67" s="897"/>
      <c r="R67" s="897"/>
      <c r="S67" s="897"/>
      <c r="T67" s="897"/>
      <c r="U67" s="895"/>
      <c r="V67" s="852"/>
      <c r="W67" s="853"/>
      <c r="X67" s="853"/>
      <c r="Y67" s="853"/>
      <c r="Z67" s="853"/>
      <c r="AA67" s="853"/>
      <c r="AB67" s="854">
        <f>_xlfn.XLOOKUP(Table17[[#This Row],[Project Delivery Lead]],[1]List!Y:Y,[1]List!AC:AC)</f>
        <v>0</v>
      </c>
      <c r="AC67" s="853" t="str">
        <f>IF($A67="","",'[1]Core Assumptions'!$D87)</f>
        <v/>
      </c>
      <c r="AD67" s="855"/>
      <c r="AE67" s="905"/>
      <c r="AF67" s="857"/>
      <c r="AG67" s="857"/>
      <c r="AH67" s="858"/>
      <c r="AI67" s="858"/>
      <c r="AJ67" s="858"/>
      <c r="AK67" s="858" t="str">
        <f>IF($A67="","",IF('[1]Pricing Summary'!$B$31="T&amp;M","Time and Material","Fixed Fee"))</f>
        <v/>
      </c>
      <c r="AL67" s="856"/>
      <c r="AM67" s="856"/>
      <c r="AN67" s="906" t="str">
        <f>IF($A67="","",'[1]Outputs Recap'!$C$12)</f>
        <v/>
      </c>
      <c r="AO67" s="861" t="str">
        <f>IF($A67="","",VLOOKUP('[1]Outputs Recap'!$C$11,[1]List!$I:$J,2,FALSE))</f>
        <v/>
      </c>
      <c r="AP67" s="856" t="str" cm="1">
        <f t="array" ref="AP67">IF($A67="","",_xlfn.IFS('[1]Pricing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7" s="862" t="str">
        <f>IF($A67="","",_xlfn.XLOOKUP('[1]Core Assumptions'!$D$20,'[1]Other Lookups'!$AH:$AH,'[1]Other Lookups'!$AI:$AI))</f>
        <v/>
      </c>
      <c r="AR67" s="863"/>
      <c r="AS67" s="864" t="str">
        <f>IF($A67="","",'[1]Outputs Recap'!$C$13)</f>
        <v/>
      </c>
      <c r="AT67" s="907"/>
      <c r="AU67" s="907"/>
      <c r="AV67" s="907" t="str">
        <f>IF($A67="","",IFERROR(+Table17[[#This Row],[Total Contract Amount]]*Table17[[#This Row],[First-year, one-time Onboarding/Setup Fee %]],0))</f>
        <v/>
      </c>
      <c r="AW67" s="853"/>
      <c r="AX67" s="867"/>
      <c r="AY67" s="908"/>
      <c r="AZ67" s="909"/>
      <c r="BA67" s="910"/>
      <c r="BB67" s="871"/>
      <c r="BC67" s="871"/>
      <c r="BD67" s="871"/>
      <c r="BE67" s="871"/>
      <c r="BF67" s="871"/>
      <c r="BG67" s="871"/>
      <c r="BH67" s="872"/>
      <c r="BI67" s="874"/>
      <c r="BJ67" s="874"/>
      <c r="BK67" s="874"/>
      <c r="BL67" s="875"/>
      <c r="BM67" s="876"/>
      <c r="BN67" s="911"/>
      <c r="BO67" s="878"/>
      <c r="BP67" s="879"/>
      <c r="BQ67" s="880"/>
      <c r="BR67" s="881"/>
      <c r="BS67" s="882"/>
      <c r="BT67" s="883"/>
      <c r="BU67" s="884"/>
      <c r="BV67" s="884"/>
      <c r="BW67" s="884"/>
      <c r="BX67" s="884"/>
      <c r="BY67" s="884"/>
      <c r="BZ67" s="884"/>
      <c r="CA67" s="884"/>
      <c r="CB67" s="884"/>
      <c r="CC67" s="884"/>
      <c r="CD67" s="884"/>
      <c r="CE67" s="885"/>
      <c r="CF67" s="885" t="str">
        <f>IF($A67="","",IF(#REF!&lt;&gt;0,#REF!-SUM(BT67:CE67),""))</f>
        <v/>
      </c>
      <c r="CG67" s="898" t="str">
        <f>IF(ISBLANK($X67)=FALSE,"NextGenApp Advisory LLC","")</f>
        <v/>
      </c>
      <c r="CH67" s="899" t="str">
        <f>_xlfn.IFNA(INDEX([1]List!AC:AC,MATCH(X67,[1]List!Y:Y,0)),"")</f>
        <v/>
      </c>
      <c r="CI67" s="900"/>
      <c r="CJ67" s="900"/>
      <c r="CK67" s="900"/>
      <c r="CL67" s="900"/>
      <c r="CM67" s="901"/>
      <c r="CN67" s="902"/>
      <c r="CO67" s="903"/>
      <c r="CP67" s="904"/>
      <c r="CQ67" s="892"/>
    </row>
    <row r="68" spans="1:95" x14ac:dyDescent="0.2">
      <c r="A68" s="894"/>
      <c r="B68" s="895"/>
      <c r="C68" s="896"/>
      <c r="D68" s="897"/>
      <c r="E68" s="897"/>
      <c r="F68" s="897"/>
      <c r="G68" s="897"/>
      <c r="H68" s="897"/>
      <c r="I68" s="897"/>
      <c r="J68" s="897"/>
      <c r="K68" s="897"/>
      <c r="L68" s="897"/>
      <c r="M68" s="897"/>
      <c r="N68" s="897"/>
      <c r="O68" s="897"/>
      <c r="P68" s="897"/>
      <c r="Q68" s="897"/>
      <c r="R68" s="897"/>
      <c r="S68" s="897"/>
      <c r="T68" s="897"/>
      <c r="U68" s="895"/>
      <c r="V68" s="852"/>
      <c r="W68" s="853"/>
      <c r="X68" s="853"/>
      <c r="Y68" s="853"/>
      <c r="Z68" s="853"/>
      <c r="AA68" s="853"/>
      <c r="AB68" s="854">
        <f>_xlfn.XLOOKUP(Table17[[#This Row],[Project Delivery Lead]],[1]List!Y:Y,[1]List!AC:AC)</f>
        <v>0</v>
      </c>
      <c r="AC68" s="853" t="str">
        <f>IF($A68="","",'[1]Core Assumptions'!$D88)</f>
        <v/>
      </c>
      <c r="AD68" s="855"/>
      <c r="AE68" s="905"/>
      <c r="AF68" s="857"/>
      <c r="AG68" s="857"/>
      <c r="AH68" s="858"/>
      <c r="AI68" s="858"/>
      <c r="AJ68" s="858"/>
      <c r="AK68" s="858" t="str">
        <f>IF($A68="","",IF('[1]Pricing Summary'!$B$31="T&amp;M","Time and Material","Fixed Fee"))</f>
        <v/>
      </c>
      <c r="AL68" s="856"/>
      <c r="AM68" s="856"/>
      <c r="AN68" s="906" t="str">
        <f>IF($A68="","",'[1]Outputs Recap'!$C$12)</f>
        <v/>
      </c>
      <c r="AO68" s="861" t="str">
        <f>IF($A68="","",VLOOKUP('[1]Outputs Recap'!$C$11,[1]List!$I:$J,2,FALSE))</f>
        <v/>
      </c>
      <c r="AP68" s="856" t="str" cm="1">
        <f t="array" ref="AP68">IF($A68="","",_xlfn.IFS('[1]Pricing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8" s="862" t="str">
        <f>IF($A68="","",_xlfn.XLOOKUP('[1]Core Assumptions'!$D$20,'[1]Other Lookups'!$AH:$AH,'[1]Other Lookups'!$AI:$AI))</f>
        <v/>
      </c>
      <c r="AR68" s="863"/>
      <c r="AS68" s="864" t="str">
        <f>IF($A68="","",'[1]Outputs Recap'!$C$13)</f>
        <v/>
      </c>
      <c r="AT68" s="907"/>
      <c r="AU68" s="907"/>
      <c r="AV68" s="907" t="str">
        <f>IF($A68="","",IFERROR(+Table17[[#This Row],[Total Contract Amount]]*Table17[[#This Row],[First-year, one-time Onboarding/Setup Fee %]],0))</f>
        <v/>
      </c>
      <c r="AW68" s="853"/>
      <c r="AX68" s="867"/>
      <c r="AY68" s="908"/>
      <c r="AZ68" s="909"/>
      <c r="BA68" s="910"/>
      <c r="BB68" s="871"/>
      <c r="BC68" s="871"/>
      <c r="BD68" s="871"/>
      <c r="BE68" s="871"/>
      <c r="BF68" s="871"/>
      <c r="BG68" s="871"/>
      <c r="BH68" s="872"/>
      <c r="BI68" s="874"/>
      <c r="BJ68" s="874"/>
      <c r="BK68" s="874"/>
      <c r="BL68" s="875"/>
      <c r="BM68" s="876"/>
      <c r="BN68" s="911"/>
      <c r="BO68" s="878"/>
      <c r="BP68" s="879"/>
      <c r="BQ68" s="880"/>
      <c r="BR68" s="881"/>
      <c r="BS68" s="882"/>
      <c r="BT68" s="883"/>
      <c r="BU68" s="884"/>
      <c r="BV68" s="884"/>
      <c r="BW68" s="884"/>
      <c r="BX68" s="884"/>
      <c r="BY68" s="884"/>
      <c r="BZ68" s="884"/>
      <c r="CA68" s="884"/>
      <c r="CB68" s="884"/>
      <c r="CC68" s="884"/>
      <c r="CD68" s="884"/>
      <c r="CE68" s="885"/>
      <c r="CF68" s="885" t="str">
        <f>IF($A68="","",IF(#REF!&lt;&gt;0,#REF!-SUM(BT68:CE68),""))</f>
        <v/>
      </c>
      <c r="CG68" s="898" t="str">
        <f>IF(ISBLANK($X68)=FALSE,"NextGenApp Advisory LLC","")</f>
        <v/>
      </c>
      <c r="CH68" s="899" t="str">
        <f>_xlfn.IFNA(INDEX([1]List!AC:AC,MATCH(X68,[1]List!Y:Y,0)),"")</f>
        <v/>
      </c>
      <c r="CI68" s="900"/>
      <c r="CJ68" s="900"/>
      <c r="CK68" s="900"/>
      <c r="CL68" s="900"/>
      <c r="CM68" s="901"/>
      <c r="CN68" s="902"/>
      <c r="CO68" s="903"/>
      <c r="CP68" s="904"/>
      <c r="CQ68" s="892"/>
    </row>
    <row r="69" spans="1:95" x14ac:dyDescent="0.2">
      <c r="A69" s="894"/>
      <c r="B69" s="895"/>
      <c r="C69" s="896"/>
      <c r="D69" s="897"/>
      <c r="E69" s="897"/>
      <c r="F69" s="897"/>
      <c r="G69" s="897"/>
      <c r="H69" s="897"/>
      <c r="I69" s="897"/>
      <c r="J69" s="897"/>
      <c r="K69" s="897"/>
      <c r="L69" s="897"/>
      <c r="M69" s="897"/>
      <c r="N69" s="897"/>
      <c r="O69" s="897"/>
      <c r="P69" s="897"/>
      <c r="Q69" s="897"/>
      <c r="R69" s="897"/>
      <c r="S69" s="897"/>
      <c r="T69" s="897"/>
      <c r="U69" s="895"/>
      <c r="V69" s="852"/>
      <c r="W69" s="853"/>
      <c r="X69" s="853"/>
      <c r="Y69" s="853"/>
      <c r="Z69" s="853"/>
      <c r="AA69" s="853"/>
      <c r="AB69" s="854">
        <f>_xlfn.XLOOKUP(Table17[[#This Row],[Project Delivery Lead]],[1]List!Y:Y,[1]List!AC:AC)</f>
        <v>0</v>
      </c>
      <c r="AC69" s="853" t="str">
        <f>IF($A69="","",'[1]Core Assumptions'!$D89)</f>
        <v/>
      </c>
      <c r="AD69" s="855"/>
      <c r="AE69" s="905"/>
      <c r="AF69" s="857"/>
      <c r="AG69" s="857"/>
      <c r="AH69" s="858"/>
      <c r="AI69" s="858"/>
      <c r="AJ69" s="858"/>
      <c r="AK69" s="858" t="str">
        <f>IF($A69="","",IF('[1]Pricing Summary'!$B$31="T&amp;M","Time and Material","Fixed Fee"))</f>
        <v/>
      </c>
      <c r="AL69" s="856"/>
      <c r="AM69" s="856"/>
      <c r="AN69" s="906" t="str">
        <f>IF($A69="","",'[1]Outputs Recap'!$C$12)</f>
        <v/>
      </c>
      <c r="AO69" s="861" t="str">
        <f>IF($A69="","",VLOOKUP('[1]Outputs Recap'!$C$11,[1]List!$I:$J,2,FALSE))</f>
        <v/>
      </c>
      <c r="AP69" s="856" t="str" cm="1">
        <f t="array" ref="AP69">IF($A69="","",_xlfn.IFS('[1]Pricing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69" s="862" t="str">
        <f>IF($A69="","",_xlfn.XLOOKUP('[1]Core Assumptions'!$D$20,'[1]Other Lookups'!$AH:$AH,'[1]Other Lookups'!$AI:$AI))</f>
        <v/>
      </c>
      <c r="AR69" s="863"/>
      <c r="AS69" s="864" t="str">
        <f>IF($A69="","",'[1]Outputs Recap'!$C$13)</f>
        <v/>
      </c>
      <c r="AT69" s="907"/>
      <c r="AU69" s="907"/>
      <c r="AV69" s="907" t="str">
        <f>IF($A69="","",IFERROR(+Table17[[#This Row],[Total Contract Amount]]*Table17[[#This Row],[First-year, one-time Onboarding/Setup Fee %]],0))</f>
        <v/>
      </c>
      <c r="AW69" s="853"/>
      <c r="AX69" s="867"/>
      <c r="AY69" s="908"/>
      <c r="AZ69" s="909"/>
      <c r="BA69" s="910"/>
      <c r="BB69" s="871"/>
      <c r="BC69" s="871"/>
      <c r="BD69" s="871"/>
      <c r="BE69" s="871"/>
      <c r="BF69" s="871"/>
      <c r="BG69" s="871"/>
      <c r="BH69" s="872"/>
      <c r="BI69" s="874"/>
      <c r="BJ69" s="874"/>
      <c r="BK69" s="874"/>
      <c r="BL69" s="875"/>
      <c r="BM69" s="876"/>
      <c r="BN69" s="911"/>
      <c r="BO69" s="878"/>
      <c r="BP69" s="879"/>
      <c r="BQ69" s="880"/>
      <c r="BR69" s="881"/>
      <c r="BS69" s="882"/>
      <c r="BT69" s="883"/>
      <c r="BU69" s="884"/>
      <c r="BV69" s="884"/>
      <c r="BW69" s="884"/>
      <c r="BX69" s="884"/>
      <c r="BY69" s="884"/>
      <c r="BZ69" s="884"/>
      <c r="CA69" s="884"/>
      <c r="CB69" s="884"/>
      <c r="CC69" s="884"/>
      <c r="CD69" s="884"/>
      <c r="CE69" s="885"/>
      <c r="CF69" s="885" t="str">
        <f>IF($A69="","",IF(#REF!&lt;&gt;0,#REF!-SUM(BT69:CE69),""))</f>
        <v/>
      </c>
      <c r="CG69" s="898" t="str">
        <f>IF(ISBLANK($X69)=FALSE,"NextGenApp Advisory LLC","")</f>
        <v/>
      </c>
      <c r="CH69" s="899" t="str">
        <f>_xlfn.IFNA(INDEX([1]List!AC:AC,MATCH(X69,[1]List!Y:Y,0)),"")</f>
        <v/>
      </c>
      <c r="CI69" s="900"/>
      <c r="CJ69" s="900"/>
      <c r="CK69" s="900"/>
      <c r="CL69" s="900"/>
      <c r="CM69" s="901"/>
      <c r="CN69" s="902"/>
      <c r="CO69" s="903"/>
      <c r="CP69" s="904"/>
      <c r="CQ69" s="892"/>
    </row>
    <row r="70" spans="1:95" x14ac:dyDescent="0.2">
      <c r="A70" s="894"/>
      <c r="B70" s="895"/>
      <c r="C70" s="896"/>
      <c r="D70" s="897"/>
      <c r="E70" s="897"/>
      <c r="F70" s="897"/>
      <c r="G70" s="897"/>
      <c r="H70" s="897"/>
      <c r="I70" s="897"/>
      <c r="J70" s="897"/>
      <c r="K70" s="897"/>
      <c r="L70" s="897"/>
      <c r="M70" s="897"/>
      <c r="N70" s="897"/>
      <c r="O70" s="897"/>
      <c r="P70" s="897"/>
      <c r="Q70" s="897"/>
      <c r="R70" s="897"/>
      <c r="S70" s="897"/>
      <c r="T70" s="897"/>
      <c r="U70" s="895"/>
      <c r="V70" s="852"/>
      <c r="W70" s="853"/>
      <c r="X70" s="853"/>
      <c r="Y70" s="853"/>
      <c r="Z70" s="853"/>
      <c r="AA70" s="853"/>
      <c r="AB70" s="854">
        <f>_xlfn.XLOOKUP(Table17[[#This Row],[Project Delivery Lead]],[1]List!Y:Y,[1]List!AC:AC)</f>
        <v>0</v>
      </c>
      <c r="AC70" s="853" t="str">
        <f>IF($A70="","",'[1]Core Assumptions'!$D90)</f>
        <v/>
      </c>
      <c r="AD70" s="855"/>
      <c r="AE70" s="905"/>
      <c r="AF70" s="857"/>
      <c r="AG70" s="857"/>
      <c r="AH70" s="858"/>
      <c r="AI70" s="858"/>
      <c r="AJ70" s="858"/>
      <c r="AK70" s="858" t="str">
        <f>IF($A70="","",IF('[1]Pricing Summary'!$B$31="T&amp;M","Time and Material","Fixed Fee"))</f>
        <v/>
      </c>
      <c r="AL70" s="856"/>
      <c r="AM70" s="856"/>
      <c r="AN70" s="906" t="str">
        <f>IF($A70="","",'[1]Outputs Recap'!$C$12)</f>
        <v/>
      </c>
      <c r="AO70" s="861" t="str">
        <f>IF($A70="","",VLOOKUP('[1]Outputs Recap'!$C$11,[1]List!$I:$J,2,FALSE))</f>
        <v/>
      </c>
      <c r="AP70" s="856" t="str" cm="1">
        <f t="array" ref="AP70">IF($A70="","",_xlfn.IFS('[1]Pricing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0" s="862" t="str">
        <f>IF($A70="","",_xlfn.XLOOKUP('[1]Core Assumptions'!$D$20,'[1]Other Lookups'!$AH:$AH,'[1]Other Lookups'!$AI:$AI))</f>
        <v/>
      </c>
      <c r="AR70" s="863"/>
      <c r="AS70" s="864" t="str">
        <f>IF($A70="","",'[1]Outputs Recap'!$C$13)</f>
        <v/>
      </c>
      <c r="AT70" s="907"/>
      <c r="AU70" s="907"/>
      <c r="AV70" s="907" t="str">
        <f>IF($A70="","",IFERROR(+Table17[[#This Row],[Total Contract Amount]]*Table17[[#This Row],[First-year, one-time Onboarding/Setup Fee %]],0))</f>
        <v/>
      </c>
      <c r="AW70" s="853"/>
      <c r="AX70" s="867"/>
      <c r="AY70" s="908"/>
      <c r="AZ70" s="909"/>
      <c r="BA70" s="910"/>
      <c r="BB70" s="871"/>
      <c r="BC70" s="871"/>
      <c r="BD70" s="871"/>
      <c r="BE70" s="871"/>
      <c r="BF70" s="871"/>
      <c r="BG70" s="871"/>
      <c r="BH70" s="872"/>
      <c r="BI70" s="874"/>
      <c r="BJ70" s="874"/>
      <c r="BK70" s="874"/>
      <c r="BL70" s="875"/>
      <c r="BM70" s="876"/>
      <c r="BN70" s="911"/>
      <c r="BO70" s="878"/>
      <c r="BP70" s="879"/>
      <c r="BQ70" s="880"/>
      <c r="BR70" s="881"/>
      <c r="BS70" s="882"/>
      <c r="BT70" s="883"/>
      <c r="BU70" s="884"/>
      <c r="BV70" s="884"/>
      <c r="BW70" s="884"/>
      <c r="BX70" s="884"/>
      <c r="BY70" s="884"/>
      <c r="BZ70" s="884"/>
      <c r="CA70" s="884"/>
      <c r="CB70" s="884"/>
      <c r="CC70" s="884"/>
      <c r="CD70" s="884"/>
      <c r="CE70" s="885"/>
      <c r="CF70" s="885" t="str">
        <f>IF($A70="","",IF(#REF!&lt;&gt;0,#REF!-SUM(BT70:CE70),""))</f>
        <v/>
      </c>
      <c r="CG70" s="898" t="str">
        <f>IF(ISBLANK($X70)=FALSE,"NextGenApp Advisory LLC","")</f>
        <v/>
      </c>
      <c r="CH70" s="899" t="str">
        <f>_xlfn.IFNA(INDEX([1]List!AC:AC,MATCH(X70,[1]List!Y:Y,0)),"")</f>
        <v/>
      </c>
      <c r="CI70" s="900"/>
      <c r="CJ70" s="900"/>
      <c r="CK70" s="900"/>
      <c r="CL70" s="900"/>
      <c r="CM70" s="901"/>
      <c r="CN70" s="902"/>
      <c r="CO70" s="903"/>
      <c r="CP70" s="904"/>
      <c r="CQ70" s="892"/>
    </row>
    <row r="71" spans="1:95" x14ac:dyDescent="0.2">
      <c r="A71" s="894"/>
      <c r="B71" s="895"/>
      <c r="C71" s="896"/>
      <c r="D71" s="897"/>
      <c r="E71" s="897"/>
      <c r="F71" s="897"/>
      <c r="G71" s="897"/>
      <c r="H71" s="897"/>
      <c r="I71" s="897"/>
      <c r="J71" s="897"/>
      <c r="K71" s="897"/>
      <c r="L71" s="897"/>
      <c r="M71" s="897"/>
      <c r="N71" s="897"/>
      <c r="O71" s="897"/>
      <c r="P71" s="897"/>
      <c r="Q71" s="897"/>
      <c r="R71" s="897"/>
      <c r="S71" s="897"/>
      <c r="T71" s="897"/>
      <c r="U71" s="895"/>
      <c r="V71" s="852"/>
      <c r="W71" s="853"/>
      <c r="X71" s="853"/>
      <c r="Y71" s="853"/>
      <c r="Z71" s="853"/>
      <c r="AA71" s="853"/>
      <c r="AB71" s="854">
        <f>_xlfn.XLOOKUP(Table17[[#This Row],[Project Delivery Lead]],[1]List!Y:Y,[1]List!AC:AC)</f>
        <v>0</v>
      </c>
      <c r="AC71" s="853" t="str">
        <f>IF($A71="","",'[1]Core Assumptions'!$D91)</f>
        <v/>
      </c>
      <c r="AD71" s="855"/>
      <c r="AE71" s="905"/>
      <c r="AF71" s="857"/>
      <c r="AG71" s="857"/>
      <c r="AH71" s="858"/>
      <c r="AI71" s="858"/>
      <c r="AJ71" s="858"/>
      <c r="AK71" s="858" t="str">
        <f>IF($A71="","",IF('[1]Pricing Summary'!$B$31="T&amp;M","Time and Material","Fixed Fee"))</f>
        <v/>
      </c>
      <c r="AL71" s="856"/>
      <c r="AM71" s="856"/>
      <c r="AN71" s="906" t="str">
        <f>IF($A71="","",'[1]Outputs Recap'!$C$12)</f>
        <v/>
      </c>
      <c r="AO71" s="861" t="str">
        <f>IF($A71="","",VLOOKUP('[1]Outputs Recap'!$C$11,[1]List!$I:$J,2,FALSE))</f>
        <v/>
      </c>
      <c r="AP71" s="856" t="str" cm="1">
        <f t="array" ref="AP71">IF($A71="","",_xlfn.IFS('[1]Pricing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1" s="862" t="str">
        <f>IF($A71="","",_xlfn.XLOOKUP('[1]Core Assumptions'!$D$20,'[1]Other Lookups'!$AH:$AH,'[1]Other Lookups'!$AI:$AI))</f>
        <v/>
      </c>
      <c r="AR71" s="863"/>
      <c r="AS71" s="864" t="str">
        <f>IF($A71="","",'[1]Outputs Recap'!$C$13)</f>
        <v/>
      </c>
      <c r="AT71" s="907"/>
      <c r="AU71" s="907"/>
      <c r="AV71" s="907" t="str">
        <f>IF($A71="","",IFERROR(+Table17[[#This Row],[Total Contract Amount]]*Table17[[#This Row],[First-year, one-time Onboarding/Setup Fee %]],0))</f>
        <v/>
      </c>
      <c r="AW71" s="853"/>
      <c r="AX71" s="867"/>
      <c r="AY71" s="908"/>
      <c r="AZ71" s="909"/>
      <c r="BA71" s="910"/>
      <c r="BB71" s="871"/>
      <c r="BC71" s="871"/>
      <c r="BD71" s="871"/>
      <c r="BE71" s="871"/>
      <c r="BF71" s="871"/>
      <c r="BG71" s="871"/>
      <c r="BH71" s="872"/>
      <c r="BI71" s="874"/>
      <c r="BJ71" s="874"/>
      <c r="BK71" s="874"/>
      <c r="BL71" s="875"/>
      <c r="BM71" s="876"/>
      <c r="BN71" s="911"/>
      <c r="BO71" s="878"/>
      <c r="BP71" s="879"/>
      <c r="BQ71" s="880"/>
      <c r="BR71" s="881"/>
      <c r="BS71" s="882"/>
      <c r="BT71" s="883"/>
      <c r="BU71" s="884"/>
      <c r="BV71" s="884"/>
      <c r="BW71" s="884"/>
      <c r="BX71" s="884"/>
      <c r="BY71" s="884"/>
      <c r="BZ71" s="884"/>
      <c r="CA71" s="884"/>
      <c r="CB71" s="884"/>
      <c r="CC71" s="884"/>
      <c r="CD71" s="884"/>
      <c r="CE71" s="885"/>
      <c r="CF71" s="885" t="str">
        <f>IF($A71="","",IF(#REF!&lt;&gt;0,#REF!-SUM(BT71:CE71),""))</f>
        <v/>
      </c>
      <c r="CG71" s="898" t="str">
        <f>IF(ISBLANK($X71)=FALSE,"NextGenApp Advisory LLC","")</f>
        <v/>
      </c>
      <c r="CH71" s="899" t="str">
        <f>_xlfn.IFNA(INDEX([1]List!AC:AC,MATCH(X71,[1]List!Y:Y,0)),"")</f>
        <v/>
      </c>
      <c r="CI71" s="900"/>
      <c r="CJ71" s="900"/>
      <c r="CK71" s="900"/>
      <c r="CL71" s="900"/>
      <c r="CM71" s="901"/>
      <c r="CN71" s="902"/>
      <c r="CO71" s="903"/>
      <c r="CP71" s="904"/>
      <c r="CQ71" s="892"/>
    </row>
    <row r="72" spans="1:95" x14ac:dyDescent="0.2">
      <c r="A72" s="894"/>
      <c r="B72" s="895"/>
      <c r="C72" s="896"/>
      <c r="D72" s="897"/>
      <c r="E72" s="897"/>
      <c r="F72" s="897"/>
      <c r="G72" s="897"/>
      <c r="H72" s="897"/>
      <c r="I72" s="897"/>
      <c r="J72" s="897"/>
      <c r="K72" s="897"/>
      <c r="L72" s="897"/>
      <c r="M72" s="897"/>
      <c r="N72" s="897"/>
      <c r="O72" s="897"/>
      <c r="P72" s="897"/>
      <c r="Q72" s="897"/>
      <c r="R72" s="897"/>
      <c r="S72" s="897"/>
      <c r="T72" s="897"/>
      <c r="U72" s="895"/>
      <c r="V72" s="852"/>
      <c r="W72" s="853"/>
      <c r="X72" s="853"/>
      <c r="Y72" s="853"/>
      <c r="Z72" s="853"/>
      <c r="AA72" s="853"/>
      <c r="AB72" s="854">
        <f>_xlfn.XLOOKUP(Table17[[#This Row],[Project Delivery Lead]],[1]List!Y:Y,[1]List!AC:AC)</f>
        <v>0</v>
      </c>
      <c r="AC72" s="853" t="str">
        <f>IF($A72="","",'[1]Core Assumptions'!$D92)</f>
        <v/>
      </c>
      <c r="AD72" s="855"/>
      <c r="AE72" s="905"/>
      <c r="AF72" s="857"/>
      <c r="AG72" s="857"/>
      <c r="AH72" s="858"/>
      <c r="AI72" s="858"/>
      <c r="AJ72" s="858"/>
      <c r="AK72" s="858" t="str">
        <f>IF($A72="","",IF('[1]Pricing Summary'!$B$31="T&amp;M","Time and Material","Fixed Fee"))</f>
        <v/>
      </c>
      <c r="AL72" s="856"/>
      <c r="AM72" s="856"/>
      <c r="AN72" s="906" t="str">
        <f>IF($A72="","",'[1]Outputs Recap'!$C$12)</f>
        <v/>
      </c>
      <c r="AO72" s="861" t="str">
        <f>IF($A72="","",VLOOKUP('[1]Outputs Recap'!$C$11,[1]List!$I:$J,2,FALSE))</f>
        <v/>
      </c>
      <c r="AP72" s="856" t="str" cm="1">
        <f t="array" ref="AP72">IF($A72="","",_xlfn.IFS('[1]Pricing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2" s="862" t="str">
        <f>IF($A72="","",_xlfn.XLOOKUP('[1]Core Assumptions'!$D$20,'[1]Other Lookups'!$AH:$AH,'[1]Other Lookups'!$AI:$AI))</f>
        <v/>
      </c>
      <c r="AR72" s="863"/>
      <c r="AS72" s="864" t="str">
        <f>IF($A72="","",'[1]Outputs Recap'!$C$13)</f>
        <v/>
      </c>
      <c r="AT72" s="907"/>
      <c r="AU72" s="907"/>
      <c r="AV72" s="907" t="str">
        <f>IF($A72="","",IFERROR(+Table17[[#This Row],[Total Contract Amount]]*Table17[[#This Row],[First-year, one-time Onboarding/Setup Fee %]],0))</f>
        <v/>
      </c>
      <c r="AW72" s="853"/>
      <c r="AX72" s="867"/>
      <c r="AY72" s="908"/>
      <c r="AZ72" s="909"/>
      <c r="BA72" s="910"/>
      <c r="BB72" s="871"/>
      <c r="BC72" s="871"/>
      <c r="BD72" s="871"/>
      <c r="BE72" s="871"/>
      <c r="BF72" s="871"/>
      <c r="BG72" s="871"/>
      <c r="BH72" s="872"/>
      <c r="BI72" s="874"/>
      <c r="BJ72" s="874"/>
      <c r="BK72" s="874"/>
      <c r="BL72" s="875"/>
      <c r="BM72" s="876"/>
      <c r="BN72" s="911"/>
      <c r="BO72" s="878"/>
      <c r="BP72" s="879"/>
      <c r="BQ72" s="880"/>
      <c r="BR72" s="881"/>
      <c r="BS72" s="882"/>
      <c r="BT72" s="883"/>
      <c r="BU72" s="884"/>
      <c r="BV72" s="884"/>
      <c r="BW72" s="884"/>
      <c r="BX72" s="884"/>
      <c r="BY72" s="884"/>
      <c r="BZ72" s="884"/>
      <c r="CA72" s="884"/>
      <c r="CB72" s="884"/>
      <c r="CC72" s="884"/>
      <c r="CD72" s="884"/>
      <c r="CE72" s="885"/>
      <c r="CF72" s="885" t="str">
        <f>IF($A72="","",IF(#REF!&lt;&gt;0,#REF!-SUM(BT72:CE72),""))</f>
        <v/>
      </c>
      <c r="CG72" s="898" t="str">
        <f>IF(ISBLANK($X72)=FALSE,"NextGenApp Advisory LLC","")</f>
        <v/>
      </c>
      <c r="CH72" s="899" t="str">
        <f>_xlfn.IFNA(INDEX([1]List!AC:AC,MATCH(X72,[1]List!Y:Y,0)),"")</f>
        <v/>
      </c>
      <c r="CI72" s="900"/>
      <c r="CJ72" s="900"/>
      <c r="CK72" s="900"/>
      <c r="CL72" s="900"/>
      <c r="CM72" s="901"/>
      <c r="CN72" s="902"/>
      <c r="CO72" s="903"/>
      <c r="CP72" s="904"/>
      <c r="CQ72" s="892"/>
    </row>
    <row r="73" spans="1:95" x14ac:dyDescent="0.2">
      <c r="A73" s="894"/>
      <c r="B73" s="895"/>
      <c r="C73" s="896"/>
      <c r="D73" s="897"/>
      <c r="E73" s="897"/>
      <c r="F73" s="897"/>
      <c r="G73" s="897"/>
      <c r="H73" s="897"/>
      <c r="I73" s="897"/>
      <c r="J73" s="897"/>
      <c r="K73" s="897"/>
      <c r="L73" s="897"/>
      <c r="M73" s="897"/>
      <c r="N73" s="897"/>
      <c r="O73" s="897"/>
      <c r="P73" s="897"/>
      <c r="Q73" s="897"/>
      <c r="R73" s="897"/>
      <c r="S73" s="897"/>
      <c r="T73" s="897"/>
      <c r="U73" s="895"/>
      <c r="V73" s="852"/>
      <c r="W73" s="853"/>
      <c r="X73" s="853"/>
      <c r="Y73" s="853"/>
      <c r="Z73" s="853"/>
      <c r="AA73" s="853"/>
      <c r="AB73" s="854">
        <f>_xlfn.XLOOKUP(Table17[[#This Row],[Project Delivery Lead]],[1]List!Y:Y,[1]List!AC:AC)</f>
        <v>0</v>
      </c>
      <c r="AC73" s="853" t="str">
        <f>IF($A73="","",'[1]Core Assumptions'!$D93)</f>
        <v/>
      </c>
      <c r="AD73" s="855"/>
      <c r="AE73" s="905"/>
      <c r="AF73" s="857"/>
      <c r="AG73" s="857"/>
      <c r="AH73" s="858"/>
      <c r="AI73" s="858"/>
      <c r="AJ73" s="858"/>
      <c r="AK73" s="858" t="str">
        <f>IF($A73="","",IF('[1]Pricing Summary'!$B$31="T&amp;M","Time and Material","Fixed Fee"))</f>
        <v/>
      </c>
      <c r="AL73" s="856"/>
      <c r="AM73" s="856"/>
      <c r="AN73" s="906" t="str">
        <f>IF($A73="","",'[1]Outputs Recap'!$C$12)</f>
        <v/>
      </c>
      <c r="AO73" s="861" t="str">
        <f>IF($A73="","",VLOOKUP('[1]Outputs Recap'!$C$11,[1]List!$I:$J,2,FALSE))</f>
        <v/>
      </c>
      <c r="AP73" s="856" t="str" cm="1">
        <f t="array" ref="AP73">IF($A73="","",_xlfn.IFS('[1]Pricing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3" s="862" t="str">
        <f>IF($A73="","",_xlfn.XLOOKUP('[1]Core Assumptions'!$D$20,'[1]Other Lookups'!$AH:$AH,'[1]Other Lookups'!$AI:$AI))</f>
        <v/>
      </c>
      <c r="AR73" s="863"/>
      <c r="AS73" s="864" t="str">
        <f>IF($A73="","",'[1]Outputs Recap'!$C$13)</f>
        <v/>
      </c>
      <c r="AT73" s="907"/>
      <c r="AU73" s="907"/>
      <c r="AV73" s="907" t="str">
        <f>IF($A73="","",IFERROR(+Table17[[#This Row],[Total Contract Amount]]*Table17[[#This Row],[First-year, one-time Onboarding/Setup Fee %]],0))</f>
        <v/>
      </c>
      <c r="AW73" s="853"/>
      <c r="AX73" s="867"/>
      <c r="AY73" s="908"/>
      <c r="AZ73" s="909"/>
      <c r="BA73" s="910"/>
      <c r="BB73" s="871"/>
      <c r="BC73" s="871"/>
      <c r="BD73" s="871"/>
      <c r="BE73" s="871"/>
      <c r="BF73" s="871"/>
      <c r="BG73" s="871"/>
      <c r="BH73" s="872"/>
      <c r="BI73" s="874"/>
      <c r="BJ73" s="874"/>
      <c r="BK73" s="874"/>
      <c r="BL73" s="875"/>
      <c r="BM73" s="876"/>
      <c r="BN73" s="911"/>
      <c r="BO73" s="878"/>
      <c r="BP73" s="879"/>
      <c r="BQ73" s="880"/>
      <c r="BR73" s="881"/>
      <c r="BS73" s="882"/>
      <c r="BT73" s="883"/>
      <c r="BU73" s="884"/>
      <c r="BV73" s="884"/>
      <c r="BW73" s="884"/>
      <c r="BX73" s="884"/>
      <c r="BY73" s="884"/>
      <c r="BZ73" s="884"/>
      <c r="CA73" s="884"/>
      <c r="CB73" s="884"/>
      <c r="CC73" s="884"/>
      <c r="CD73" s="884"/>
      <c r="CE73" s="885"/>
      <c r="CF73" s="885" t="str">
        <f>IF($A73="","",IF(#REF!&lt;&gt;0,#REF!-SUM(BT73:CE73),""))</f>
        <v/>
      </c>
      <c r="CG73" s="898" t="str">
        <f>IF(ISBLANK($X73)=FALSE,"NextGenApp Advisory LLC","")</f>
        <v/>
      </c>
      <c r="CH73" s="899" t="str">
        <f>_xlfn.IFNA(INDEX([1]List!AC:AC,MATCH(X73,[1]List!Y:Y,0)),"")</f>
        <v/>
      </c>
      <c r="CI73" s="900"/>
      <c r="CJ73" s="900"/>
      <c r="CK73" s="900"/>
      <c r="CL73" s="900"/>
      <c r="CM73" s="901"/>
      <c r="CN73" s="902"/>
      <c r="CO73" s="903"/>
      <c r="CP73" s="904"/>
      <c r="CQ73" s="892"/>
    </row>
    <row r="74" spans="1:95" x14ac:dyDescent="0.2">
      <c r="A74" s="894"/>
      <c r="B74" s="895"/>
      <c r="C74" s="896"/>
      <c r="D74" s="897"/>
      <c r="E74" s="897"/>
      <c r="F74" s="897"/>
      <c r="G74" s="897"/>
      <c r="H74" s="897"/>
      <c r="I74" s="897"/>
      <c r="J74" s="897"/>
      <c r="K74" s="897"/>
      <c r="L74" s="897"/>
      <c r="M74" s="897"/>
      <c r="N74" s="897"/>
      <c r="O74" s="897"/>
      <c r="P74" s="897"/>
      <c r="Q74" s="897"/>
      <c r="R74" s="897"/>
      <c r="S74" s="897"/>
      <c r="T74" s="897"/>
      <c r="U74" s="895"/>
      <c r="V74" s="852"/>
      <c r="W74" s="853"/>
      <c r="X74" s="853"/>
      <c r="Y74" s="853"/>
      <c r="Z74" s="853"/>
      <c r="AA74" s="853"/>
      <c r="AB74" s="854">
        <f>_xlfn.XLOOKUP(Table17[[#This Row],[Project Delivery Lead]],[1]List!Y:Y,[1]List!AC:AC)</f>
        <v>0</v>
      </c>
      <c r="AC74" s="853" t="str">
        <f>IF($A74="","",'[1]Core Assumptions'!$D94)</f>
        <v/>
      </c>
      <c r="AD74" s="855"/>
      <c r="AE74" s="905"/>
      <c r="AF74" s="857"/>
      <c r="AG74" s="857"/>
      <c r="AH74" s="858"/>
      <c r="AI74" s="858"/>
      <c r="AJ74" s="858"/>
      <c r="AK74" s="858" t="str">
        <f>IF($A74="","",IF('[1]Pricing Summary'!$B$31="T&amp;M","Time and Material","Fixed Fee"))</f>
        <v/>
      </c>
      <c r="AL74" s="856"/>
      <c r="AM74" s="856"/>
      <c r="AN74" s="906" t="str">
        <f>IF($A74="","",'[1]Outputs Recap'!$C$12)</f>
        <v/>
      </c>
      <c r="AO74" s="861" t="str">
        <f>IF($A74="","",VLOOKUP('[1]Outputs Recap'!$C$11,[1]List!$I:$J,2,FALSE))</f>
        <v/>
      </c>
      <c r="AP74" s="856" t="str" cm="1">
        <f t="array" ref="AP74">IF($A74="","",_xlfn.IFS('[1]Pricing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4" s="862" t="str">
        <f>IF($A74="","",_xlfn.XLOOKUP('[1]Core Assumptions'!$D$20,'[1]Other Lookups'!$AH:$AH,'[1]Other Lookups'!$AI:$AI))</f>
        <v/>
      </c>
      <c r="AR74" s="863"/>
      <c r="AS74" s="864" t="str">
        <f>IF($A74="","",'[1]Outputs Recap'!$C$13)</f>
        <v/>
      </c>
      <c r="AT74" s="907"/>
      <c r="AU74" s="907"/>
      <c r="AV74" s="907" t="str">
        <f>IF($A74="","",IFERROR(+Table17[[#This Row],[Total Contract Amount]]*Table17[[#This Row],[First-year, one-time Onboarding/Setup Fee %]],0))</f>
        <v/>
      </c>
      <c r="AW74" s="853"/>
      <c r="AX74" s="867"/>
      <c r="AY74" s="908"/>
      <c r="AZ74" s="909"/>
      <c r="BA74" s="910"/>
      <c r="BB74" s="871"/>
      <c r="BC74" s="871"/>
      <c r="BD74" s="871"/>
      <c r="BE74" s="871"/>
      <c r="BF74" s="871"/>
      <c r="BG74" s="871"/>
      <c r="BH74" s="872"/>
      <c r="BI74" s="874"/>
      <c r="BJ74" s="874"/>
      <c r="BK74" s="874"/>
      <c r="BL74" s="875"/>
      <c r="BM74" s="876"/>
      <c r="BN74" s="911"/>
      <c r="BO74" s="878"/>
      <c r="BP74" s="879"/>
      <c r="BQ74" s="880"/>
      <c r="BR74" s="881"/>
      <c r="BS74" s="882"/>
      <c r="BT74" s="883"/>
      <c r="BU74" s="884"/>
      <c r="BV74" s="884"/>
      <c r="BW74" s="884"/>
      <c r="BX74" s="884"/>
      <c r="BY74" s="884"/>
      <c r="BZ74" s="884"/>
      <c r="CA74" s="884"/>
      <c r="CB74" s="884"/>
      <c r="CC74" s="884"/>
      <c r="CD74" s="884"/>
      <c r="CE74" s="885"/>
      <c r="CF74" s="885" t="str">
        <f>IF($A74="","",IF(#REF!&lt;&gt;0,#REF!-SUM(BT74:CE74),""))</f>
        <v/>
      </c>
      <c r="CG74" s="898" t="str">
        <f>IF(ISBLANK($X74)=FALSE,"NextGenApp Advisory LLC","")</f>
        <v/>
      </c>
      <c r="CH74" s="899" t="str">
        <f>_xlfn.IFNA(INDEX([1]List!AC:AC,MATCH(X74,[1]List!Y:Y,0)),"")</f>
        <v/>
      </c>
      <c r="CI74" s="900"/>
      <c r="CJ74" s="900"/>
      <c r="CK74" s="900"/>
      <c r="CL74" s="900"/>
      <c r="CM74" s="901"/>
      <c r="CN74" s="902"/>
      <c r="CO74" s="903"/>
      <c r="CP74" s="904"/>
      <c r="CQ74" s="892"/>
    </row>
    <row r="75" spans="1:95" x14ac:dyDescent="0.2">
      <c r="A75" s="894"/>
      <c r="B75" s="895"/>
      <c r="C75" s="896"/>
      <c r="D75" s="897"/>
      <c r="E75" s="897"/>
      <c r="F75" s="897"/>
      <c r="G75" s="897"/>
      <c r="H75" s="897"/>
      <c r="I75" s="897"/>
      <c r="J75" s="897"/>
      <c r="K75" s="897"/>
      <c r="L75" s="897"/>
      <c r="M75" s="897"/>
      <c r="N75" s="897"/>
      <c r="O75" s="897"/>
      <c r="P75" s="897"/>
      <c r="Q75" s="897"/>
      <c r="R75" s="897"/>
      <c r="S75" s="897"/>
      <c r="T75" s="897"/>
      <c r="U75" s="895"/>
      <c r="V75" s="852"/>
      <c r="W75" s="853"/>
      <c r="X75" s="853"/>
      <c r="Y75" s="853"/>
      <c r="Z75" s="853"/>
      <c r="AA75" s="853"/>
      <c r="AB75" s="854">
        <f>_xlfn.XLOOKUP(Table17[[#This Row],[Project Delivery Lead]],[1]List!Y:Y,[1]List!AC:AC)</f>
        <v>0</v>
      </c>
      <c r="AC75" s="853" t="str">
        <f>IF($A75="","",'[1]Core Assumptions'!$D95)</f>
        <v/>
      </c>
      <c r="AD75" s="855"/>
      <c r="AE75" s="905"/>
      <c r="AF75" s="857"/>
      <c r="AG75" s="857"/>
      <c r="AH75" s="858"/>
      <c r="AI75" s="858"/>
      <c r="AJ75" s="858"/>
      <c r="AK75" s="858" t="str">
        <f>IF($A75="","",IF('[1]Pricing Summary'!$B$31="T&amp;M","Time and Material","Fixed Fee"))</f>
        <v/>
      </c>
      <c r="AL75" s="856"/>
      <c r="AM75" s="856"/>
      <c r="AN75" s="906" t="str">
        <f>IF($A75="","",'[1]Outputs Recap'!$C$12)</f>
        <v/>
      </c>
      <c r="AO75" s="861" t="str">
        <f>IF($A75="","",VLOOKUP('[1]Outputs Recap'!$C$11,[1]List!$I:$J,2,FALSE))</f>
        <v/>
      </c>
      <c r="AP75" s="856" t="str" cm="1">
        <f t="array" ref="AP75">IF($A75="","",_xlfn.IFS('[1]Pricing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5" s="862" t="str">
        <f>IF($A75="","",_xlfn.XLOOKUP('[1]Core Assumptions'!$D$20,'[1]Other Lookups'!$AH:$AH,'[1]Other Lookups'!$AI:$AI))</f>
        <v/>
      </c>
      <c r="AR75" s="863"/>
      <c r="AS75" s="864" t="str">
        <f>IF($A75="","",'[1]Outputs Recap'!$C$13)</f>
        <v/>
      </c>
      <c r="AT75" s="907"/>
      <c r="AU75" s="907"/>
      <c r="AV75" s="907" t="str">
        <f>IF($A75="","",IFERROR(+Table17[[#This Row],[Total Contract Amount]]*Table17[[#This Row],[First-year, one-time Onboarding/Setup Fee %]],0))</f>
        <v/>
      </c>
      <c r="AW75" s="853"/>
      <c r="AX75" s="867"/>
      <c r="AY75" s="908"/>
      <c r="AZ75" s="909"/>
      <c r="BA75" s="910"/>
      <c r="BB75" s="871"/>
      <c r="BC75" s="871"/>
      <c r="BD75" s="871"/>
      <c r="BE75" s="871"/>
      <c r="BF75" s="871"/>
      <c r="BG75" s="871"/>
      <c r="BH75" s="872"/>
      <c r="BI75" s="874"/>
      <c r="BJ75" s="874"/>
      <c r="BK75" s="874"/>
      <c r="BL75" s="875"/>
      <c r="BM75" s="876"/>
      <c r="BN75" s="911"/>
      <c r="BO75" s="878"/>
      <c r="BP75" s="879"/>
      <c r="BQ75" s="880"/>
      <c r="BR75" s="881"/>
      <c r="BS75" s="882"/>
      <c r="BT75" s="883"/>
      <c r="BU75" s="884"/>
      <c r="BV75" s="884"/>
      <c r="BW75" s="884"/>
      <c r="BX75" s="884"/>
      <c r="BY75" s="884"/>
      <c r="BZ75" s="884"/>
      <c r="CA75" s="884"/>
      <c r="CB75" s="884"/>
      <c r="CC75" s="884"/>
      <c r="CD75" s="884"/>
      <c r="CE75" s="885"/>
      <c r="CF75" s="885" t="str">
        <f>IF($A75="","",IF(#REF!&lt;&gt;0,#REF!-SUM(BT75:CE75),""))</f>
        <v/>
      </c>
      <c r="CG75" s="898" t="str">
        <f>IF(ISBLANK($X75)=FALSE,"NextGenApp Advisory LLC","")</f>
        <v/>
      </c>
      <c r="CH75" s="899" t="str">
        <f>_xlfn.IFNA(INDEX([1]List!AC:AC,MATCH(X75,[1]List!Y:Y,0)),"")</f>
        <v/>
      </c>
      <c r="CI75" s="900"/>
      <c r="CJ75" s="900"/>
      <c r="CK75" s="900"/>
      <c r="CL75" s="900"/>
      <c r="CM75" s="901"/>
      <c r="CN75" s="902"/>
      <c r="CO75" s="903"/>
      <c r="CP75" s="904"/>
      <c r="CQ75" s="892"/>
    </row>
    <row r="76" spans="1:95" x14ac:dyDescent="0.2">
      <c r="A76" s="894"/>
      <c r="B76" s="895"/>
      <c r="C76" s="896"/>
      <c r="D76" s="897"/>
      <c r="E76" s="897"/>
      <c r="F76" s="897"/>
      <c r="G76" s="897"/>
      <c r="H76" s="897"/>
      <c r="I76" s="897"/>
      <c r="J76" s="897"/>
      <c r="K76" s="897"/>
      <c r="L76" s="897"/>
      <c r="M76" s="897"/>
      <c r="N76" s="897"/>
      <c r="O76" s="897"/>
      <c r="P76" s="897"/>
      <c r="Q76" s="897"/>
      <c r="R76" s="897"/>
      <c r="S76" s="897"/>
      <c r="T76" s="897"/>
      <c r="U76" s="895"/>
      <c r="V76" s="852"/>
      <c r="W76" s="853"/>
      <c r="X76" s="853"/>
      <c r="Y76" s="853"/>
      <c r="Z76" s="853"/>
      <c r="AA76" s="853"/>
      <c r="AB76" s="854">
        <f>_xlfn.XLOOKUP(Table17[[#This Row],[Project Delivery Lead]],[1]List!Y:Y,[1]List!AC:AC)</f>
        <v>0</v>
      </c>
      <c r="AC76" s="853" t="str">
        <f>IF($A76="","",'[1]Core Assumptions'!$D96)</f>
        <v/>
      </c>
      <c r="AD76" s="855"/>
      <c r="AE76" s="905"/>
      <c r="AF76" s="857"/>
      <c r="AG76" s="857"/>
      <c r="AH76" s="858"/>
      <c r="AI76" s="858"/>
      <c r="AJ76" s="858"/>
      <c r="AK76" s="858" t="str">
        <f>IF($A76="","",IF('[1]Pricing Summary'!$B$31="T&amp;M","Time and Material","Fixed Fee"))</f>
        <v/>
      </c>
      <c r="AL76" s="856"/>
      <c r="AM76" s="856"/>
      <c r="AN76" s="906" t="str">
        <f>IF($A76="","",'[1]Outputs Recap'!$C$12)</f>
        <v/>
      </c>
      <c r="AO76" s="861" t="str">
        <f>IF($A76="","",VLOOKUP('[1]Outputs Recap'!$C$11,[1]List!$I:$J,2,FALSE))</f>
        <v/>
      </c>
      <c r="AP76" s="856" t="str" cm="1">
        <f t="array" ref="AP76">IF($A76="","",_xlfn.IFS('[1]Pricing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6" s="862" t="str">
        <f>IF($A76="","",_xlfn.XLOOKUP('[1]Core Assumptions'!$D$20,'[1]Other Lookups'!$AH:$AH,'[1]Other Lookups'!$AI:$AI))</f>
        <v/>
      </c>
      <c r="AR76" s="863"/>
      <c r="AS76" s="864" t="str">
        <f>IF($A76="","",'[1]Outputs Recap'!$C$13)</f>
        <v/>
      </c>
      <c r="AT76" s="907"/>
      <c r="AU76" s="907"/>
      <c r="AV76" s="907" t="str">
        <f>IF($A76="","",IFERROR(+Table17[[#This Row],[Total Contract Amount]]*Table17[[#This Row],[First-year, one-time Onboarding/Setup Fee %]],0))</f>
        <v/>
      </c>
      <c r="AW76" s="853"/>
      <c r="AX76" s="867"/>
      <c r="AY76" s="908"/>
      <c r="AZ76" s="909"/>
      <c r="BA76" s="910"/>
      <c r="BB76" s="871"/>
      <c r="BC76" s="871"/>
      <c r="BD76" s="871"/>
      <c r="BE76" s="871"/>
      <c r="BF76" s="871"/>
      <c r="BG76" s="871"/>
      <c r="BH76" s="872"/>
      <c r="BI76" s="874"/>
      <c r="BJ76" s="874"/>
      <c r="BK76" s="874"/>
      <c r="BL76" s="875"/>
      <c r="BM76" s="876"/>
      <c r="BN76" s="911"/>
      <c r="BO76" s="878"/>
      <c r="BP76" s="879"/>
      <c r="BQ76" s="880"/>
      <c r="BR76" s="881"/>
      <c r="BS76" s="882"/>
      <c r="BT76" s="883"/>
      <c r="BU76" s="884"/>
      <c r="BV76" s="884"/>
      <c r="BW76" s="884"/>
      <c r="BX76" s="884"/>
      <c r="BY76" s="884"/>
      <c r="BZ76" s="884"/>
      <c r="CA76" s="884"/>
      <c r="CB76" s="884"/>
      <c r="CC76" s="884"/>
      <c r="CD76" s="884"/>
      <c r="CE76" s="885"/>
      <c r="CF76" s="885" t="str">
        <f>IF($A76="","",IF(#REF!&lt;&gt;0,#REF!-SUM(BT76:CE76),""))</f>
        <v/>
      </c>
      <c r="CG76" s="898" t="str">
        <f>IF(ISBLANK($X76)=FALSE,"NextGenApp Advisory LLC","")</f>
        <v/>
      </c>
      <c r="CH76" s="899" t="str">
        <f>_xlfn.IFNA(INDEX([1]List!AC:AC,MATCH(X76,[1]List!Y:Y,0)),"")</f>
        <v/>
      </c>
      <c r="CI76" s="900"/>
      <c r="CJ76" s="900"/>
      <c r="CK76" s="900"/>
      <c r="CL76" s="900"/>
      <c r="CM76" s="901"/>
      <c r="CN76" s="902"/>
      <c r="CO76" s="903"/>
      <c r="CP76" s="904"/>
      <c r="CQ76" s="892"/>
    </row>
    <row r="77" spans="1:95" x14ac:dyDescent="0.2">
      <c r="A77" s="894"/>
      <c r="B77" s="895"/>
      <c r="C77" s="896"/>
      <c r="D77" s="897"/>
      <c r="E77" s="897"/>
      <c r="F77" s="897"/>
      <c r="G77" s="897"/>
      <c r="H77" s="897"/>
      <c r="I77" s="897"/>
      <c r="J77" s="897"/>
      <c r="K77" s="897"/>
      <c r="L77" s="897"/>
      <c r="M77" s="897"/>
      <c r="N77" s="897"/>
      <c r="O77" s="897"/>
      <c r="P77" s="897"/>
      <c r="Q77" s="897"/>
      <c r="R77" s="897"/>
      <c r="S77" s="897"/>
      <c r="T77" s="897"/>
      <c r="U77" s="895"/>
      <c r="V77" s="852"/>
      <c r="W77" s="853"/>
      <c r="X77" s="853"/>
      <c r="Y77" s="853"/>
      <c r="Z77" s="853"/>
      <c r="AA77" s="853"/>
      <c r="AB77" s="854">
        <f>_xlfn.XLOOKUP(Table17[[#This Row],[Project Delivery Lead]],[1]List!Y:Y,[1]List!AC:AC)</f>
        <v>0</v>
      </c>
      <c r="AC77" s="853" t="str">
        <f>IF($A77="","",'[1]Core Assumptions'!$D97)</f>
        <v/>
      </c>
      <c r="AD77" s="855"/>
      <c r="AE77" s="905"/>
      <c r="AF77" s="857"/>
      <c r="AG77" s="857"/>
      <c r="AH77" s="858"/>
      <c r="AI77" s="858"/>
      <c r="AJ77" s="858"/>
      <c r="AK77" s="858" t="str">
        <f>IF($A77="","",IF('[1]Pricing Summary'!$B$31="T&amp;M","Time and Material","Fixed Fee"))</f>
        <v/>
      </c>
      <c r="AL77" s="856"/>
      <c r="AM77" s="856"/>
      <c r="AN77" s="906" t="str">
        <f>IF($A77="","",'[1]Outputs Recap'!$C$12)</f>
        <v/>
      </c>
      <c r="AO77" s="861" t="str">
        <f>IF($A77="","",VLOOKUP('[1]Outputs Recap'!$C$11,[1]List!$I:$J,2,FALSE))</f>
        <v/>
      </c>
      <c r="AP77" s="856" t="str" cm="1">
        <f t="array" ref="AP77">IF($A77="","",_xlfn.IFS('[1]Pricing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7" s="862" t="str">
        <f>IF($A77="","",_xlfn.XLOOKUP('[1]Core Assumptions'!$D$20,'[1]Other Lookups'!$AH:$AH,'[1]Other Lookups'!$AI:$AI))</f>
        <v/>
      </c>
      <c r="AR77" s="863"/>
      <c r="AS77" s="864" t="str">
        <f>IF($A77="","",'[1]Outputs Recap'!$C$13)</f>
        <v/>
      </c>
      <c r="AT77" s="907"/>
      <c r="AU77" s="907"/>
      <c r="AV77" s="907" t="str">
        <f>IF($A77="","",IFERROR(+Table17[[#This Row],[Total Contract Amount]]*Table17[[#This Row],[First-year, one-time Onboarding/Setup Fee %]],0))</f>
        <v/>
      </c>
      <c r="AW77" s="853"/>
      <c r="AX77" s="867"/>
      <c r="AY77" s="908"/>
      <c r="AZ77" s="909"/>
      <c r="BA77" s="910"/>
      <c r="BB77" s="871"/>
      <c r="BC77" s="871"/>
      <c r="BD77" s="871"/>
      <c r="BE77" s="871"/>
      <c r="BF77" s="871"/>
      <c r="BG77" s="871"/>
      <c r="BH77" s="872"/>
      <c r="BI77" s="874"/>
      <c r="BJ77" s="874"/>
      <c r="BK77" s="874"/>
      <c r="BL77" s="875"/>
      <c r="BM77" s="876"/>
      <c r="BN77" s="911"/>
      <c r="BO77" s="878"/>
      <c r="BP77" s="879"/>
      <c r="BQ77" s="880"/>
      <c r="BR77" s="881"/>
      <c r="BS77" s="882"/>
      <c r="BT77" s="883"/>
      <c r="BU77" s="884"/>
      <c r="BV77" s="884"/>
      <c r="BW77" s="884"/>
      <c r="BX77" s="884"/>
      <c r="BY77" s="884"/>
      <c r="BZ77" s="884"/>
      <c r="CA77" s="884"/>
      <c r="CB77" s="884"/>
      <c r="CC77" s="884"/>
      <c r="CD77" s="884"/>
      <c r="CE77" s="885"/>
      <c r="CF77" s="885" t="str">
        <f>IF($A77="","",IF(#REF!&lt;&gt;0,#REF!-SUM(BT77:CE77),""))</f>
        <v/>
      </c>
      <c r="CG77" s="898" t="str">
        <f>IF(ISBLANK($X77)=FALSE,"NextGenApp Advisory LLC","")</f>
        <v/>
      </c>
      <c r="CH77" s="899" t="str">
        <f>_xlfn.IFNA(INDEX([1]List!AC:AC,MATCH(X77,[1]List!Y:Y,0)),"")</f>
        <v/>
      </c>
      <c r="CI77" s="900"/>
      <c r="CJ77" s="900"/>
      <c r="CK77" s="900"/>
      <c r="CL77" s="900"/>
      <c r="CM77" s="901"/>
      <c r="CN77" s="902"/>
      <c r="CO77" s="903"/>
      <c r="CP77" s="904"/>
      <c r="CQ77" s="892"/>
    </row>
    <row r="78" spans="1:95" x14ac:dyDescent="0.2">
      <c r="A78" s="894"/>
      <c r="B78" s="895"/>
      <c r="C78" s="896"/>
      <c r="D78" s="897"/>
      <c r="E78" s="897"/>
      <c r="F78" s="897"/>
      <c r="G78" s="897"/>
      <c r="H78" s="897"/>
      <c r="I78" s="897"/>
      <c r="J78" s="897"/>
      <c r="K78" s="897"/>
      <c r="L78" s="897"/>
      <c r="M78" s="897"/>
      <c r="N78" s="897"/>
      <c r="O78" s="897"/>
      <c r="P78" s="897"/>
      <c r="Q78" s="897"/>
      <c r="R78" s="897"/>
      <c r="S78" s="897"/>
      <c r="T78" s="897"/>
      <c r="U78" s="895"/>
      <c r="V78" s="852"/>
      <c r="W78" s="853"/>
      <c r="X78" s="853"/>
      <c r="Y78" s="853"/>
      <c r="Z78" s="853"/>
      <c r="AA78" s="853"/>
      <c r="AB78" s="854">
        <f>_xlfn.XLOOKUP(Table17[[#This Row],[Project Delivery Lead]],[1]List!Y:Y,[1]List!AC:AC)</f>
        <v>0</v>
      </c>
      <c r="AC78" s="853" t="str">
        <f>IF($A78="","",'[1]Core Assumptions'!$D98)</f>
        <v/>
      </c>
      <c r="AD78" s="855"/>
      <c r="AE78" s="905"/>
      <c r="AF78" s="857"/>
      <c r="AG78" s="857"/>
      <c r="AH78" s="858"/>
      <c r="AI78" s="858"/>
      <c r="AJ78" s="858"/>
      <c r="AK78" s="858" t="str">
        <f>IF($A78="","",IF('[1]Pricing Summary'!$B$31="T&amp;M","Time and Material","Fixed Fee"))</f>
        <v/>
      </c>
      <c r="AL78" s="856"/>
      <c r="AM78" s="856"/>
      <c r="AN78" s="906" t="str">
        <f>IF($A78="","",'[1]Outputs Recap'!$C$12)</f>
        <v/>
      </c>
      <c r="AO78" s="861" t="str">
        <f>IF($A78="","",VLOOKUP('[1]Outputs Recap'!$C$11,[1]List!$I:$J,2,FALSE))</f>
        <v/>
      </c>
      <c r="AP78" s="856" t="str" cm="1">
        <f t="array" ref="AP78">IF($A78="","",_xlfn.IFS('[1]Pricing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8" s="862" t="str">
        <f>IF($A78="","",_xlfn.XLOOKUP('[1]Core Assumptions'!$D$20,'[1]Other Lookups'!$AH:$AH,'[1]Other Lookups'!$AI:$AI))</f>
        <v/>
      </c>
      <c r="AR78" s="863"/>
      <c r="AS78" s="864" t="str">
        <f>IF($A78="","",'[1]Outputs Recap'!$C$13)</f>
        <v/>
      </c>
      <c r="AT78" s="907"/>
      <c r="AU78" s="907"/>
      <c r="AV78" s="907" t="str">
        <f>IF($A78="","",IFERROR(+Table17[[#This Row],[Total Contract Amount]]*Table17[[#This Row],[First-year, one-time Onboarding/Setup Fee %]],0))</f>
        <v/>
      </c>
      <c r="AW78" s="853"/>
      <c r="AX78" s="867"/>
      <c r="AY78" s="908"/>
      <c r="AZ78" s="909"/>
      <c r="BA78" s="910"/>
      <c r="BB78" s="871"/>
      <c r="BC78" s="871"/>
      <c r="BD78" s="871"/>
      <c r="BE78" s="871"/>
      <c r="BF78" s="871"/>
      <c r="BG78" s="871"/>
      <c r="BH78" s="872"/>
      <c r="BI78" s="874"/>
      <c r="BJ78" s="874"/>
      <c r="BK78" s="874"/>
      <c r="BL78" s="875"/>
      <c r="BM78" s="876"/>
      <c r="BN78" s="911"/>
      <c r="BO78" s="878"/>
      <c r="BP78" s="879"/>
      <c r="BQ78" s="880"/>
      <c r="BR78" s="881"/>
      <c r="BS78" s="882"/>
      <c r="BT78" s="883"/>
      <c r="BU78" s="884"/>
      <c r="BV78" s="884"/>
      <c r="BW78" s="884"/>
      <c r="BX78" s="884"/>
      <c r="BY78" s="884"/>
      <c r="BZ78" s="884"/>
      <c r="CA78" s="884"/>
      <c r="CB78" s="884"/>
      <c r="CC78" s="884"/>
      <c r="CD78" s="884"/>
      <c r="CE78" s="885"/>
      <c r="CF78" s="885" t="str">
        <f>IF($A78="","",IF(#REF!&lt;&gt;0,#REF!-SUM(BT78:CE78),""))</f>
        <v/>
      </c>
      <c r="CG78" s="898" t="str">
        <f>IF(ISBLANK($X78)=FALSE,"NextGenApp Advisory LLC","")</f>
        <v/>
      </c>
      <c r="CH78" s="899" t="str">
        <f>_xlfn.IFNA(INDEX([1]List!AC:AC,MATCH(X78,[1]List!Y:Y,0)),"")</f>
        <v/>
      </c>
      <c r="CI78" s="900"/>
      <c r="CJ78" s="900"/>
      <c r="CK78" s="900"/>
      <c r="CL78" s="900"/>
      <c r="CM78" s="901"/>
      <c r="CN78" s="902"/>
      <c r="CO78" s="903"/>
      <c r="CP78" s="904"/>
      <c r="CQ78" s="892"/>
    </row>
    <row r="79" spans="1:95" x14ac:dyDescent="0.2">
      <c r="A79" s="894"/>
      <c r="B79" s="895"/>
      <c r="C79" s="896"/>
      <c r="D79" s="897"/>
      <c r="E79" s="897"/>
      <c r="F79" s="897"/>
      <c r="G79" s="897"/>
      <c r="H79" s="897"/>
      <c r="I79" s="897"/>
      <c r="J79" s="897"/>
      <c r="K79" s="897"/>
      <c r="L79" s="897"/>
      <c r="M79" s="897"/>
      <c r="N79" s="897"/>
      <c r="O79" s="897"/>
      <c r="P79" s="897"/>
      <c r="Q79" s="897"/>
      <c r="R79" s="897"/>
      <c r="S79" s="897"/>
      <c r="T79" s="897"/>
      <c r="U79" s="895"/>
      <c r="V79" s="852"/>
      <c r="W79" s="853"/>
      <c r="X79" s="853"/>
      <c r="Y79" s="853"/>
      <c r="Z79" s="853"/>
      <c r="AA79" s="853"/>
      <c r="AB79" s="854">
        <f>_xlfn.XLOOKUP(Table17[[#This Row],[Project Delivery Lead]],[1]List!Y:Y,[1]List!AC:AC)</f>
        <v>0</v>
      </c>
      <c r="AC79" s="853" t="str">
        <f>IF($A79="","",'[1]Core Assumptions'!$D99)</f>
        <v/>
      </c>
      <c r="AD79" s="855"/>
      <c r="AE79" s="905"/>
      <c r="AF79" s="857"/>
      <c r="AG79" s="857"/>
      <c r="AH79" s="858"/>
      <c r="AI79" s="858"/>
      <c r="AJ79" s="858"/>
      <c r="AK79" s="858" t="str">
        <f>IF($A79="","",IF('[1]Pricing Summary'!$B$31="T&amp;M","Time and Material","Fixed Fee"))</f>
        <v/>
      </c>
      <c r="AL79" s="856"/>
      <c r="AM79" s="856"/>
      <c r="AN79" s="906" t="str">
        <f>IF($A79="","",'[1]Outputs Recap'!$C$12)</f>
        <v/>
      </c>
      <c r="AO79" s="861" t="str">
        <f>IF($A79="","",VLOOKUP('[1]Outputs Recap'!$C$11,[1]List!$I:$J,2,FALSE))</f>
        <v/>
      </c>
      <c r="AP79" s="856" t="str" cm="1">
        <f t="array" ref="AP79">IF($A79="","",_xlfn.IFS('[1]Pricing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79" s="862" t="str">
        <f>IF($A79="","",_xlfn.XLOOKUP('[1]Core Assumptions'!$D$20,'[1]Other Lookups'!$AH:$AH,'[1]Other Lookups'!$AI:$AI))</f>
        <v/>
      </c>
      <c r="AR79" s="863"/>
      <c r="AS79" s="864" t="str">
        <f>IF($A79="","",'[1]Outputs Recap'!$C$13)</f>
        <v/>
      </c>
      <c r="AT79" s="907"/>
      <c r="AU79" s="907"/>
      <c r="AV79" s="907" t="str">
        <f>IF($A79="","",IFERROR(+Table17[[#This Row],[Total Contract Amount]]*Table17[[#This Row],[First-year, one-time Onboarding/Setup Fee %]],0))</f>
        <v/>
      </c>
      <c r="AW79" s="853"/>
      <c r="AX79" s="867"/>
      <c r="AY79" s="908"/>
      <c r="AZ79" s="909"/>
      <c r="BA79" s="910"/>
      <c r="BB79" s="871"/>
      <c r="BC79" s="871"/>
      <c r="BD79" s="871"/>
      <c r="BE79" s="871"/>
      <c r="BF79" s="871"/>
      <c r="BG79" s="871"/>
      <c r="BH79" s="872"/>
      <c r="BI79" s="874"/>
      <c r="BJ79" s="874"/>
      <c r="BK79" s="874"/>
      <c r="BL79" s="875"/>
      <c r="BM79" s="876"/>
      <c r="BN79" s="911"/>
      <c r="BO79" s="878"/>
      <c r="BP79" s="879"/>
      <c r="BQ79" s="880"/>
      <c r="BR79" s="881"/>
      <c r="BS79" s="882"/>
      <c r="BT79" s="883"/>
      <c r="BU79" s="884"/>
      <c r="BV79" s="884"/>
      <c r="BW79" s="884"/>
      <c r="BX79" s="884"/>
      <c r="BY79" s="884"/>
      <c r="BZ79" s="884"/>
      <c r="CA79" s="884"/>
      <c r="CB79" s="884"/>
      <c r="CC79" s="884"/>
      <c r="CD79" s="884"/>
      <c r="CE79" s="885"/>
      <c r="CF79" s="885" t="str">
        <f>IF($A79="","",IF(#REF!&lt;&gt;0,#REF!-SUM(BT79:CE79),""))</f>
        <v/>
      </c>
      <c r="CG79" s="898" t="str">
        <f>IF(ISBLANK($X79)=FALSE,"NextGenApp Advisory LLC","")</f>
        <v/>
      </c>
      <c r="CH79" s="899" t="str">
        <f>_xlfn.IFNA(INDEX([1]List!AC:AC,MATCH(X79,[1]List!Y:Y,0)),"")</f>
        <v/>
      </c>
      <c r="CI79" s="900"/>
      <c r="CJ79" s="900"/>
      <c r="CK79" s="900"/>
      <c r="CL79" s="900"/>
      <c r="CM79" s="901"/>
      <c r="CN79" s="902"/>
      <c r="CO79" s="903"/>
      <c r="CP79" s="904"/>
      <c r="CQ79" s="892"/>
    </row>
    <row r="80" spans="1:95" x14ac:dyDescent="0.2">
      <c r="A80" s="894"/>
      <c r="B80" s="895"/>
      <c r="C80" s="896"/>
      <c r="D80" s="897"/>
      <c r="E80" s="897"/>
      <c r="F80" s="897"/>
      <c r="G80" s="897"/>
      <c r="H80" s="897"/>
      <c r="I80" s="897"/>
      <c r="J80" s="897"/>
      <c r="K80" s="897"/>
      <c r="L80" s="897"/>
      <c r="M80" s="897"/>
      <c r="N80" s="897"/>
      <c r="O80" s="897"/>
      <c r="P80" s="897"/>
      <c r="Q80" s="897"/>
      <c r="R80" s="897"/>
      <c r="S80" s="897"/>
      <c r="T80" s="897"/>
      <c r="U80" s="895"/>
      <c r="V80" s="852"/>
      <c r="W80" s="853"/>
      <c r="X80" s="853"/>
      <c r="Y80" s="853"/>
      <c r="Z80" s="853"/>
      <c r="AA80" s="853"/>
      <c r="AB80" s="854">
        <f>_xlfn.XLOOKUP(Table17[[#This Row],[Project Delivery Lead]],[1]List!Y:Y,[1]List!AC:AC)</f>
        <v>0</v>
      </c>
      <c r="AC80" s="853" t="str">
        <f>IF($A80="","",'[1]Core Assumptions'!$D100)</f>
        <v/>
      </c>
      <c r="AD80" s="855"/>
      <c r="AE80" s="905"/>
      <c r="AF80" s="857"/>
      <c r="AG80" s="857"/>
      <c r="AH80" s="858"/>
      <c r="AI80" s="858"/>
      <c r="AJ80" s="858"/>
      <c r="AK80" s="858" t="str">
        <f>IF($A80="","",IF('[1]Pricing Summary'!$B$31="T&amp;M","Time and Material","Fixed Fee"))</f>
        <v/>
      </c>
      <c r="AL80" s="856"/>
      <c r="AM80" s="856"/>
      <c r="AN80" s="906" t="str">
        <f>IF($A80="","",'[1]Outputs Recap'!$C$12)</f>
        <v/>
      </c>
      <c r="AO80" s="861" t="str">
        <f>IF($A80="","",VLOOKUP('[1]Outputs Recap'!$C$11,[1]List!$I:$J,2,FALSE))</f>
        <v/>
      </c>
      <c r="AP80" s="856" t="str" cm="1">
        <f t="array" ref="AP80">IF($A80="","",_xlfn.IFS('[1]Pricing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0" s="862" t="str">
        <f>IF($A80="","",_xlfn.XLOOKUP('[1]Core Assumptions'!$D$20,'[1]Other Lookups'!$AH:$AH,'[1]Other Lookups'!$AI:$AI))</f>
        <v/>
      </c>
      <c r="AR80" s="863"/>
      <c r="AS80" s="864" t="str">
        <f>IF($A80="","",'[1]Outputs Recap'!$C$13)</f>
        <v/>
      </c>
      <c r="AT80" s="907"/>
      <c r="AU80" s="907"/>
      <c r="AV80" s="907" t="str">
        <f>IF($A80="","",IFERROR(+Table17[[#This Row],[Total Contract Amount]]*Table17[[#This Row],[First-year, one-time Onboarding/Setup Fee %]],0))</f>
        <v/>
      </c>
      <c r="AW80" s="853"/>
      <c r="AX80" s="867"/>
      <c r="AY80" s="908"/>
      <c r="AZ80" s="909"/>
      <c r="BA80" s="910"/>
      <c r="BB80" s="871"/>
      <c r="BC80" s="871"/>
      <c r="BD80" s="871"/>
      <c r="BE80" s="871"/>
      <c r="BF80" s="871"/>
      <c r="BG80" s="871"/>
      <c r="BH80" s="872"/>
      <c r="BI80" s="874"/>
      <c r="BJ80" s="874"/>
      <c r="BK80" s="874"/>
      <c r="BL80" s="875"/>
      <c r="BM80" s="876"/>
      <c r="BN80" s="911"/>
      <c r="BO80" s="878"/>
      <c r="BP80" s="879"/>
      <c r="BQ80" s="880"/>
      <c r="BR80" s="881"/>
      <c r="BS80" s="882"/>
      <c r="BT80" s="883"/>
      <c r="BU80" s="884"/>
      <c r="BV80" s="884"/>
      <c r="BW80" s="884"/>
      <c r="BX80" s="884"/>
      <c r="BY80" s="884"/>
      <c r="BZ80" s="884"/>
      <c r="CA80" s="884"/>
      <c r="CB80" s="884"/>
      <c r="CC80" s="884"/>
      <c r="CD80" s="884"/>
      <c r="CE80" s="885"/>
      <c r="CF80" s="885" t="str">
        <f>IF($A80="","",IF(#REF!&lt;&gt;0,#REF!-SUM(BT80:CE80),""))</f>
        <v/>
      </c>
      <c r="CG80" s="898" t="str">
        <f>IF(ISBLANK($X80)=FALSE,"NextGenApp Advisory LLC","")</f>
        <v/>
      </c>
      <c r="CH80" s="899" t="str">
        <f>_xlfn.IFNA(INDEX([1]List!AC:AC,MATCH(X80,[1]List!Y:Y,0)),"")</f>
        <v/>
      </c>
      <c r="CI80" s="900"/>
      <c r="CJ80" s="900"/>
      <c r="CK80" s="900"/>
      <c r="CL80" s="900"/>
      <c r="CM80" s="901"/>
      <c r="CN80" s="902"/>
      <c r="CO80" s="903"/>
      <c r="CP80" s="904"/>
      <c r="CQ80" s="892"/>
    </row>
    <row r="81" spans="1:95" x14ac:dyDescent="0.2">
      <c r="A81" s="894"/>
      <c r="B81" s="895"/>
      <c r="C81" s="896"/>
      <c r="D81" s="897"/>
      <c r="E81" s="897"/>
      <c r="F81" s="897"/>
      <c r="G81" s="897"/>
      <c r="H81" s="897"/>
      <c r="I81" s="897"/>
      <c r="J81" s="897"/>
      <c r="K81" s="897"/>
      <c r="L81" s="897"/>
      <c r="M81" s="897"/>
      <c r="N81" s="897"/>
      <c r="O81" s="897"/>
      <c r="P81" s="897"/>
      <c r="Q81" s="897"/>
      <c r="R81" s="897"/>
      <c r="S81" s="897"/>
      <c r="T81" s="897"/>
      <c r="U81" s="895"/>
      <c r="V81" s="852"/>
      <c r="W81" s="853"/>
      <c r="X81" s="853"/>
      <c r="Y81" s="853"/>
      <c r="Z81" s="853"/>
      <c r="AA81" s="853"/>
      <c r="AB81" s="854">
        <f>_xlfn.XLOOKUP(Table17[[#This Row],[Project Delivery Lead]],[1]List!Y:Y,[1]List!AC:AC)</f>
        <v>0</v>
      </c>
      <c r="AC81" s="853" t="str">
        <f>IF($A81="","",'[1]Core Assumptions'!$D101)</f>
        <v/>
      </c>
      <c r="AD81" s="855"/>
      <c r="AE81" s="905"/>
      <c r="AF81" s="857"/>
      <c r="AG81" s="857"/>
      <c r="AH81" s="858"/>
      <c r="AI81" s="858"/>
      <c r="AJ81" s="858"/>
      <c r="AK81" s="858" t="str">
        <f>IF($A81="","",IF('[1]Pricing Summary'!$B$31="T&amp;M","Time and Material","Fixed Fee"))</f>
        <v/>
      </c>
      <c r="AL81" s="856"/>
      <c r="AM81" s="856"/>
      <c r="AN81" s="906" t="str">
        <f>IF($A81="","",'[1]Outputs Recap'!$C$12)</f>
        <v/>
      </c>
      <c r="AO81" s="861" t="str">
        <f>IF($A81="","",VLOOKUP('[1]Outputs Recap'!$C$11,[1]List!$I:$J,2,FALSE))</f>
        <v/>
      </c>
      <c r="AP81" s="856" t="str" cm="1">
        <f t="array" ref="AP81">IF($A81="","",_xlfn.IFS('[1]Pricing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1" s="862" t="str">
        <f>IF($A81="","",_xlfn.XLOOKUP('[1]Core Assumptions'!$D$20,'[1]Other Lookups'!$AH:$AH,'[1]Other Lookups'!$AI:$AI))</f>
        <v/>
      </c>
      <c r="AR81" s="863"/>
      <c r="AS81" s="864" t="str">
        <f>IF($A81="","",'[1]Outputs Recap'!$C$13)</f>
        <v/>
      </c>
      <c r="AT81" s="907"/>
      <c r="AU81" s="907"/>
      <c r="AV81" s="907" t="str">
        <f>IF($A81="","",IFERROR(+Table17[[#This Row],[Total Contract Amount]]*Table17[[#This Row],[First-year, one-time Onboarding/Setup Fee %]],0))</f>
        <v/>
      </c>
      <c r="AW81" s="853"/>
      <c r="AX81" s="867"/>
      <c r="AY81" s="908"/>
      <c r="AZ81" s="909"/>
      <c r="BA81" s="910"/>
      <c r="BB81" s="871"/>
      <c r="BC81" s="871"/>
      <c r="BD81" s="871"/>
      <c r="BE81" s="871"/>
      <c r="BF81" s="871"/>
      <c r="BG81" s="871"/>
      <c r="BH81" s="872"/>
      <c r="BI81" s="874"/>
      <c r="BJ81" s="874"/>
      <c r="BK81" s="874"/>
      <c r="BL81" s="875"/>
      <c r="BM81" s="876"/>
      <c r="BN81" s="911"/>
      <c r="BO81" s="878"/>
      <c r="BP81" s="879"/>
      <c r="BQ81" s="880"/>
      <c r="BR81" s="881"/>
      <c r="BS81" s="882"/>
      <c r="BT81" s="883"/>
      <c r="BU81" s="884"/>
      <c r="BV81" s="884"/>
      <c r="BW81" s="884"/>
      <c r="BX81" s="884"/>
      <c r="BY81" s="884"/>
      <c r="BZ81" s="884"/>
      <c r="CA81" s="884"/>
      <c r="CB81" s="884"/>
      <c r="CC81" s="884"/>
      <c r="CD81" s="884"/>
      <c r="CE81" s="885"/>
      <c r="CF81" s="885" t="str">
        <f>IF($A81="","",IF(#REF!&lt;&gt;0,#REF!-SUM(BT81:CE81),""))</f>
        <v/>
      </c>
      <c r="CG81" s="898" t="str">
        <f>IF(ISBLANK($X81)=FALSE,"NextGenApp Advisory LLC","")</f>
        <v/>
      </c>
      <c r="CH81" s="899" t="str">
        <f>_xlfn.IFNA(INDEX([1]List!AC:AC,MATCH(X81,[1]List!Y:Y,0)),"")</f>
        <v/>
      </c>
      <c r="CI81" s="900"/>
      <c r="CJ81" s="900"/>
      <c r="CK81" s="900"/>
      <c r="CL81" s="900"/>
      <c r="CM81" s="901"/>
      <c r="CN81" s="902"/>
      <c r="CO81" s="903"/>
      <c r="CP81" s="904"/>
      <c r="CQ81" s="892"/>
    </row>
    <row r="82" spans="1:95" x14ac:dyDescent="0.2">
      <c r="A82" s="894"/>
      <c r="B82" s="895"/>
      <c r="C82" s="896"/>
      <c r="D82" s="897"/>
      <c r="E82" s="897"/>
      <c r="F82" s="897"/>
      <c r="G82" s="897"/>
      <c r="H82" s="897"/>
      <c r="I82" s="897"/>
      <c r="J82" s="897"/>
      <c r="K82" s="897"/>
      <c r="L82" s="897"/>
      <c r="M82" s="897"/>
      <c r="N82" s="897"/>
      <c r="O82" s="897"/>
      <c r="P82" s="897"/>
      <c r="Q82" s="897"/>
      <c r="R82" s="897"/>
      <c r="S82" s="897"/>
      <c r="T82" s="897"/>
      <c r="U82" s="895"/>
      <c r="V82" s="852"/>
      <c r="W82" s="853"/>
      <c r="X82" s="853"/>
      <c r="Y82" s="853"/>
      <c r="Z82" s="853"/>
      <c r="AA82" s="853"/>
      <c r="AB82" s="854">
        <f>_xlfn.XLOOKUP(Table17[[#This Row],[Project Delivery Lead]],[1]List!Y:Y,[1]List!AC:AC)</f>
        <v>0</v>
      </c>
      <c r="AC82" s="853" t="str">
        <f>IF($A82="","",'[1]Core Assumptions'!$D102)</f>
        <v/>
      </c>
      <c r="AD82" s="855"/>
      <c r="AE82" s="905"/>
      <c r="AF82" s="857"/>
      <c r="AG82" s="857"/>
      <c r="AH82" s="858"/>
      <c r="AI82" s="858"/>
      <c r="AJ82" s="858"/>
      <c r="AK82" s="858" t="str">
        <f>IF($A82="","",IF('[1]Pricing Summary'!$B$31="T&amp;M","Time and Material","Fixed Fee"))</f>
        <v/>
      </c>
      <c r="AL82" s="856"/>
      <c r="AM82" s="856"/>
      <c r="AN82" s="906" t="str">
        <f>IF($A82="","",'[1]Outputs Recap'!$C$12)</f>
        <v/>
      </c>
      <c r="AO82" s="861" t="str">
        <f>IF($A82="","",VLOOKUP('[1]Outputs Recap'!$C$11,[1]List!$I:$J,2,FALSE))</f>
        <v/>
      </c>
      <c r="AP82" s="856" t="str" cm="1">
        <f t="array" ref="AP82">IF($A82="","",_xlfn.IFS('[1]Pricing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2" s="862" t="str">
        <f>IF($A82="","",_xlfn.XLOOKUP('[1]Core Assumptions'!$D$20,'[1]Other Lookups'!$AH:$AH,'[1]Other Lookups'!$AI:$AI))</f>
        <v/>
      </c>
      <c r="AR82" s="863"/>
      <c r="AS82" s="864" t="str">
        <f>IF($A82="","",'[1]Outputs Recap'!$C$13)</f>
        <v/>
      </c>
      <c r="AT82" s="907"/>
      <c r="AU82" s="907"/>
      <c r="AV82" s="907" t="str">
        <f>IF($A82="","",IFERROR(+Table17[[#This Row],[Total Contract Amount]]*Table17[[#This Row],[First-year, one-time Onboarding/Setup Fee %]],0))</f>
        <v/>
      </c>
      <c r="AW82" s="853"/>
      <c r="AX82" s="867"/>
      <c r="AY82" s="908"/>
      <c r="AZ82" s="909"/>
      <c r="BA82" s="910"/>
      <c r="BB82" s="871"/>
      <c r="BC82" s="871"/>
      <c r="BD82" s="871"/>
      <c r="BE82" s="871"/>
      <c r="BF82" s="871"/>
      <c r="BG82" s="871"/>
      <c r="BH82" s="872"/>
      <c r="BI82" s="874"/>
      <c r="BJ82" s="874"/>
      <c r="BK82" s="874"/>
      <c r="BL82" s="875"/>
      <c r="BM82" s="876"/>
      <c r="BN82" s="911"/>
      <c r="BO82" s="878"/>
      <c r="BP82" s="879"/>
      <c r="BQ82" s="880"/>
      <c r="BR82" s="881"/>
      <c r="BS82" s="882"/>
      <c r="BT82" s="883"/>
      <c r="BU82" s="884"/>
      <c r="BV82" s="884"/>
      <c r="BW82" s="884"/>
      <c r="BX82" s="884"/>
      <c r="BY82" s="884"/>
      <c r="BZ82" s="884"/>
      <c r="CA82" s="884"/>
      <c r="CB82" s="884"/>
      <c r="CC82" s="884"/>
      <c r="CD82" s="884"/>
      <c r="CE82" s="885"/>
      <c r="CF82" s="885" t="str">
        <f>IF($A82="","",IF(#REF!&lt;&gt;0,#REF!-SUM(BT82:CE82),""))</f>
        <v/>
      </c>
      <c r="CG82" s="898" t="str">
        <f>IF(ISBLANK($X82)=FALSE,"NextGenApp Advisory LLC","")</f>
        <v/>
      </c>
      <c r="CH82" s="899" t="str">
        <f>_xlfn.IFNA(INDEX([1]List!AC:AC,MATCH(X82,[1]List!Y:Y,0)),"")</f>
        <v/>
      </c>
      <c r="CI82" s="900"/>
      <c r="CJ82" s="900"/>
      <c r="CK82" s="900"/>
      <c r="CL82" s="900"/>
      <c r="CM82" s="901"/>
      <c r="CN82" s="902"/>
      <c r="CO82" s="903"/>
      <c r="CP82" s="904"/>
      <c r="CQ82" s="892"/>
    </row>
    <row r="83" spans="1:95" x14ac:dyDescent="0.2">
      <c r="A83" s="894"/>
      <c r="B83" s="895"/>
      <c r="C83" s="896"/>
      <c r="D83" s="897"/>
      <c r="E83" s="897"/>
      <c r="F83" s="897"/>
      <c r="G83" s="897"/>
      <c r="H83" s="897"/>
      <c r="I83" s="897"/>
      <c r="J83" s="897"/>
      <c r="K83" s="897"/>
      <c r="L83" s="897"/>
      <c r="M83" s="897"/>
      <c r="N83" s="897"/>
      <c r="O83" s="897"/>
      <c r="P83" s="897"/>
      <c r="Q83" s="897"/>
      <c r="R83" s="897"/>
      <c r="S83" s="897"/>
      <c r="T83" s="897"/>
      <c r="U83" s="895"/>
      <c r="V83" s="852"/>
      <c r="W83" s="853"/>
      <c r="X83" s="853"/>
      <c r="Y83" s="853"/>
      <c r="Z83" s="853"/>
      <c r="AA83" s="853"/>
      <c r="AB83" s="854">
        <f>_xlfn.XLOOKUP(Table17[[#This Row],[Project Delivery Lead]],[1]List!Y:Y,[1]List!AC:AC)</f>
        <v>0</v>
      </c>
      <c r="AC83" s="853" t="str">
        <f>IF($A83="","",'[1]Core Assumptions'!$D103)</f>
        <v/>
      </c>
      <c r="AD83" s="855"/>
      <c r="AE83" s="905"/>
      <c r="AF83" s="857"/>
      <c r="AG83" s="857"/>
      <c r="AH83" s="858"/>
      <c r="AI83" s="858"/>
      <c r="AJ83" s="858"/>
      <c r="AK83" s="858" t="str">
        <f>IF($A83="","",IF('[1]Pricing Summary'!$B$31="T&amp;M","Time and Material","Fixed Fee"))</f>
        <v/>
      </c>
      <c r="AL83" s="856"/>
      <c r="AM83" s="856"/>
      <c r="AN83" s="906" t="str">
        <f>IF($A83="","",'[1]Outputs Recap'!$C$12)</f>
        <v/>
      </c>
      <c r="AO83" s="861" t="str">
        <f>IF($A83="","",VLOOKUP('[1]Outputs Recap'!$C$11,[1]List!$I:$J,2,FALSE))</f>
        <v/>
      </c>
      <c r="AP83" s="856" t="str" cm="1">
        <f t="array" ref="AP83">IF($A83="","",_xlfn.IFS('[1]Pricing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3" s="862" t="str">
        <f>IF($A83="","",_xlfn.XLOOKUP('[1]Core Assumptions'!$D$20,'[1]Other Lookups'!$AH:$AH,'[1]Other Lookups'!$AI:$AI))</f>
        <v/>
      </c>
      <c r="AR83" s="863"/>
      <c r="AS83" s="864" t="str">
        <f>IF($A83="","",'[1]Outputs Recap'!$C$13)</f>
        <v/>
      </c>
      <c r="AT83" s="907"/>
      <c r="AU83" s="907"/>
      <c r="AV83" s="907" t="str">
        <f>IF($A83="","",IFERROR(+Table17[[#This Row],[Total Contract Amount]]*Table17[[#This Row],[First-year, one-time Onboarding/Setup Fee %]],0))</f>
        <v/>
      </c>
      <c r="AW83" s="853"/>
      <c r="AX83" s="867"/>
      <c r="AY83" s="908"/>
      <c r="AZ83" s="909"/>
      <c r="BA83" s="910"/>
      <c r="BB83" s="871"/>
      <c r="BC83" s="871"/>
      <c r="BD83" s="871"/>
      <c r="BE83" s="871"/>
      <c r="BF83" s="871"/>
      <c r="BG83" s="871"/>
      <c r="BH83" s="872"/>
      <c r="BI83" s="874"/>
      <c r="BJ83" s="874"/>
      <c r="BK83" s="874"/>
      <c r="BL83" s="875"/>
      <c r="BM83" s="876"/>
      <c r="BN83" s="911"/>
      <c r="BO83" s="878"/>
      <c r="BP83" s="879"/>
      <c r="BQ83" s="880"/>
      <c r="BR83" s="881"/>
      <c r="BS83" s="882"/>
      <c r="BT83" s="883"/>
      <c r="BU83" s="884"/>
      <c r="BV83" s="884"/>
      <c r="BW83" s="884"/>
      <c r="BX83" s="884"/>
      <c r="BY83" s="884"/>
      <c r="BZ83" s="884"/>
      <c r="CA83" s="884"/>
      <c r="CB83" s="884"/>
      <c r="CC83" s="884"/>
      <c r="CD83" s="884"/>
      <c r="CE83" s="885"/>
      <c r="CF83" s="885" t="str">
        <f>IF($A83="","",IF(#REF!&lt;&gt;0,#REF!-SUM(BT83:CE83),""))</f>
        <v/>
      </c>
      <c r="CG83" s="898" t="str">
        <f>IF(ISBLANK($X83)=FALSE,"NextGenApp Advisory LLC","")</f>
        <v/>
      </c>
      <c r="CH83" s="899" t="str">
        <f>_xlfn.IFNA(INDEX([1]List!AC:AC,MATCH(X83,[1]List!Y:Y,0)),"")</f>
        <v/>
      </c>
      <c r="CI83" s="900"/>
      <c r="CJ83" s="900"/>
      <c r="CK83" s="900"/>
      <c r="CL83" s="900"/>
      <c r="CM83" s="901"/>
      <c r="CN83" s="902"/>
      <c r="CO83" s="903"/>
      <c r="CP83" s="904"/>
      <c r="CQ83" s="892"/>
    </row>
    <row r="84" spans="1:95" x14ac:dyDescent="0.2">
      <c r="A84" s="894"/>
      <c r="B84" s="895"/>
      <c r="C84" s="896"/>
      <c r="D84" s="897"/>
      <c r="E84" s="897"/>
      <c r="F84" s="897"/>
      <c r="G84" s="897"/>
      <c r="H84" s="897"/>
      <c r="I84" s="897"/>
      <c r="J84" s="897"/>
      <c r="K84" s="897"/>
      <c r="L84" s="897"/>
      <c r="M84" s="897"/>
      <c r="N84" s="897"/>
      <c r="O84" s="897"/>
      <c r="P84" s="897"/>
      <c r="Q84" s="897"/>
      <c r="R84" s="897"/>
      <c r="S84" s="897"/>
      <c r="T84" s="897"/>
      <c r="U84" s="895"/>
      <c r="V84" s="852"/>
      <c r="W84" s="853"/>
      <c r="X84" s="853"/>
      <c r="Y84" s="853"/>
      <c r="Z84" s="853"/>
      <c r="AA84" s="853"/>
      <c r="AB84" s="854">
        <f>_xlfn.XLOOKUP(Table17[[#This Row],[Project Delivery Lead]],[1]List!Y:Y,[1]List!AC:AC)</f>
        <v>0</v>
      </c>
      <c r="AC84" s="853" t="str">
        <f>IF($A84="","",'[1]Core Assumptions'!$D104)</f>
        <v/>
      </c>
      <c r="AD84" s="855"/>
      <c r="AE84" s="905"/>
      <c r="AF84" s="857"/>
      <c r="AG84" s="857"/>
      <c r="AH84" s="858"/>
      <c r="AI84" s="858"/>
      <c r="AJ84" s="858"/>
      <c r="AK84" s="858" t="str">
        <f>IF($A84="","",IF('[1]Pricing Summary'!$B$31="T&amp;M","Time and Material","Fixed Fee"))</f>
        <v/>
      </c>
      <c r="AL84" s="856"/>
      <c r="AM84" s="856"/>
      <c r="AN84" s="906" t="str">
        <f>IF($A84="","",'[1]Outputs Recap'!$C$12)</f>
        <v/>
      </c>
      <c r="AO84" s="861" t="str">
        <f>IF($A84="","",VLOOKUP('[1]Outputs Recap'!$C$11,[1]List!$I:$J,2,FALSE))</f>
        <v/>
      </c>
      <c r="AP84" s="856" t="str" cm="1">
        <f t="array" ref="AP84">IF($A84="","",_xlfn.IFS('[1]Pricing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4" s="862" t="str">
        <f>IF($A84="","",_xlfn.XLOOKUP('[1]Core Assumptions'!$D$20,'[1]Other Lookups'!$AH:$AH,'[1]Other Lookups'!$AI:$AI))</f>
        <v/>
      </c>
      <c r="AR84" s="863"/>
      <c r="AS84" s="864" t="str">
        <f>IF($A84="","",'[1]Outputs Recap'!$C$13)</f>
        <v/>
      </c>
      <c r="AT84" s="907"/>
      <c r="AU84" s="907"/>
      <c r="AV84" s="907" t="str">
        <f>IF($A84="","",IFERROR(+Table17[[#This Row],[Total Contract Amount]]*Table17[[#This Row],[First-year, one-time Onboarding/Setup Fee %]],0))</f>
        <v/>
      </c>
      <c r="AW84" s="853"/>
      <c r="AX84" s="867"/>
      <c r="AY84" s="908"/>
      <c r="AZ84" s="909"/>
      <c r="BA84" s="910"/>
      <c r="BB84" s="871"/>
      <c r="BC84" s="871"/>
      <c r="BD84" s="871"/>
      <c r="BE84" s="871"/>
      <c r="BF84" s="871"/>
      <c r="BG84" s="871"/>
      <c r="BH84" s="872"/>
      <c r="BI84" s="874"/>
      <c r="BJ84" s="874"/>
      <c r="BK84" s="874"/>
      <c r="BL84" s="875"/>
      <c r="BM84" s="876"/>
      <c r="BN84" s="911"/>
      <c r="BO84" s="878"/>
      <c r="BP84" s="879"/>
      <c r="BQ84" s="880"/>
      <c r="BR84" s="881"/>
      <c r="BS84" s="882"/>
      <c r="BT84" s="883"/>
      <c r="BU84" s="884"/>
      <c r="BV84" s="884"/>
      <c r="BW84" s="884"/>
      <c r="BX84" s="884"/>
      <c r="BY84" s="884"/>
      <c r="BZ84" s="884"/>
      <c r="CA84" s="884"/>
      <c r="CB84" s="884"/>
      <c r="CC84" s="884"/>
      <c r="CD84" s="884"/>
      <c r="CE84" s="885"/>
      <c r="CF84" s="885" t="str">
        <f>IF($A84="","",IF(#REF!&lt;&gt;0,#REF!-SUM(BT84:CE84),""))</f>
        <v/>
      </c>
      <c r="CG84" s="898" t="str">
        <f>IF(ISBLANK($X84)=FALSE,"NextGenApp Advisory LLC","")</f>
        <v/>
      </c>
      <c r="CH84" s="899" t="str">
        <f>_xlfn.IFNA(INDEX([1]List!AC:AC,MATCH(X84,[1]List!Y:Y,0)),"")</f>
        <v/>
      </c>
      <c r="CI84" s="900"/>
      <c r="CJ84" s="900"/>
      <c r="CK84" s="900"/>
      <c r="CL84" s="900"/>
      <c r="CM84" s="901"/>
      <c r="CN84" s="902"/>
      <c r="CO84" s="903"/>
      <c r="CP84" s="904"/>
      <c r="CQ84" s="892"/>
    </row>
    <row r="85" spans="1:95" x14ac:dyDescent="0.2">
      <c r="A85" s="894"/>
      <c r="B85" s="895"/>
      <c r="C85" s="896"/>
      <c r="D85" s="897"/>
      <c r="E85" s="897"/>
      <c r="F85" s="897"/>
      <c r="G85" s="897"/>
      <c r="H85" s="897"/>
      <c r="I85" s="897"/>
      <c r="J85" s="897"/>
      <c r="K85" s="897"/>
      <c r="L85" s="897"/>
      <c r="M85" s="897"/>
      <c r="N85" s="897"/>
      <c r="O85" s="897"/>
      <c r="P85" s="897"/>
      <c r="Q85" s="897"/>
      <c r="R85" s="897"/>
      <c r="S85" s="897"/>
      <c r="T85" s="897"/>
      <c r="U85" s="895"/>
      <c r="V85" s="852"/>
      <c r="W85" s="853"/>
      <c r="X85" s="853"/>
      <c r="Y85" s="853"/>
      <c r="Z85" s="853"/>
      <c r="AA85" s="853"/>
      <c r="AB85" s="854">
        <f>_xlfn.XLOOKUP(Table17[[#This Row],[Project Delivery Lead]],[1]List!Y:Y,[1]List!AC:AC)</f>
        <v>0</v>
      </c>
      <c r="AC85" s="853" t="str">
        <f>IF($A85="","",'[1]Core Assumptions'!$D105)</f>
        <v/>
      </c>
      <c r="AD85" s="855"/>
      <c r="AE85" s="905"/>
      <c r="AF85" s="857"/>
      <c r="AG85" s="857"/>
      <c r="AH85" s="858"/>
      <c r="AI85" s="858"/>
      <c r="AJ85" s="858"/>
      <c r="AK85" s="858" t="str">
        <f>IF($A85="","",IF('[1]Pricing Summary'!$B$31="T&amp;M","Time and Material","Fixed Fee"))</f>
        <v/>
      </c>
      <c r="AL85" s="856"/>
      <c r="AM85" s="856"/>
      <c r="AN85" s="906" t="str">
        <f>IF($A85="","",'[1]Outputs Recap'!$C$12)</f>
        <v/>
      </c>
      <c r="AO85" s="861" t="str">
        <f>IF($A85="","",VLOOKUP('[1]Outputs Recap'!$C$11,[1]List!$I:$J,2,FALSE))</f>
        <v/>
      </c>
      <c r="AP85" s="856" t="str" cm="1">
        <f t="array" ref="AP85">IF($A85="","",_xlfn.IFS('[1]Pricing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5" s="862" t="str">
        <f>IF($A85="","",_xlfn.XLOOKUP('[1]Core Assumptions'!$D$20,'[1]Other Lookups'!$AH:$AH,'[1]Other Lookups'!$AI:$AI))</f>
        <v/>
      </c>
      <c r="AR85" s="863"/>
      <c r="AS85" s="864" t="str">
        <f>IF($A85="","",'[1]Outputs Recap'!$C$13)</f>
        <v/>
      </c>
      <c r="AT85" s="907"/>
      <c r="AU85" s="907"/>
      <c r="AV85" s="907" t="str">
        <f>IF($A85="","",IFERROR(+Table17[[#This Row],[Total Contract Amount]]*Table17[[#This Row],[First-year, one-time Onboarding/Setup Fee %]],0))</f>
        <v/>
      </c>
      <c r="AW85" s="853"/>
      <c r="AX85" s="867"/>
      <c r="AY85" s="908"/>
      <c r="AZ85" s="909"/>
      <c r="BA85" s="910"/>
      <c r="BB85" s="871"/>
      <c r="BC85" s="871"/>
      <c r="BD85" s="871"/>
      <c r="BE85" s="871"/>
      <c r="BF85" s="871"/>
      <c r="BG85" s="871"/>
      <c r="BH85" s="872"/>
      <c r="BI85" s="874"/>
      <c r="BJ85" s="874"/>
      <c r="BK85" s="874"/>
      <c r="BL85" s="875"/>
      <c r="BM85" s="876"/>
      <c r="BN85" s="911"/>
      <c r="BO85" s="878"/>
      <c r="BP85" s="879"/>
      <c r="BQ85" s="880"/>
      <c r="BR85" s="881"/>
      <c r="BS85" s="882"/>
      <c r="BT85" s="883"/>
      <c r="BU85" s="884"/>
      <c r="BV85" s="884"/>
      <c r="BW85" s="884"/>
      <c r="BX85" s="884"/>
      <c r="BY85" s="884"/>
      <c r="BZ85" s="884"/>
      <c r="CA85" s="884"/>
      <c r="CB85" s="884"/>
      <c r="CC85" s="884"/>
      <c r="CD85" s="884"/>
      <c r="CE85" s="885"/>
      <c r="CF85" s="885" t="str">
        <f>IF($A85="","",IF(#REF!&lt;&gt;0,#REF!-SUM(BT85:CE85),""))</f>
        <v/>
      </c>
      <c r="CG85" s="898" t="str">
        <f>IF(ISBLANK($X85)=FALSE,"NextGenApp Advisory LLC","")</f>
        <v/>
      </c>
      <c r="CH85" s="899" t="str">
        <f>_xlfn.IFNA(INDEX([1]List!AC:AC,MATCH(X85,[1]List!Y:Y,0)),"")</f>
        <v/>
      </c>
      <c r="CI85" s="900"/>
      <c r="CJ85" s="900"/>
      <c r="CK85" s="900"/>
      <c r="CL85" s="900"/>
      <c r="CM85" s="901"/>
      <c r="CN85" s="902"/>
      <c r="CO85" s="903"/>
      <c r="CP85" s="904"/>
      <c r="CQ85" s="892"/>
    </row>
    <row r="86" spans="1:95" x14ac:dyDescent="0.2">
      <c r="A86" s="894"/>
      <c r="B86" s="895"/>
      <c r="C86" s="896"/>
      <c r="D86" s="897"/>
      <c r="E86" s="897"/>
      <c r="F86" s="897"/>
      <c r="G86" s="897"/>
      <c r="H86" s="897"/>
      <c r="I86" s="897"/>
      <c r="J86" s="897"/>
      <c r="K86" s="897"/>
      <c r="L86" s="897"/>
      <c r="M86" s="897"/>
      <c r="N86" s="897"/>
      <c r="O86" s="897"/>
      <c r="P86" s="897"/>
      <c r="Q86" s="897"/>
      <c r="R86" s="897"/>
      <c r="S86" s="897"/>
      <c r="T86" s="897"/>
      <c r="U86" s="895"/>
      <c r="V86" s="852"/>
      <c r="W86" s="853"/>
      <c r="X86" s="853"/>
      <c r="Y86" s="853"/>
      <c r="Z86" s="853"/>
      <c r="AA86" s="853"/>
      <c r="AB86" s="854">
        <f>_xlfn.XLOOKUP(Table17[[#This Row],[Project Delivery Lead]],[1]List!Y:Y,[1]List!AC:AC)</f>
        <v>0</v>
      </c>
      <c r="AC86" s="853" t="str">
        <f>IF($A86="","",'[1]Core Assumptions'!$D106)</f>
        <v/>
      </c>
      <c r="AD86" s="855"/>
      <c r="AE86" s="905"/>
      <c r="AF86" s="857"/>
      <c r="AG86" s="857"/>
      <c r="AH86" s="858"/>
      <c r="AI86" s="858"/>
      <c r="AJ86" s="858"/>
      <c r="AK86" s="858" t="str">
        <f>IF($A86="","",IF('[1]Pricing Summary'!$B$31="T&amp;M","Time and Material","Fixed Fee"))</f>
        <v/>
      </c>
      <c r="AL86" s="856"/>
      <c r="AM86" s="856"/>
      <c r="AN86" s="906" t="str">
        <f>IF($A86="","",'[1]Outputs Recap'!$C$12)</f>
        <v/>
      </c>
      <c r="AO86" s="861" t="str">
        <f>IF($A86="","",VLOOKUP('[1]Outputs Recap'!$C$11,[1]List!$I:$J,2,FALSE))</f>
        <v/>
      </c>
      <c r="AP86" s="856" t="str" cm="1">
        <f t="array" ref="AP86">IF($A86="","",_xlfn.IFS('[1]Pricing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6" s="862" t="str">
        <f>IF($A86="","",_xlfn.XLOOKUP('[1]Core Assumptions'!$D$20,'[1]Other Lookups'!$AH:$AH,'[1]Other Lookups'!$AI:$AI))</f>
        <v/>
      </c>
      <c r="AR86" s="863"/>
      <c r="AS86" s="864" t="str">
        <f>IF($A86="","",'[1]Outputs Recap'!$C$13)</f>
        <v/>
      </c>
      <c r="AT86" s="907"/>
      <c r="AU86" s="907"/>
      <c r="AV86" s="907" t="str">
        <f>IF($A86="","",IFERROR(+Table17[[#This Row],[Total Contract Amount]]*Table17[[#This Row],[First-year, one-time Onboarding/Setup Fee %]],0))</f>
        <v/>
      </c>
      <c r="AW86" s="853"/>
      <c r="AX86" s="867"/>
      <c r="AY86" s="908"/>
      <c r="AZ86" s="909"/>
      <c r="BA86" s="910"/>
      <c r="BB86" s="871"/>
      <c r="BC86" s="871"/>
      <c r="BD86" s="871"/>
      <c r="BE86" s="871"/>
      <c r="BF86" s="871"/>
      <c r="BG86" s="871"/>
      <c r="BH86" s="872"/>
      <c r="BI86" s="874"/>
      <c r="BJ86" s="874"/>
      <c r="BK86" s="874"/>
      <c r="BL86" s="875"/>
      <c r="BM86" s="876"/>
      <c r="BN86" s="911"/>
      <c r="BO86" s="878"/>
      <c r="BP86" s="879"/>
      <c r="BQ86" s="880"/>
      <c r="BR86" s="881"/>
      <c r="BS86" s="882"/>
      <c r="BT86" s="883"/>
      <c r="BU86" s="884"/>
      <c r="BV86" s="884"/>
      <c r="BW86" s="884"/>
      <c r="BX86" s="884"/>
      <c r="BY86" s="884"/>
      <c r="BZ86" s="884"/>
      <c r="CA86" s="884"/>
      <c r="CB86" s="884"/>
      <c r="CC86" s="884"/>
      <c r="CD86" s="884"/>
      <c r="CE86" s="885"/>
      <c r="CF86" s="885" t="str">
        <f>IF($A86="","",IF(#REF!&lt;&gt;0,#REF!-SUM(BT86:CE86),""))</f>
        <v/>
      </c>
      <c r="CG86" s="898" t="str">
        <f>IF(ISBLANK($X86)=FALSE,"NextGenApp Advisory LLC","")</f>
        <v/>
      </c>
      <c r="CH86" s="899" t="str">
        <f>_xlfn.IFNA(INDEX([1]List!AC:AC,MATCH(X86,[1]List!Y:Y,0)),"")</f>
        <v/>
      </c>
      <c r="CI86" s="900"/>
      <c r="CJ86" s="900"/>
      <c r="CK86" s="900"/>
      <c r="CL86" s="900"/>
      <c r="CM86" s="901"/>
      <c r="CN86" s="902"/>
      <c r="CO86" s="903"/>
      <c r="CP86" s="904"/>
      <c r="CQ86" s="892"/>
    </row>
    <row r="87" spans="1:95" x14ac:dyDescent="0.2">
      <c r="A87" s="894"/>
      <c r="B87" s="895"/>
      <c r="C87" s="896"/>
      <c r="D87" s="897"/>
      <c r="E87" s="897"/>
      <c r="F87" s="897"/>
      <c r="G87" s="897"/>
      <c r="H87" s="897"/>
      <c r="I87" s="897"/>
      <c r="J87" s="897"/>
      <c r="K87" s="897"/>
      <c r="L87" s="897"/>
      <c r="M87" s="897"/>
      <c r="N87" s="897"/>
      <c r="O87" s="897"/>
      <c r="P87" s="897"/>
      <c r="Q87" s="897"/>
      <c r="R87" s="897"/>
      <c r="S87" s="897"/>
      <c r="T87" s="897"/>
      <c r="U87" s="895"/>
      <c r="V87" s="852"/>
      <c r="W87" s="853"/>
      <c r="X87" s="853"/>
      <c r="Y87" s="853"/>
      <c r="Z87" s="853"/>
      <c r="AA87" s="853"/>
      <c r="AB87" s="854">
        <f>_xlfn.XLOOKUP(Table17[[#This Row],[Project Delivery Lead]],[1]List!Y:Y,[1]List!AC:AC)</f>
        <v>0</v>
      </c>
      <c r="AC87" s="853" t="str">
        <f>IF($A87="","",'[1]Core Assumptions'!$D107)</f>
        <v/>
      </c>
      <c r="AD87" s="855"/>
      <c r="AE87" s="905"/>
      <c r="AF87" s="857"/>
      <c r="AG87" s="857"/>
      <c r="AH87" s="858"/>
      <c r="AI87" s="858"/>
      <c r="AJ87" s="858"/>
      <c r="AK87" s="858" t="str">
        <f>IF($A87="","",IF('[1]Pricing Summary'!$B$31="T&amp;M","Time and Material","Fixed Fee"))</f>
        <v/>
      </c>
      <c r="AL87" s="856"/>
      <c r="AM87" s="856"/>
      <c r="AN87" s="906" t="str">
        <f>IF($A87="","",'[1]Outputs Recap'!$C$12)</f>
        <v/>
      </c>
      <c r="AO87" s="861" t="str">
        <f>IF($A87="","",VLOOKUP('[1]Outputs Recap'!$C$11,[1]List!$I:$J,2,FALSE))</f>
        <v/>
      </c>
      <c r="AP87" s="856" t="str" cm="1">
        <f t="array" ref="AP87">IF($A87="","",_xlfn.IFS('[1]Pricing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7" s="862" t="str">
        <f>IF($A87="","",_xlfn.XLOOKUP('[1]Core Assumptions'!$D$20,'[1]Other Lookups'!$AH:$AH,'[1]Other Lookups'!$AI:$AI))</f>
        <v/>
      </c>
      <c r="AR87" s="863"/>
      <c r="AS87" s="864" t="str">
        <f>IF($A87="","",'[1]Outputs Recap'!$C$13)</f>
        <v/>
      </c>
      <c r="AT87" s="907"/>
      <c r="AU87" s="907"/>
      <c r="AV87" s="907" t="str">
        <f>IF($A87="","",IFERROR(+Table17[[#This Row],[Total Contract Amount]]*Table17[[#This Row],[First-year, one-time Onboarding/Setup Fee %]],0))</f>
        <v/>
      </c>
      <c r="AW87" s="853"/>
      <c r="AX87" s="867"/>
      <c r="AY87" s="908"/>
      <c r="AZ87" s="909"/>
      <c r="BA87" s="910"/>
      <c r="BB87" s="871"/>
      <c r="BC87" s="871"/>
      <c r="BD87" s="871"/>
      <c r="BE87" s="871"/>
      <c r="BF87" s="871"/>
      <c r="BG87" s="871"/>
      <c r="BH87" s="872"/>
      <c r="BI87" s="874"/>
      <c r="BJ87" s="874"/>
      <c r="BK87" s="874"/>
      <c r="BL87" s="875"/>
      <c r="BM87" s="876"/>
      <c r="BN87" s="911"/>
      <c r="BO87" s="878"/>
      <c r="BP87" s="879"/>
      <c r="BQ87" s="880"/>
      <c r="BR87" s="881"/>
      <c r="BS87" s="882"/>
      <c r="BT87" s="883"/>
      <c r="BU87" s="884"/>
      <c r="BV87" s="884"/>
      <c r="BW87" s="884"/>
      <c r="BX87" s="884"/>
      <c r="BY87" s="884"/>
      <c r="BZ87" s="884"/>
      <c r="CA87" s="884"/>
      <c r="CB87" s="884"/>
      <c r="CC87" s="884"/>
      <c r="CD87" s="884"/>
      <c r="CE87" s="885"/>
      <c r="CF87" s="885" t="str">
        <f>IF($A87="","",IF(#REF!&lt;&gt;0,#REF!-SUM(BT87:CE87),""))</f>
        <v/>
      </c>
      <c r="CG87" s="898" t="str">
        <f>IF(ISBLANK($X87)=FALSE,"NextGenApp Advisory LLC","")</f>
        <v/>
      </c>
      <c r="CH87" s="899" t="str">
        <f>_xlfn.IFNA(INDEX([1]List!AC:AC,MATCH(X87,[1]List!Y:Y,0)),"")</f>
        <v/>
      </c>
      <c r="CI87" s="900"/>
      <c r="CJ87" s="900"/>
      <c r="CK87" s="900"/>
      <c r="CL87" s="900"/>
      <c r="CM87" s="901"/>
      <c r="CN87" s="902"/>
      <c r="CO87" s="903"/>
      <c r="CP87" s="904"/>
      <c r="CQ87" s="892"/>
    </row>
    <row r="88" spans="1:95" x14ac:dyDescent="0.2">
      <c r="A88" s="894"/>
      <c r="B88" s="895"/>
      <c r="C88" s="896"/>
      <c r="D88" s="897"/>
      <c r="E88" s="897"/>
      <c r="F88" s="897"/>
      <c r="G88" s="897"/>
      <c r="H88" s="897"/>
      <c r="I88" s="897"/>
      <c r="J88" s="897"/>
      <c r="K88" s="897"/>
      <c r="L88" s="897"/>
      <c r="M88" s="897"/>
      <c r="N88" s="897"/>
      <c r="O88" s="897"/>
      <c r="P88" s="897"/>
      <c r="Q88" s="897"/>
      <c r="R88" s="897"/>
      <c r="S88" s="897"/>
      <c r="T88" s="897"/>
      <c r="U88" s="895"/>
      <c r="V88" s="852"/>
      <c r="W88" s="853"/>
      <c r="X88" s="853"/>
      <c r="Y88" s="853"/>
      <c r="Z88" s="853"/>
      <c r="AA88" s="853"/>
      <c r="AB88" s="854">
        <f>_xlfn.XLOOKUP(Table17[[#This Row],[Project Delivery Lead]],[1]List!Y:Y,[1]List!AC:AC)</f>
        <v>0</v>
      </c>
      <c r="AC88" s="853" t="str">
        <f>IF($A88="","",'[1]Core Assumptions'!$D108)</f>
        <v/>
      </c>
      <c r="AD88" s="855"/>
      <c r="AE88" s="905"/>
      <c r="AF88" s="857"/>
      <c r="AG88" s="857"/>
      <c r="AH88" s="858"/>
      <c r="AI88" s="858"/>
      <c r="AJ88" s="858"/>
      <c r="AK88" s="858" t="str">
        <f>IF($A88="","",IF('[1]Pricing Summary'!$B$31="T&amp;M","Time and Material","Fixed Fee"))</f>
        <v/>
      </c>
      <c r="AL88" s="856"/>
      <c r="AM88" s="856"/>
      <c r="AN88" s="906" t="str">
        <f>IF($A88="","",'[1]Outputs Recap'!$C$12)</f>
        <v/>
      </c>
      <c r="AO88" s="861" t="str">
        <f>IF($A88="","",VLOOKUP('[1]Outputs Recap'!$C$11,[1]List!$I:$J,2,FALSE))</f>
        <v/>
      </c>
      <c r="AP88" s="856" t="str" cm="1">
        <f t="array" ref="AP88">IF($A88="","",_xlfn.IFS('[1]Pricing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8" s="862" t="str">
        <f>IF($A88="","",_xlfn.XLOOKUP('[1]Core Assumptions'!$D$20,'[1]Other Lookups'!$AH:$AH,'[1]Other Lookups'!$AI:$AI))</f>
        <v/>
      </c>
      <c r="AR88" s="863"/>
      <c r="AS88" s="864" t="str">
        <f>IF($A88="","",'[1]Outputs Recap'!$C$13)</f>
        <v/>
      </c>
      <c r="AT88" s="907"/>
      <c r="AU88" s="907"/>
      <c r="AV88" s="907" t="str">
        <f>IF($A88="","",IFERROR(+Table17[[#This Row],[Total Contract Amount]]*Table17[[#This Row],[First-year, one-time Onboarding/Setup Fee %]],0))</f>
        <v/>
      </c>
      <c r="AW88" s="853"/>
      <c r="AX88" s="867"/>
      <c r="AY88" s="908"/>
      <c r="AZ88" s="909"/>
      <c r="BA88" s="910"/>
      <c r="BB88" s="871"/>
      <c r="BC88" s="871"/>
      <c r="BD88" s="871"/>
      <c r="BE88" s="871"/>
      <c r="BF88" s="871"/>
      <c r="BG88" s="871"/>
      <c r="BH88" s="872"/>
      <c r="BI88" s="874"/>
      <c r="BJ88" s="874"/>
      <c r="BK88" s="874"/>
      <c r="BL88" s="875"/>
      <c r="BM88" s="876"/>
      <c r="BN88" s="911"/>
      <c r="BO88" s="878"/>
      <c r="BP88" s="879"/>
      <c r="BQ88" s="880"/>
      <c r="BR88" s="881"/>
      <c r="BS88" s="882"/>
      <c r="BT88" s="883"/>
      <c r="BU88" s="884"/>
      <c r="BV88" s="884"/>
      <c r="BW88" s="884"/>
      <c r="BX88" s="884"/>
      <c r="BY88" s="884"/>
      <c r="BZ88" s="884"/>
      <c r="CA88" s="884"/>
      <c r="CB88" s="884"/>
      <c r="CC88" s="884"/>
      <c r="CD88" s="884"/>
      <c r="CE88" s="885"/>
      <c r="CF88" s="885" t="str">
        <f>IF($A88="","",IF(#REF!&lt;&gt;0,#REF!-SUM(BT88:CE88),""))</f>
        <v/>
      </c>
      <c r="CG88" s="898" t="str">
        <f>IF(ISBLANK($X88)=FALSE,"NextGenApp Advisory LLC","")</f>
        <v/>
      </c>
      <c r="CH88" s="899" t="str">
        <f>_xlfn.IFNA(INDEX([1]List!AC:AC,MATCH(X88,[1]List!Y:Y,0)),"")</f>
        <v/>
      </c>
      <c r="CI88" s="900"/>
      <c r="CJ88" s="900"/>
      <c r="CK88" s="900"/>
      <c r="CL88" s="900"/>
      <c r="CM88" s="901"/>
      <c r="CN88" s="902"/>
      <c r="CO88" s="903"/>
      <c r="CP88" s="904"/>
      <c r="CQ88" s="892"/>
    </row>
    <row r="89" spans="1:95" x14ac:dyDescent="0.2">
      <c r="A89" s="894"/>
      <c r="B89" s="895"/>
      <c r="C89" s="896"/>
      <c r="D89" s="897"/>
      <c r="E89" s="897"/>
      <c r="F89" s="897"/>
      <c r="G89" s="897"/>
      <c r="H89" s="897"/>
      <c r="I89" s="897"/>
      <c r="J89" s="897"/>
      <c r="K89" s="897"/>
      <c r="L89" s="897"/>
      <c r="M89" s="897"/>
      <c r="N89" s="897"/>
      <c r="O89" s="897"/>
      <c r="P89" s="897"/>
      <c r="Q89" s="897"/>
      <c r="R89" s="897"/>
      <c r="S89" s="897"/>
      <c r="T89" s="897"/>
      <c r="U89" s="895"/>
      <c r="V89" s="852"/>
      <c r="W89" s="853"/>
      <c r="X89" s="853"/>
      <c r="Y89" s="853"/>
      <c r="Z89" s="853"/>
      <c r="AA89" s="853"/>
      <c r="AB89" s="854">
        <f>_xlfn.XLOOKUP(Table17[[#This Row],[Project Delivery Lead]],[1]List!Y:Y,[1]List!AC:AC)</f>
        <v>0</v>
      </c>
      <c r="AC89" s="853" t="str">
        <f>IF($A89="","",'[1]Core Assumptions'!$D109)</f>
        <v/>
      </c>
      <c r="AD89" s="855"/>
      <c r="AE89" s="905"/>
      <c r="AF89" s="857"/>
      <c r="AG89" s="857"/>
      <c r="AH89" s="858"/>
      <c r="AI89" s="858"/>
      <c r="AJ89" s="858"/>
      <c r="AK89" s="858" t="str">
        <f>IF($A89="","",IF('[1]Pricing Summary'!$B$31="T&amp;M","Time and Material","Fixed Fee"))</f>
        <v/>
      </c>
      <c r="AL89" s="856"/>
      <c r="AM89" s="856"/>
      <c r="AN89" s="906" t="str">
        <f>IF($A89="","",'[1]Outputs Recap'!$C$12)</f>
        <v/>
      </c>
      <c r="AO89" s="861" t="str">
        <f>IF($A89="","",VLOOKUP('[1]Outputs Recap'!$C$11,[1]List!$I:$J,2,FALSE))</f>
        <v/>
      </c>
      <c r="AP89" s="856" t="str" cm="1">
        <f t="array" ref="AP89">IF($A89="","",_xlfn.IFS('[1]Pricing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89" s="862" t="str">
        <f>IF($A89="","",_xlfn.XLOOKUP('[1]Core Assumptions'!$D$20,'[1]Other Lookups'!$AH:$AH,'[1]Other Lookups'!$AI:$AI))</f>
        <v/>
      </c>
      <c r="AR89" s="863"/>
      <c r="AS89" s="864" t="str">
        <f>IF($A89="","",'[1]Outputs Recap'!$C$13)</f>
        <v/>
      </c>
      <c r="AT89" s="907"/>
      <c r="AU89" s="907"/>
      <c r="AV89" s="907" t="str">
        <f>IF($A89="","",IFERROR(+Table17[[#This Row],[Total Contract Amount]]*Table17[[#This Row],[First-year, one-time Onboarding/Setup Fee %]],0))</f>
        <v/>
      </c>
      <c r="AW89" s="853"/>
      <c r="AX89" s="867"/>
      <c r="AY89" s="908"/>
      <c r="AZ89" s="909"/>
      <c r="BA89" s="910"/>
      <c r="BB89" s="871"/>
      <c r="BC89" s="871"/>
      <c r="BD89" s="871"/>
      <c r="BE89" s="871"/>
      <c r="BF89" s="871"/>
      <c r="BG89" s="871"/>
      <c r="BH89" s="872"/>
      <c r="BI89" s="874"/>
      <c r="BJ89" s="874"/>
      <c r="BK89" s="874"/>
      <c r="BL89" s="875"/>
      <c r="BM89" s="876"/>
      <c r="BN89" s="911"/>
      <c r="BO89" s="878"/>
      <c r="BP89" s="879"/>
      <c r="BQ89" s="880"/>
      <c r="BR89" s="881"/>
      <c r="BS89" s="882"/>
      <c r="BT89" s="883"/>
      <c r="BU89" s="884"/>
      <c r="BV89" s="884"/>
      <c r="BW89" s="884"/>
      <c r="BX89" s="884"/>
      <c r="BY89" s="884"/>
      <c r="BZ89" s="884"/>
      <c r="CA89" s="884"/>
      <c r="CB89" s="884"/>
      <c r="CC89" s="884"/>
      <c r="CD89" s="884"/>
      <c r="CE89" s="885"/>
      <c r="CF89" s="885" t="str">
        <f>IF($A89="","",IF(#REF!&lt;&gt;0,#REF!-SUM(BT89:CE89),""))</f>
        <v/>
      </c>
      <c r="CG89" s="898" t="str">
        <f>IF(ISBLANK($X89)=FALSE,"NextGenApp Advisory LLC","")</f>
        <v/>
      </c>
      <c r="CH89" s="899" t="str">
        <f>_xlfn.IFNA(INDEX([1]List!AC:AC,MATCH(X89,[1]List!Y:Y,0)),"")</f>
        <v/>
      </c>
      <c r="CI89" s="900"/>
      <c r="CJ89" s="900"/>
      <c r="CK89" s="900"/>
      <c r="CL89" s="900"/>
      <c r="CM89" s="901"/>
      <c r="CN89" s="902"/>
      <c r="CO89" s="903"/>
      <c r="CP89" s="904"/>
      <c r="CQ89" s="892"/>
    </row>
    <row r="90" spans="1:95" x14ac:dyDescent="0.2">
      <c r="A90" s="894"/>
      <c r="B90" s="895"/>
      <c r="C90" s="896"/>
      <c r="D90" s="897"/>
      <c r="E90" s="897"/>
      <c r="F90" s="897"/>
      <c r="G90" s="897"/>
      <c r="H90" s="897"/>
      <c r="I90" s="897"/>
      <c r="J90" s="897"/>
      <c r="K90" s="897"/>
      <c r="L90" s="897"/>
      <c r="M90" s="897"/>
      <c r="N90" s="897"/>
      <c r="O90" s="897"/>
      <c r="P90" s="897"/>
      <c r="Q90" s="897"/>
      <c r="R90" s="897"/>
      <c r="S90" s="897"/>
      <c r="T90" s="897"/>
      <c r="U90" s="895"/>
      <c r="V90" s="852"/>
      <c r="W90" s="853"/>
      <c r="X90" s="853"/>
      <c r="Y90" s="853"/>
      <c r="Z90" s="853"/>
      <c r="AA90" s="853"/>
      <c r="AB90" s="854">
        <f>_xlfn.XLOOKUP(Table17[[#This Row],[Project Delivery Lead]],[1]List!Y:Y,[1]List!AC:AC)</f>
        <v>0</v>
      </c>
      <c r="AC90" s="853" t="str">
        <f>IF($A90="","",'[1]Core Assumptions'!$D110)</f>
        <v/>
      </c>
      <c r="AD90" s="855"/>
      <c r="AE90" s="905"/>
      <c r="AF90" s="857"/>
      <c r="AG90" s="857"/>
      <c r="AH90" s="858"/>
      <c r="AI90" s="858"/>
      <c r="AJ90" s="858"/>
      <c r="AK90" s="858" t="str">
        <f>IF($A90="","",IF('[1]Pricing Summary'!$B$31="T&amp;M","Time and Material","Fixed Fee"))</f>
        <v/>
      </c>
      <c r="AL90" s="856"/>
      <c r="AM90" s="856"/>
      <c r="AN90" s="906" t="str">
        <f>IF($A90="","",'[1]Outputs Recap'!$C$12)</f>
        <v/>
      </c>
      <c r="AO90" s="861" t="str">
        <f>IF($A90="","",VLOOKUP('[1]Outputs Recap'!$C$11,[1]List!$I:$J,2,FALSE))</f>
        <v/>
      </c>
      <c r="AP90" s="856" t="str" cm="1">
        <f t="array" ref="AP90">IF($A90="","",_xlfn.IFS('[1]Pricing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0" s="862" t="str">
        <f>IF($A90="","",_xlfn.XLOOKUP('[1]Core Assumptions'!$D$20,'[1]Other Lookups'!$AH:$AH,'[1]Other Lookups'!$AI:$AI))</f>
        <v/>
      </c>
      <c r="AR90" s="863"/>
      <c r="AS90" s="864" t="str">
        <f>IF($A90="","",'[1]Outputs Recap'!$C$13)</f>
        <v/>
      </c>
      <c r="AT90" s="907"/>
      <c r="AU90" s="907"/>
      <c r="AV90" s="907" t="str">
        <f>IF($A90="","",IFERROR(+Table17[[#This Row],[Total Contract Amount]]*Table17[[#This Row],[First-year, one-time Onboarding/Setup Fee %]],0))</f>
        <v/>
      </c>
      <c r="AW90" s="853"/>
      <c r="AX90" s="867"/>
      <c r="AY90" s="908"/>
      <c r="AZ90" s="909"/>
      <c r="BA90" s="910"/>
      <c r="BB90" s="871"/>
      <c r="BC90" s="871"/>
      <c r="BD90" s="871"/>
      <c r="BE90" s="871"/>
      <c r="BF90" s="871"/>
      <c r="BG90" s="871"/>
      <c r="BH90" s="872"/>
      <c r="BI90" s="874"/>
      <c r="BJ90" s="874"/>
      <c r="BK90" s="874"/>
      <c r="BL90" s="875"/>
      <c r="BM90" s="876"/>
      <c r="BN90" s="911"/>
      <c r="BO90" s="878"/>
      <c r="BP90" s="879"/>
      <c r="BQ90" s="880"/>
      <c r="BR90" s="881"/>
      <c r="BS90" s="882"/>
      <c r="BT90" s="883"/>
      <c r="BU90" s="884"/>
      <c r="BV90" s="884"/>
      <c r="BW90" s="884"/>
      <c r="BX90" s="884"/>
      <c r="BY90" s="884"/>
      <c r="BZ90" s="884"/>
      <c r="CA90" s="884"/>
      <c r="CB90" s="884"/>
      <c r="CC90" s="884"/>
      <c r="CD90" s="884"/>
      <c r="CE90" s="885"/>
      <c r="CF90" s="885" t="str">
        <f>IF($A90="","",IF(#REF!&lt;&gt;0,#REF!-SUM(BT90:CE90),""))</f>
        <v/>
      </c>
      <c r="CG90" s="898" t="str">
        <f>IF(ISBLANK($X90)=FALSE,"NextGenApp Advisory LLC","")</f>
        <v/>
      </c>
      <c r="CH90" s="899" t="str">
        <f>_xlfn.IFNA(INDEX([1]List!AC:AC,MATCH(X90,[1]List!Y:Y,0)),"")</f>
        <v/>
      </c>
      <c r="CI90" s="900"/>
      <c r="CJ90" s="900"/>
      <c r="CK90" s="900"/>
      <c r="CL90" s="900"/>
      <c r="CM90" s="901"/>
      <c r="CN90" s="902"/>
      <c r="CO90" s="903"/>
      <c r="CP90" s="904"/>
      <c r="CQ90" s="892"/>
    </row>
    <row r="91" spans="1:95" x14ac:dyDescent="0.2">
      <c r="A91" s="894"/>
      <c r="B91" s="895"/>
      <c r="C91" s="896"/>
      <c r="D91" s="897"/>
      <c r="E91" s="897"/>
      <c r="F91" s="897"/>
      <c r="G91" s="897"/>
      <c r="H91" s="897"/>
      <c r="I91" s="897"/>
      <c r="J91" s="897"/>
      <c r="K91" s="897"/>
      <c r="L91" s="897"/>
      <c r="M91" s="897"/>
      <c r="N91" s="897"/>
      <c r="O91" s="897"/>
      <c r="P91" s="897"/>
      <c r="Q91" s="897"/>
      <c r="R91" s="897"/>
      <c r="S91" s="897"/>
      <c r="T91" s="897"/>
      <c r="U91" s="895"/>
      <c r="V91" s="852"/>
      <c r="W91" s="853"/>
      <c r="X91" s="853"/>
      <c r="Y91" s="853"/>
      <c r="Z91" s="853"/>
      <c r="AA91" s="853"/>
      <c r="AB91" s="854">
        <f>_xlfn.XLOOKUP(Table17[[#This Row],[Project Delivery Lead]],[1]List!Y:Y,[1]List!AC:AC)</f>
        <v>0</v>
      </c>
      <c r="AC91" s="853" t="str">
        <f>IF($A91="","",'[1]Core Assumptions'!$D111)</f>
        <v/>
      </c>
      <c r="AD91" s="855"/>
      <c r="AE91" s="905"/>
      <c r="AF91" s="857"/>
      <c r="AG91" s="857"/>
      <c r="AH91" s="858"/>
      <c r="AI91" s="858"/>
      <c r="AJ91" s="858"/>
      <c r="AK91" s="858" t="str">
        <f>IF($A91="","",IF('[1]Pricing Summary'!$B$31="T&amp;M","Time and Material","Fixed Fee"))</f>
        <v/>
      </c>
      <c r="AL91" s="856"/>
      <c r="AM91" s="856"/>
      <c r="AN91" s="906" t="str">
        <f>IF($A91="","",'[1]Outputs Recap'!$C$12)</f>
        <v/>
      </c>
      <c r="AO91" s="861" t="str">
        <f>IF($A91="","",VLOOKUP('[1]Outputs Recap'!$C$11,[1]List!$I:$J,2,FALSE))</f>
        <v/>
      </c>
      <c r="AP91" s="856" t="str" cm="1">
        <f t="array" ref="AP91">IF($A91="","",_xlfn.IFS('[1]Pricing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1" s="862" t="str">
        <f>IF($A91="","",_xlfn.XLOOKUP('[1]Core Assumptions'!$D$20,'[1]Other Lookups'!$AH:$AH,'[1]Other Lookups'!$AI:$AI))</f>
        <v/>
      </c>
      <c r="AR91" s="863"/>
      <c r="AS91" s="864" t="str">
        <f>IF($A91="","",'[1]Outputs Recap'!$C$13)</f>
        <v/>
      </c>
      <c r="AT91" s="907"/>
      <c r="AU91" s="907"/>
      <c r="AV91" s="907" t="str">
        <f>IF($A91="","",IFERROR(+Table17[[#This Row],[Total Contract Amount]]*Table17[[#This Row],[First-year, one-time Onboarding/Setup Fee %]],0))</f>
        <v/>
      </c>
      <c r="AW91" s="853"/>
      <c r="AX91" s="867"/>
      <c r="AY91" s="908"/>
      <c r="AZ91" s="909"/>
      <c r="BA91" s="910"/>
      <c r="BB91" s="871"/>
      <c r="BC91" s="871"/>
      <c r="BD91" s="871"/>
      <c r="BE91" s="871"/>
      <c r="BF91" s="871"/>
      <c r="BG91" s="871"/>
      <c r="BH91" s="872"/>
      <c r="BI91" s="874"/>
      <c r="BJ91" s="874"/>
      <c r="BK91" s="874"/>
      <c r="BL91" s="875"/>
      <c r="BM91" s="876"/>
      <c r="BN91" s="911"/>
      <c r="BO91" s="878"/>
      <c r="BP91" s="879"/>
      <c r="BQ91" s="880"/>
      <c r="BR91" s="881"/>
      <c r="BS91" s="882"/>
      <c r="BT91" s="883"/>
      <c r="BU91" s="884"/>
      <c r="BV91" s="884"/>
      <c r="BW91" s="884"/>
      <c r="BX91" s="884"/>
      <c r="BY91" s="884"/>
      <c r="BZ91" s="884"/>
      <c r="CA91" s="884"/>
      <c r="CB91" s="884"/>
      <c r="CC91" s="884"/>
      <c r="CD91" s="884"/>
      <c r="CE91" s="885"/>
      <c r="CF91" s="885" t="str">
        <f>IF($A91="","",IF(#REF!&lt;&gt;0,#REF!-SUM(BT91:CE91),""))</f>
        <v/>
      </c>
      <c r="CG91" s="898" t="str">
        <f>IF(ISBLANK($X91)=FALSE,"NextGenApp Advisory LLC","")</f>
        <v/>
      </c>
      <c r="CH91" s="899" t="str">
        <f>_xlfn.IFNA(INDEX([1]List!AC:AC,MATCH(X91,[1]List!Y:Y,0)),"")</f>
        <v/>
      </c>
      <c r="CI91" s="900"/>
      <c r="CJ91" s="900"/>
      <c r="CK91" s="900"/>
      <c r="CL91" s="900"/>
      <c r="CM91" s="901"/>
      <c r="CN91" s="902"/>
      <c r="CO91" s="903"/>
      <c r="CP91" s="904"/>
      <c r="CQ91" s="892"/>
    </row>
    <row r="92" spans="1:95" x14ac:dyDescent="0.2">
      <c r="A92" s="894"/>
      <c r="B92" s="895"/>
      <c r="C92" s="896"/>
      <c r="D92" s="897"/>
      <c r="E92" s="897"/>
      <c r="F92" s="897"/>
      <c r="G92" s="897"/>
      <c r="H92" s="897"/>
      <c r="I92" s="897"/>
      <c r="J92" s="897"/>
      <c r="K92" s="897"/>
      <c r="L92" s="897"/>
      <c r="M92" s="897"/>
      <c r="N92" s="897"/>
      <c r="O92" s="897"/>
      <c r="P92" s="897"/>
      <c r="Q92" s="897"/>
      <c r="R92" s="897"/>
      <c r="S92" s="897"/>
      <c r="T92" s="897"/>
      <c r="U92" s="895"/>
      <c r="V92" s="852"/>
      <c r="W92" s="853"/>
      <c r="X92" s="853"/>
      <c r="Y92" s="853"/>
      <c r="Z92" s="853"/>
      <c r="AA92" s="853"/>
      <c r="AB92" s="854">
        <f>_xlfn.XLOOKUP(Table17[[#This Row],[Project Delivery Lead]],[1]List!Y:Y,[1]List!AC:AC)</f>
        <v>0</v>
      </c>
      <c r="AC92" s="853" t="str">
        <f>IF($A92="","",'[1]Core Assumptions'!$D112)</f>
        <v/>
      </c>
      <c r="AD92" s="855"/>
      <c r="AE92" s="905"/>
      <c r="AF92" s="857"/>
      <c r="AG92" s="857"/>
      <c r="AH92" s="858"/>
      <c r="AI92" s="858"/>
      <c r="AJ92" s="858"/>
      <c r="AK92" s="858" t="str">
        <f>IF($A92="","",IF('[1]Pricing Summary'!$B$31="T&amp;M","Time and Material","Fixed Fee"))</f>
        <v/>
      </c>
      <c r="AL92" s="856"/>
      <c r="AM92" s="856"/>
      <c r="AN92" s="906" t="str">
        <f>IF($A92="","",'[1]Outputs Recap'!$C$12)</f>
        <v/>
      </c>
      <c r="AO92" s="861" t="str">
        <f>IF($A92="","",VLOOKUP('[1]Outputs Recap'!$C$11,[1]List!$I:$J,2,FALSE))</f>
        <v/>
      </c>
      <c r="AP92" s="856" t="str" cm="1">
        <f t="array" ref="AP92">IF($A92="","",_xlfn.IFS('[1]Pricing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2" s="862" t="str">
        <f>IF($A92="","",_xlfn.XLOOKUP('[1]Core Assumptions'!$D$20,'[1]Other Lookups'!$AH:$AH,'[1]Other Lookups'!$AI:$AI))</f>
        <v/>
      </c>
      <c r="AR92" s="863"/>
      <c r="AS92" s="864" t="str">
        <f>IF($A92="","",'[1]Outputs Recap'!$C$13)</f>
        <v/>
      </c>
      <c r="AT92" s="907"/>
      <c r="AU92" s="907"/>
      <c r="AV92" s="907" t="str">
        <f>IF($A92="","",IFERROR(+Table17[[#This Row],[Total Contract Amount]]*Table17[[#This Row],[First-year, one-time Onboarding/Setup Fee %]],0))</f>
        <v/>
      </c>
      <c r="AW92" s="853"/>
      <c r="AX92" s="867"/>
      <c r="AY92" s="908"/>
      <c r="AZ92" s="909"/>
      <c r="BA92" s="910"/>
      <c r="BB92" s="871"/>
      <c r="BC92" s="871"/>
      <c r="BD92" s="871"/>
      <c r="BE92" s="871"/>
      <c r="BF92" s="871"/>
      <c r="BG92" s="871"/>
      <c r="BH92" s="872"/>
      <c r="BI92" s="874"/>
      <c r="BJ92" s="874"/>
      <c r="BK92" s="874"/>
      <c r="BL92" s="875"/>
      <c r="BM92" s="876"/>
      <c r="BN92" s="911"/>
      <c r="BO92" s="878"/>
      <c r="BP92" s="879"/>
      <c r="BQ92" s="880"/>
      <c r="BR92" s="881"/>
      <c r="BS92" s="882"/>
      <c r="BT92" s="883"/>
      <c r="BU92" s="884"/>
      <c r="BV92" s="884"/>
      <c r="BW92" s="884"/>
      <c r="BX92" s="884"/>
      <c r="BY92" s="884"/>
      <c r="BZ92" s="884"/>
      <c r="CA92" s="884"/>
      <c r="CB92" s="884"/>
      <c r="CC92" s="884"/>
      <c r="CD92" s="884"/>
      <c r="CE92" s="885"/>
      <c r="CF92" s="885" t="str">
        <f>IF($A92="","",IF(#REF!&lt;&gt;0,#REF!-SUM(BT92:CE92),""))</f>
        <v/>
      </c>
      <c r="CG92" s="898" t="str">
        <f>IF(ISBLANK($X92)=FALSE,"NextGenApp Advisory LLC","")</f>
        <v/>
      </c>
      <c r="CH92" s="899" t="str">
        <f>_xlfn.IFNA(INDEX([1]List!AC:AC,MATCH(X92,[1]List!Y:Y,0)),"")</f>
        <v/>
      </c>
      <c r="CI92" s="900"/>
      <c r="CJ92" s="900"/>
      <c r="CK92" s="900"/>
      <c r="CL92" s="900"/>
      <c r="CM92" s="901"/>
      <c r="CN92" s="902"/>
      <c r="CO92" s="903"/>
      <c r="CP92" s="904"/>
      <c r="CQ92" s="892"/>
    </row>
    <row r="93" spans="1:95" x14ac:dyDescent="0.2">
      <c r="A93" s="894"/>
      <c r="B93" s="895"/>
      <c r="C93" s="896"/>
      <c r="D93" s="897"/>
      <c r="E93" s="897"/>
      <c r="F93" s="897"/>
      <c r="G93" s="897"/>
      <c r="H93" s="897"/>
      <c r="I93" s="897"/>
      <c r="J93" s="897"/>
      <c r="K93" s="897"/>
      <c r="L93" s="897"/>
      <c r="M93" s="897"/>
      <c r="N93" s="897"/>
      <c r="O93" s="897"/>
      <c r="P93" s="897"/>
      <c r="Q93" s="897"/>
      <c r="R93" s="897"/>
      <c r="S93" s="897"/>
      <c r="T93" s="897"/>
      <c r="U93" s="895"/>
      <c r="V93" s="852"/>
      <c r="W93" s="853"/>
      <c r="X93" s="853"/>
      <c r="Y93" s="853"/>
      <c r="Z93" s="853"/>
      <c r="AA93" s="853"/>
      <c r="AB93" s="854">
        <f>_xlfn.XLOOKUP(Table17[[#This Row],[Project Delivery Lead]],[1]List!Y:Y,[1]List!AC:AC)</f>
        <v>0</v>
      </c>
      <c r="AC93" s="853" t="str">
        <f>IF($A93="","",'[1]Core Assumptions'!$D113)</f>
        <v/>
      </c>
      <c r="AD93" s="855"/>
      <c r="AE93" s="905"/>
      <c r="AF93" s="857"/>
      <c r="AG93" s="857"/>
      <c r="AH93" s="858"/>
      <c r="AI93" s="858"/>
      <c r="AJ93" s="858"/>
      <c r="AK93" s="858" t="str">
        <f>IF($A93="","",IF('[1]Pricing Summary'!$B$31="T&amp;M","Time and Material","Fixed Fee"))</f>
        <v/>
      </c>
      <c r="AL93" s="856"/>
      <c r="AM93" s="856"/>
      <c r="AN93" s="906" t="str">
        <f>IF($A93="","",'[1]Outputs Recap'!$C$12)</f>
        <v/>
      </c>
      <c r="AO93" s="861" t="str">
        <f>IF($A93="","",VLOOKUP('[1]Outputs Recap'!$C$11,[1]List!$I:$J,2,FALSE))</f>
        <v/>
      </c>
      <c r="AP93" s="856" t="str" cm="1">
        <f t="array" ref="AP93">IF($A93="","",_xlfn.IFS('[1]Pricing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3" s="862" t="str">
        <f>IF($A93="","",_xlfn.XLOOKUP('[1]Core Assumptions'!$D$20,'[1]Other Lookups'!$AH:$AH,'[1]Other Lookups'!$AI:$AI))</f>
        <v/>
      </c>
      <c r="AR93" s="863"/>
      <c r="AS93" s="864" t="str">
        <f>IF($A93="","",'[1]Outputs Recap'!$C$13)</f>
        <v/>
      </c>
      <c r="AT93" s="907"/>
      <c r="AU93" s="907"/>
      <c r="AV93" s="907" t="str">
        <f>IF($A93="","",IFERROR(+Table17[[#This Row],[Total Contract Amount]]*Table17[[#This Row],[First-year, one-time Onboarding/Setup Fee %]],0))</f>
        <v/>
      </c>
      <c r="AW93" s="853"/>
      <c r="AX93" s="867"/>
      <c r="AY93" s="908"/>
      <c r="AZ93" s="909"/>
      <c r="BA93" s="910"/>
      <c r="BB93" s="871"/>
      <c r="BC93" s="871"/>
      <c r="BD93" s="871"/>
      <c r="BE93" s="871"/>
      <c r="BF93" s="871"/>
      <c r="BG93" s="871"/>
      <c r="BH93" s="872"/>
      <c r="BI93" s="874"/>
      <c r="BJ93" s="874"/>
      <c r="BK93" s="874"/>
      <c r="BL93" s="875"/>
      <c r="BM93" s="876"/>
      <c r="BN93" s="911"/>
      <c r="BO93" s="878"/>
      <c r="BP93" s="879"/>
      <c r="BQ93" s="880"/>
      <c r="BR93" s="881"/>
      <c r="BS93" s="882"/>
      <c r="BT93" s="883"/>
      <c r="BU93" s="884"/>
      <c r="BV93" s="884"/>
      <c r="BW93" s="884"/>
      <c r="BX93" s="884"/>
      <c r="BY93" s="884"/>
      <c r="BZ93" s="884"/>
      <c r="CA93" s="884"/>
      <c r="CB93" s="884"/>
      <c r="CC93" s="884"/>
      <c r="CD93" s="884"/>
      <c r="CE93" s="885"/>
      <c r="CF93" s="885" t="str">
        <f>IF($A93="","",IF(#REF!&lt;&gt;0,#REF!-SUM(BT93:CE93),""))</f>
        <v/>
      </c>
      <c r="CG93" s="898" t="str">
        <f>IF(ISBLANK($X93)=FALSE,"NextGenApp Advisory LLC","")</f>
        <v/>
      </c>
      <c r="CH93" s="899" t="str">
        <f>_xlfn.IFNA(INDEX([1]List!AC:AC,MATCH(X93,[1]List!Y:Y,0)),"")</f>
        <v/>
      </c>
      <c r="CI93" s="900"/>
      <c r="CJ93" s="900"/>
      <c r="CK93" s="900"/>
      <c r="CL93" s="900"/>
      <c r="CM93" s="901"/>
      <c r="CN93" s="902"/>
      <c r="CO93" s="903"/>
      <c r="CP93" s="904"/>
      <c r="CQ93" s="892"/>
    </row>
    <row r="94" spans="1:95" x14ac:dyDescent="0.2">
      <c r="A94" s="894"/>
      <c r="B94" s="895"/>
      <c r="C94" s="896"/>
      <c r="D94" s="897"/>
      <c r="E94" s="897"/>
      <c r="F94" s="897"/>
      <c r="G94" s="897"/>
      <c r="H94" s="897"/>
      <c r="I94" s="897"/>
      <c r="J94" s="897"/>
      <c r="K94" s="897"/>
      <c r="L94" s="897"/>
      <c r="M94" s="897"/>
      <c r="N94" s="897"/>
      <c r="O94" s="897"/>
      <c r="P94" s="897"/>
      <c r="Q94" s="897"/>
      <c r="R94" s="897"/>
      <c r="S94" s="897"/>
      <c r="T94" s="897"/>
      <c r="U94" s="895"/>
      <c r="V94" s="852"/>
      <c r="W94" s="853"/>
      <c r="X94" s="853"/>
      <c r="Y94" s="853"/>
      <c r="Z94" s="853"/>
      <c r="AA94" s="853"/>
      <c r="AB94" s="854">
        <f>_xlfn.XLOOKUP(Table17[[#This Row],[Project Delivery Lead]],[1]List!Y:Y,[1]List!AC:AC)</f>
        <v>0</v>
      </c>
      <c r="AC94" s="853" t="str">
        <f>IF($A94="","",'[1]Core Assumptions'!$D114)</f>
        <v/>
      </c>
      <c r="AD94" s="855"/>
      <c r="AE94" s="905"/>
      <c r="AF94" s="857"/>
      <c r="AG94" s="857"/>
      <c r="AH94" s="858"/>
      <c r="AI94" s="858"/>
      <c r="AJ94" s="858"/>
      <c r="AK94" s="858" t="str">
        <f>IF($A94="","",IF('[1]Pricing Summary'!$B$31="T&amp;M","Time and Material","Fixed Fee"))</f>
        <v/>
      </c>
      <c r="AL94" s="856"/>
      <c r="AM94" s="856"/>
      <c r="AN94" s="906" t="str">
        <f>IF($A94="","",'[1]Outputs Recap'!$C$12)</f>
        <v/>
      </c>
      <c r="AO94" s="861" t="str">
        <f>IF($A94="","",VLOOKUP('[1]Outputs Recap'!$C$11,[1]List!$I:$J,2,FALSE))</f>
        <v/>
      </c>
      <c r="AP94" s="856" t="str" cm="1">
        <f t="array" ref="AP94">IF($A94="","",_xlfn.IFS('[1]Pricing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4" s="862" t="str">
        <f>IF($A94="","",_xlfn.XLOOKUP('[1]Core Assumptions'!$D$20,'[1]Other Lookups'!$AH:$AH,'[1]Other Lookups'!$AI:$AI))</f>
        <v/>
      </c>
      <c r="AR94" s="863"/>
      <c r="AS94" s="864" t="str">
        <f>IF($A94="","",'[1]Outputs Recap'!$C$13)</f>
        <v/>
      </c>
      <c r="AT94" s="907"/>
      <c r="AU94" s="907"/>
      <c r="AV94" s="907" t="str">
        <f>IF($A94="","",IFERROR(+Table17[[#This Row],[Total Contract Amount]]*Table17[[#This Row],[First-year, one-time Onboarding/Setup Fee %]],0))</f>
        <v/>
      </c>
      <c r="AW94" s="853"/>
      <c r="AX94" s="867"/>
      <c r="AY94" s="908"/>
      <c r="AZ94" s="909"/>
      <c r="BA94" s="910"/>
      <c r="BB94" s="871"/>
      <c r="BC94" s="871"/>
      <c r="BD94" s="871"/>
      <c r="BE94" s="871"/>
      <c r="BF94" s="871"/>
      <c r="BG94" s="871"/>
      <c r="BH94" s="872"/>
      <c r="BI94" s="874"/>
      <c r="BJ94" s="874"/>
      <c r="BK94" s="874"/>
      <c r="BL94" s="875"/>
      <c r="BM94" s="876"/>
      <c r="BN94" s="911"/>
      <c r="BO94" s="878"/>
      <c r="BP94" s="879"/>
      <c r="BQ94" s="880"/>
      <c r="BR94" s="881"/>
      <c r="BS94" s="882"/>
      <c r="BT94" s="883"/>
      <c r="BU94" s="884"/>
      <c r="BV94" s="884"/>
      <c r="BW94" s="884"/>
      <c r="BX94" s="884"/>
      <c r="BY94" s="884"/>
      <c r="BZ94" s="884"/>
      <c r="CA94" s="884"/>
      <c r="CB94" s="884"/>
      <c r="CC94" s="884"/>
      <c r="CD94" s="884"/>
      <c r="CE94" s="885"/>
      <c r="CF94" s="885" t="str">
        <f>IF($A94="","",IF(#REF!&lt;&gt;0,#REF!-SUM(BT94:CE94),""))</f>
        <v/>
      </c>
      <c r="CG94" s="898" t="str">
        <f>IF(ISBLANK($X94)=FALSE,"NextGenApp Advisory LLC","")</f>
        <v/>
      </c>
      <c r="CH94" s="899" t="str">
        <f>_xlfn.IFNA(INDEX([1]List!AC:AC,MATCH(X94,[1]List!Y:Y,0)),"")</f>
        <v/>
      </c>
      <c r="CI94" s="900"/>
      <c r="CJ94" s="900"/>
      <c r="CK94" s="900"/>
      <c r="CL94" s="900"/>
      <c r="CM94" s="901"/>
      <c r="CN94" s="902"/>
      <c r="CO94" s="903"/>
      <c r="CP94" s="904"/>
      <c r="CQ94" s="892"/>
    </row>
    <row r="95" spans="1:95" x14ac:dyDescent="0.2">
      <c r="A95" s="894"/>
      <c r="B95" s="895"/>
      <c r="C95" s="896"/>
      <c r="D95" s="897"/>
      <c r="E95" s="897"/>
      <c r="F95" s="897"/>
      <c r="G95" s="897"/>
      <c r="H95" s="897"/>
      <c r="I95" s="897"/>
      <c r="J95" s="897"/>
      <c r="K95" s="897"/>
      <c r="L95" s="897"/>
      <c r="M95" s="897"/>
      <c r="N95" s="897"/>
      <c r="O95" s="897"/>
      <c r="P95" s="897"/>
      <c r="Q95" s="897"/>
      <c r="R95" s="897"/>
      <c r="S95" s="897"/>
      <c r="T95" s="897"/>
      <c r="U95" s="895"/>
      <c r="V95" s="852"/>
      <c r="W95" s="853"/>
      <c r="X95" s="853"/>
      <c r="Y95" s="853"/>
      <c r="Z95" s="853"/>
      <c r="AA95" s="853"/>
      <c r="AB95" s="854">
        <f>_xlfn.XLOOKUP(Table17[[#This Row],[Project Delivery Lead]],[1]List!Y:Y,[1]List!AC:AC)</f>
        <v>0</v>
      </c>
      <c r="AC95" s="853" t="str">
        <f>IF($A95="","",'[1]Core Assumptions'!$D115)</f>
        <v/>
      </c>
      <c r="AD95" s="855"/>
      <c r="AE95" s="905"/>
      <c r="AF95" s="857"/>
      <c r="AG95" s="857"/>
      <c r="AH95" s="858"/>
      <c r="AI95" s="858"/>
      <c r="AJ95" s="858"/>
      <c r="AK95" s="858" t="str">
        <f>IF($A95="","",IF('[1]Pricing Summary'!$B$31="T&amp;M","Time and Material","Fixed Fee"))</f>
        <v/>
      </c>
      <c r="AL95" s="856"/>
      <c r="AM95" s="856"/>
      <c r="AN95" s="906" t="str">
        <f>IF($A95="","",'[1]Outputs Recap'!$C$12)</f>
        <v/>
      </c>
      <c r="AO95" s="861" t="str">
        <f>IF($A95="","",VLOOKUP('[1]Outputs Recap'!$C$11,[1]List!$I:$J,2,FALSE))</f>
        <v/>
      </c>
      <c r="AP95" s="856" t="str" cm="1">
        <f t="array" ref="AP95">IF($A95="","",_xlfn.IFS('[1]Pricing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5" s="862" t="str">
        <f>IF($A95="","",_xlfn.XLOOKUP('[1]Core Assumptions'!$D$20,'[1]Other Lookups'!$AH:$AH,'[1]Other Lookups'!$AI:$AI))</f>
        <v/>
      </c>
      <c r="AR95" s="863"/>
      <c r="AS95" s="864" t="str">
        <f>IF($A95="","",'[1]Outputs Recap'!$C$13)</f>
        <v/>
      </c>
      <c r="AT95" s="907"/>
      <c r="AU95" s="907"/>
      <c r="AV95" s="907" t="str">
        <f>IF($A95="","",IFERROR(+Table17[[#This Row],[Total Contract Amount]]*Table17[[#This Row],[First-year, one-time Onboarding/Setup Fee %]],0))</f>
        <v/>
      </c>
      <c r="AW95" s="853"/>
      <c r="AX95" s="867"/>
      <c r="AY95" s="908"/>
      <c r="AZ95" s="909"/>
      <c r="BA95" s="910"/>
      <c r="BB95" s="871"/>
      <c r="BC95" s="871"/>
      <c r="BD95" s="871"/>
      <c r="BE95" s="871"/>
      <c r="BF95" s="871"/>
      <c r="BG95" s="871"/>
      <c r="BH95" s="872"/>
      <c r="BI95" s="874"/>
      <c r="BJ95" s="874"/>
      <c r="BK95" s="874"/>
      <c r="BL95" s="875"/>
      <c r="BM95" s="876"/>
      <c r="BN95" s="911"/>
      <c r="BO95" s="878"/>
      <c r="BP95" s="879"/>
      <c r="BQ95" s="880"/>
      <c r="BR95" s="881"/>
      <c r="BS95" s="882"/>
      <c r="BT95" s="883"/>
      <c r="BU95" s="884"/>
      <c r="BV95" s="884"/>
      <c r="BW95" s="884"/>
      <c r="BX95" s="884"/>
      <c r="BY95" s="884"/>
      <c r="BZ95" s="884"/>
      <c r="CA95" s="884"/>
      <c r="CB95" s="884"/>
      <c r="CC95" s="884"/>
      <c r="CD95" s="884"/>
      <c r="CE95" s="885"/>
      <c r="CF95" s="885" t="str">
        <f>IF($A95="","",IF(#REF!&lt;&gt;0,#REF!-SUM(BT95:CE95),""))</f>
        <v/>
      </c>
      <c r="CG95" s="898" t="str">
        <f>IF(ISBLANK($X95)=FALSE,"NextGenApp Advisory LLC","")</f>
        <v/>
      </c>
      <c r="CH95" s="899" t="str">
        <f>_xlfn.IFNA(INDEX([1]List!AC:AC,MATCH(X95,[1]List!Y:Y,0)),"")</f>
        <v/>
      </c>
      <c r="CI95" s="900"/>
      <c r="CJ95" s="900"/>
      <c r="CK95" s="900"/>
      <c r="CL95" s="900"/>
      <c r="CM95" s="901"/>
      <c r="CN95" s="902"/>
      <c r="CO95" s="903"/>
      <c r="CP95" s="904"/>
      <c r="CQ95" s="892"/>
    </row>
    <row r="96" spans="1:95" x14ac:dyDescent="0.2">
      <c r="A96" s="894"/>
      <c r="B96" s="895"/>
      <c r="C96" s="896"/>
      <c r="D96" s="897"/>
      <c r="E96" s="897"/>
      <c r="F96" s="897"/>
      <c r="G96" s="897"/>
      <c r="H96" s="897"/>
      <c r="I96" s="897"/>
      <c r="J96" s="897"/>
      <c r="K96" s="897"/>
      <c r="L96" s="897"/>
      <c r="M96" s="897"/>
      <c r="N96" s="897"/>
      <c r="O96" s="897"/>
      <c r="P96" s="897"/>
      <c r="Q96" s="897"/>
      <c r="R96" s="897"/>
      <c r="S96" s="897"/>
      <c r="T96" s="897"/>
      <c r="U96" s="895"/>
      <c r="V96" s="852"/>
      <c r="W96" s="853"/>
      <c r="X96" s="853"/>
      <c r="Y96" s="853"/>
      <c r="Z96" s="853"/>
      <c r="AA96" s="853"/>
      <c r="AB96" s="854">
        <f>_xlfn.XLOOKUP(Table17[[#This Row],[Project Delivery Lead]],[1]List!Y:Y,[1]List!AC:AC)</f>
        <v>0</v>
      </c>
      <c r="AC96" s="853" t="str">
        <f>IF($A96="","",'[1]Core Assumptions'!$D116)</f>
        <v/>
      </c>
      <c r="AD96" s="855"/>
      <c r="AE96" s="905"/>
      <c r="AF96" s="857"/>
      <c r="AG96" s="857"/>
      <c r="AH96" s="858"/>
      <c r="AI96" s="858"/>
      <c r="AJ96" s="858"/>
      <c r="AK96" s="858" t="str">
        <f>IF($A96="","",IF('[1]Pricing Summary'!$B$31="T&amp;M","Time and Material","Fixed Fee"))</f>
        <v/>
      </c>
      <c r="AL96" s="856"/>
      <c r="AM96" s="856"/>
      <c r="AN96" s="906" t="str">
        <f>IF($A96="","",'[1]Outputs Recap'!$C$12)</f>
        <v/>
      </c>
      <c r="AO96" s="861" t="str">
        <f>IF($A96="","",VLOOKUP('[1]Outputs Recap'!$C$11,[1]List!$I:$J,2,FALSE))</f>
        <v/>
      </c>
      <c r="AP96" s="856" t="str" cm="1">
        <f t="array" ref="AP96">IF($A96="","",_xlfn.IFS('[1]Pricing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6" s="862" t="str">
        <f>IF($A96="","",_xlfn.XLOOKUP('[1]Core Assumptions'!$D$20,'[1]Other Lookups'!$AH:$AH,'[1]Other Lookups'!$AI:$AI))</f>
        <v/>
      </c>
      <c r="AR96" s="863"/>
      <c r="AS96" s="864" t="str">
        <f>IF($A96="","",'[1]Outputs Recap'!$C$13)</f>
        <v/>
      </c>
      <c r="AT96" s="907"/>
      <c r="AU96" s="907"/>
      <c r="AV96" s="907" t="str">
        <f>IF($A96="","",IFERROR(+Table17[[#This Row],[Total Contract Amount]]*Table17[[#This Row],[First-year, one-time Onboarding/Setup Fee %]],0))</f>
        <v/>
      </c>
      <c r="AW96" s="853"/>
      <c r="AX96" s="867"/>
      <c r="AY96" s="908"/>
      <c r="AZ96" s="909"/>
      <c r="BA96" s="910"/>
      <c r="BB96" s="871"/>
      <c r="BC96" s="871"/>
      <c r="BD96" s="871"/>
      <c r="BE96" s="871"/>
      <c r="BF96" s="871"/>
      <c r="BG96" s="871"/>
      <c r="BH96" s="872"/>
      <c r="BI96" s="874"/>
      <c r="BJ96" s="874"/>
      <c r="BK96" s="874"/>
      <c r="BL96" s="875"/>
      <c r="BM96" s="876"/>
      <c r="BN96" s="911"/>
      <c r="BO96" s="878"/>
      <c r="BP96" s="879"/>
      <c r="BQ96" s="880"/>
      <c r="BR96" s="881"/>
      <c r="BS96" s="882"/>
      <c r="BT96" s="883"/>
      <c r="BU96" s="884"/>
      <c r="BV96" s="884"/>
      <c r="BW96" s="884"/>
      <c r="BX96" s="884"/>
      <c r="BY96" s="884"/>
      <c r="BZ96" s="884"/>
      <c r="CA96" s="884"/>
      <c r="CB96" s="884"/>
      <c r="CC96" s="884"/>
      <c r="CD96" s="884"/>
      <c r="CE96" s="885"/>
      <c r="CF96" s="885" t="str">
        <f>IF($A96="","",IF(#REF!&lt;&gt;0,#REF!-SUM(BT96:CE96),""))</f>
        <v/>
      </c>
      <c r="CG96" s="898" t="str">
        <f>IF(ISBLANK($X96)=FALSE,"NextGenApp Advisory LLC","")</f>
        <v/>
      </c>
      <c r="CH96" s="899" t="str">
        <f>_xlfn.IFNA(INDEX([1]List!AC:AC,MATCH(X96,[1]List!Y:Y,0)),"")</f>
        <v/>
      </c>
      <c r="CI96" s="900"/>
      <c r="CJ96" s="900"/>
      <c r="CK96" s="900"/>
      <c r="CL96" s="900"/>
      <c r="CM96" s="901"/>
      <c r="CN96" s="902"/>
      <c r="CO96" s="903"/>
      <c r="CP96" s="904"/>
      <c r="CQ96" s="892"/>
    </row>
    <row r="97" spans="1:95" x14ac:dyDescent="0.2">
      <c r="A97" s="894"/>
      <c r="B97" s="895"/>
      <c r="C97" s="896"/>
      <c r="D97" s="897"/>
      <c r="E97" s="897"/>
      <c r="F97" s="897"/>
      <c r="G97" s="897"/>
      <c r="H97" s="897"/>
      <c r="I97" s="897"/>
      <c r="J97" s="897"/>
      <c r="K97" s="897"/>
      <c r="L97" s="897"/>
      <c r="M97" s="897"/>
      <c r="N97" s="897"/>
      <c r="O97" s="897"/>
      <c r="P97" s="897"/>
      <c r="Q97" s="897"/>
      <c r="R97" s="897"/>
      <c r="S97" s="897"/>
      <c r="T97" s="897"/>
      <c r="U97" s="895"/>
      <c r="V97" s="852"/>
      <c r="W97" s="853"/>
      <c r="X97" s="853"/>
      <c r="Y97" s="853"/>
      <c r="Z97" s="853"/>
      <c r="AA97" s="853"/>
      <c r="AB97" s="854">
        <f>_xlfn.XLOOKUP(Table17[[#This Row],[Project Delivery Lead]],[1]List!Y:Y,[1]List!AC:AC)</f>
        <v>0</v>
      </c>
      <c r="AC97" s="853" t="str">
        <f>IF($A97="","",'[1]Core Assumptions'!$D117)</f>
        <v/>
      </c>
      <c r="AD97" s="855"/>
      <c r="AE97" s="905"/>
      <c r="AF97" s="857"/>
      <c r="AG97" s="857"/>
      <c r="AH97" s="858"/>
      <c r="AI97" s="858"/>
      <c r="AJ97" s="858"/>
      <c r="AK97" s="858" t="str">
        <f>IF($A97="","",IF('[1]Pricing Summary'!$B$31="T&amp;M","Time and Material","Fixed Fee"))</f>
        <v/>
      </c>
      <c r="AL97" s="856"/>
      <c r="AM97" s="856"/>
      <c r="AN97" s="906" t="str">
        <f>IF($A97="","",'[1]Outputs Recap'!$C$12)</f>
        <v/>
      </c>
      <c r="AO97" s="861" t="str">
        <f>IF($A97="","",VLOOKUP('[1]Outputs Recap'!$C$11,[1]List!$I:$J,2,FALSE))</f>
        <v/>
      </c>
      <c r="AP97" s="856" t="str" cm="1">
        <f t="array" ref="AP97">IF($A97="","",_xlfn.IFS('[1]Pricing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7" s="862" t="str">
        <f>IF($A97="","",_xlfn.XLOOKUP('[1]Core Assumptions'!$D$20,'[1]Other Lookups'!$AH:$AH,'[1]Other Lookups'!$AI:$AI))</f>
        <v/>
      </c>
      <c r="AR97" s="863"/>
      <c r="AS97" s="864" t="str">
        <f>IF($A97="","",'[1]Outputs Recap'!$C$13)</f>
        <v/>
      </c>
      <c r="AT97" s="907"/>
      <c r="AU97" s="907"/>
      <c r="AV97" s="907" t="str">
        <f>IF($A97="","",IFERROR(+Table17[[#This Row],[Total Contract Amount]]*Table17[[#This Row],[First-year, one-time Onboarding/Setup Fee %]],0))</f>
        <v/>
      </c>
      <c r="AW97" s="853"/>
      <c r="AX97" s="867"/>
      <c r="AY97" s="908"/>
      <c r="AZ97" s="909"/>
      <c r="BA97" s="910"/>
      <c r="BB97" s="871"/>
      <c r="BC97" s="871"/>
      <c r="BD97" s="871"/>
      <c r="BE97" s="871"/>
      <c r="BF97" s="871"/>
      <c r="BG97" s="871"/>
      <c r="BH97" s="872"/>
      <c r="BI97" s="874"/>
      <c r="BJ97" s="874"/>
      <c r="BK97" s="874"/>
      <c r="BL97" s="875"/>
      <c r="BM97" s="876"/>
      <c r="BN97" s="911"/>
      <c r="BO97" s="878"/>
      <c r="BP97" s="879"/>
      <c r="BQ97" s="880"/>
      <c r="BR97" s="881"/>
      <c r="BS97" s="882"/>
      <c r="BT97" s="883"/>
      <c r="BU97" s="884"/>
      <c r="BV97" s="884"/>
      <c r="BW97" s="884"/>
      <c r="BX97" s="884"/>
      <c r="BY97" s="884"/>
      <c r="BZ97" s="884"/>
      <c r="CA97" s="884"/>
      <c r="CB97" s="884"/>
      <c r="CC97" s="884"/>
      <c r="CD97" s="884"/>
      <c r="CE97" s="885"/>
      <c r="CF97" s="885" t="str">
        <f>IF($A97="","",IF(#REF!&lt;&gt;0,#REF!-SUM(BT97:CE97),""))</f>
        <v/>
      </c>
      <c r="CG97" s="898" t="str">
        <f>IF(ISBLANK($X97)=FALSE,"NextGenApp Advisory LLC","")</f>
        <v/>
      </c>
      <c r="CH97" s="899" t="str">
        <f>_xlfn.IFNA(INDEX([1]List!AC:AC,MATCH(X97,[1]List!Y:Y,0)),"")</f>
        <v/>
      </c>
      <c r="CI97" s="900"/>
      <c r="CJ97" s="900"/>
      <c r="CK97" s="900"/>
      <c r="CL97" s="900"/>
      <c r="CM97" s="901"/>
      <c r="CN97" s="902"/>
      <c r="CO97" s="903"/>
      <c r="CP97" s="904"/>
      <c r="CQ97" s="892"/>
    </row>
    <row r="98" spans="1:95" x14ac:dyDescent="0.2">
      <c r="A98" s="894"/>
      <c r="B98" s="895"/>
      <c r="C98" s="896"/>
      <c r="D98" s="897"/>
      <c r="E98" s="897"/>
      <c r="F98" s="897"/>
      <c r="G98" s="897"/>
      <c r="H98" s="897"/>
      <c r="I98" s="897"/>
      <c r="J98" s="897"/>
      <c r="K98" s="897"/>
      <c r="L98" s="897"/>
      <c r="M98" s="897"/>
      <c r="N98" s="897"/>
      <c r="O98" s="897"/>
      <c r="P98" s="897"/>
      <c r="Q98" s="897"/>
      <c r="R98" s="897"/>
      <c r="S98" s="897"/>
      <c r="T98" s="897"/>
      <c r="U98" s="895"/>
      <c r="V98" s="852"/>
      <c r="W98" s="853"/>
      <c r="X98" s="853"/>
      <c r="Y98" s="853"/>
      <c r="Z98" s="853"/>
      <c r="AA98" s="853"/>
      <c r="AB98" s="854">
        <f>_xlfn.XLOOKUP(Table17[[#This Row],[Project Delivery Lead]],[1]List!Y:Y,[1]List!AC:AC)</f>
        <v>0</v>
      </c>
      <c r="AC98" s="853" t="str">
        <f>IF($A98="","",'[1]Core Assumptions'!$D118)</f>
        <v/>
      </c>
      <c r="AD98" s="855"/>
      <c r="AE98" s="905"/>
      <c r="AF98" s="857"/>
      <c r="AG98" s="857"/>
      <c r="AH98" s="858"/>
      <c r="AI98" s="858"/>
      <c r="AJ98" s="858"/>
      <c r="AK98" s="858" t="str">
        <f>IF($A98="","",IF('[1]Pricing Summary'!$B$31="T&amp;M","Time and Material","Fixed Fee"))</f>
        <v/>
      </c>
      <c r="AL98" s="856"/>
      <c r="AM98" s="856"/>
      <c r="AN98" s="906" t="str">
        <f>IF($A98="","",'[1]Outputs Recap'!$C$12)</f>
        <v/>
      </c>
      <c r="AO98" s="861" t="str">
        <f>IF($A98="","",VLOOKUP('[1]Outputs Recap'!$C$11,[1]List!$I:$J,2,FALSE))</f>
        <v/>
      </c>
      <c r="AP98" s="856" t="str" cm="1">
        <f t="array" ref="AP98">IF($A98="","",_xlfn.IFS('[1]Pricing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8" s="862" t="str">
        <f>IF($A98="","",_xlfn.XLOOKUP('[1]Core Assumptions'!$D$20,'[1]Other Lookups'!$AH:$AH,'[1]Other Lookups'!$AI:$AI))</f>
        <v/>
      </c>
      <c r="AR98" s="863"/>
      <c r="AS98" s="864" t="str">
        <f>IF($A98="","",'[1]Outputs Recap'!$C$13)</f>
        <v/>
      </c>
      <c r="AT98" s="907"/>
      <c r="AU98" s="907"/>
      <c r="AV98" s="907" t="str">
        <f>IF($A98="","",IFERROR(+Table17[[#This Row],[Total Contract Amount]]*Table17[[#This Row],[First-year, one-time Onboarding/Setup Fee %]],0))</f>
        <v/>
      </c>
      <c r="AW98" s="853"/>
      <c r="AX98" s="867"/>
      <c r="AY98" s="908"/>
      <c r="AZ98" s="909"/>
      <c r="BA98" s="910"/>
      <c r="BB98" s="871"/>
      <c r="BC98" s="871"/>
      <c r="BD98" s="871"/>
      <c r="BE98" s="871"/>
      <c r="BF98" s="871"/>
      <c r="BG98" s="871"/>
      <c r="BH98" s="872"/>
      <c r="BI98" s="874"/>
      <c r="BJ98" s="874"/>
      <c r="BK98" s="874"/>
      <c r="BL98" s="875"/>
      <c r="BM98" s="876"/>
      <c r="BN98" s="911"/>
      <c r="BO98" s="878"/>
      <c r="BP98" s="879"/>
      <c r="BQ98" s="880"/>
      <c r="BR98" s="881"/>
      <c r="BS98" s="882"/>
      <c r="BT98" s="883"/>
      <c r="BU98" s="884"/>
      <c r="BV98" s="884"/>
      <c r="BW98" s="884"/>
      <c r="BX98" s="884"/>
      <c r="BY98" s="884"/>
      <c r="BZ98" s="884"/>
      <c r="CA98" s="884"/>
      <c r="CB98" s="884"/>
      <c r="CC98" s="884"/>
      <c r="CD98" s="884"/>
      <c r="CE98" s="885"/>
      <c r="CF98" s="885" t="str">
        <f>IF($A98="","",IF(#REF!&lt;&gt;0,#REF!-SUM(BT98:CE98),""))</f>
        <v/>
      </c>
      <c r="CG98" s="898" t="str">
        <f>IF(ISBLANK($X98)=FALSE,"NextGenApp Advisory LLC","")</f>
        <v/>
      </c>
      <c r="CH98" s="899" t="str">
        <f>_xlfn.IFNA(INDEX([1]List!AC:AC,MATCH(X98,[1]List!Y:Y,0)),"")</f>
        <v/>
      </c>
      <c r="CI98" s="900"/>
      <c r="CJ98" s="900"/>
      <c r="CK98" s="900"/>
      <c r="CL98" s="900"/>
      <c r="CM98" s="901"/>
      <c r="CN98" s="902"/>
      <c r="CO98" s="903"/>
      <c r="CP98" s="904"/>
      <c r="CQ98" s="892"/>
    </row>
    <row r="99" spans="1:95" x14ac:dyDescent="0.2">
      <c r="A99" s="894"/>
      <c r="B99" s="895"/>
      <c r="C99" s="896"/>
      <c r="D99" s="897"/>
      <c r="E99" s="897"/>
      <c r="F99" s="897"/>
      <c r="G99" s="897"/>
      <c r="H99" s="897"/>
      <c r="I99" s="897"/>
      <c r="J99" s="897"/>
      <c r="K99" s="897"/>
      <c r="L99" s="897"/>
      <c r="M99" s="897"/>
      <c r="N99" s="897"/>
      <c r="O99" s="897"/>
      <c r="P99" s="897"/>
      <c r="Q99" s="897"/>
      <c r="R99" s="897"/>
      <c r="S99" s="897"/>
      <c r="T99" s="897"/>
      <c r="U99" s="895"/>
      <c r="V99" s="852"/>
      <c r="W99" s="853"/>
      <c r="X99" s="853"/>
      <c r="Y99" s="853"/>
      <c r="Z99" s="853"/>
      <c r="AA99" s="853"/>
      <c r="AB99" s="854">
        <f>_xlfn.XLOOKUP(Table17[[#This Row],[Project Delivery Lead]],[1]List!Y:Y,[1]List!AC:AC)</f>
        <v>0</v>
      </c>
      <c r="AC99" s="853" t="str">
        <f>IF($A99="","",'[1]Core Assumptions'!$D119)</f>
        <v/>
      </c>
      <c r="AD99" s="855"/>
      <c r="AE99" s="905"/>
      <c r="AF99" s="857"/>
      <c r="AG99" s="857"/>
      <c r="AH99" s="858"/>
      <c r="AI99" s="858"/>
      <c r="AJ99" s="858"/>
      <c r="AK99" s="858" t="str">
        <f>IF($A99="","",IF('[1]Pricing Summary'!$B$31="T&amp;M","Time and Material","Fixed Fee"))</f>
        <v/>
      </c>
      <c r="AL99" s="856"/>
      <c r="AM99" s="856"/>
      <c r="AN99" s="906" t="str">
        <f>IF($A99="","",'[1]Outputs Recap'!$C$12)</f>
        <v/>
      </c>
      <c r="AO99" s="861" t="str">
        <f>IF($A99="","",VLOOKUP('[1]Outputs Recap'!$C$11,[1]List!$I:$J,2,FALSE))</f>
        <v/>
      </c>
      <c r="AP99" s="856" t="str" cm="1">
        <f t="array" ref="AP99">IF($A99="","",_xlfn.IFS('[1]Pricing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99" s="862" t="str">
        <f>IF($A99="","",_xlfn.XLOOKUP('[1]Core Assumptions'!$D$20,'[1]Other Lookups'!$AH:$AH,'[1]Other Lookups'!$AI:$AI))</f>
        <v/>
      </c>
      <c r="AR99" s="863"/>
      <c r="AS99" s="864" t="str">
        <f>IF($A99="","",'[1]Outputs Recap'!$C$13)</f>
        <v/>
      </c>
      <c r="AT99" s="907"/>
      <c r="AU99" s="907"/>
      <c r="AV99" s="907" t="str">
        <f>IF($A99="","",IFERROR(+Table17[[#This Row],[Total Contract Amount]]*Table17[[#This Row],[First-year, one-time Onboarding/Setup Fee %]],0))</f>
        <v/>
      </c>
      <c r="AW99" s="853"/>
      <c r="AX99" s="867"/>
      <c r="AY99" s="908"/>
      <c r="AZ99" s="909"/>
      <c r="BA99" s="910"/>
      <c r="BB99" s="871"/>
      <c r="BC99" s="871"/>
      <c r="BD99" s="871"/>
      <c r="BE99" s="871"/>
      <c r="BF99" s="871"/>
      <c r="BG99" s="871"/>
      <c r="BH99" s="872"/>
      <c r="BI99" s="874"/>
      <c r="BJ99" s="874"/>
      <c r="BK99" s="874"/>
      <c r="BL99" s="875"/>
      <c r="BM99" s="876"/>
      <c r="BN99" s="911"/>
      <c r="BO99" s="878"/>
      <c r="BP99" s="879"/>
      <c r="BQ99" s="880"/>
      <c r="BR99" s="881"/>
      <c r="BS99" s="882"/>
      <c r="BT99" s="883"/>
      <c r="BU99" s="884"/>
      <c r="BV99" s="884"/>
      <c r="BW99" s="884"/>
      <c r="BX99" s="884"/>
      <c r="BY99" s="884"/>
      <c r="BZ99" s="884"/>
      <c r="CA99" s="884"/>
      <c r="CB99" s="884"/>
      <c r="CC99" s="884"/>
      <c r="CD99" s="884"/>
      <c r="CE99" s="885"/>
      <c r="CF99" s="885" t="str">
        <f>IF($A99="","",IF(#REF!&lt;&gt;0,#REF!-SUM(BT99:CE99),""))</f>
        <v/>
      </c>
      <c r="CG99" s="898" t="str">
        <f>IF(ISBLANK($X99)=FALSE,"NextGenApp Advisory LLC","")</f>
        <v/>
      </c>
      <c r="CH99" s="899" t="str">
        <f>_xlfn.IFNA(INDEX([1]List!AC:AC,MATCH(X99,[1]List!Y:Y,0)),"")</f>
        <v/>
      </c>
      <c r="CI99" s="900"/>
      <c r="CJ99" s="900"/>
      <c r="CK99" s="900"/>
      <c r="CL99" s="900"/>
      <c r="CM99" s="901"/>
      <c r="CN99" s="902"/>
      <c r="CO99" s="903"/>
      <c r="CP99" s="904"/>
      <c r="CQ99" s="892"/>
    </row>
    <row r="100" spans="1:95" x14ac:dyDescent="0.2">
      <c r="A100" s="894"/>
      <c r="B100" s="895"/>
      <c r="C100" s="896"/>
      <c r="D100" s="897"/>
      <c r="E100" s="897"/>
      <c r="F100" s="897"/>
      <c r="G100" s="897"/>
      <c r="H100" s="897"/>
      <c r="I100" s="897"/>
      <c r="J100" s="897"/>
      <c r="K100" s="897"/>
      <c r="L100" s="897"/>
      <c r="M100" s="897"/>
      <c r="N100" s="897"/>
      <c r="O100" s="897"/>
      <c r="P100" s="897"/>
      <c r="Q100" s="897"/>
      <c r="R100" s="897"/>
      <c r="S100" s="897"/>
      <c r="T100" s="897"/>
      <c r="U100" s="895"/>
      <c r="V100" s="852"/>
      <c r="W100" s="853"/>
      <c r="X100" s="853"/>
      <c r="Y100" s="853"/>
      <c r="Z100" s="853"/>
      <c r="AA100" s="853"/>
      <c r="AB100" s="854">
        <f>_xlfn.XLOOKUP(Table17[[#This Row],[Project Delivery Lead]],[1]List!Y:Y,[1]List!AC:AC)</f>
        <v>0</v>
      </c>
      <c r="AC100" s="853" t="str">
        <f>IF($A100="","",'[1]Core Assumptions'!$D120)</f>
        <v/>
      </c>
      <c r="AD100" s="855"/>
      <c r="AE100" s="905"/>
      <c r="AF100" s="857"/>
      <c r="AG100" s="857"/>
      <c r="AH100" s="858"/>
      <c r="AI100" s="858"/>
      <c r="AJ100" s="858"/>
      <c r="AK100" s="858" t="str">
        <f>IF($A100="","",IF('[1]Pricing Summary'!$B$31="T&amp;M","Time and Material","Fixed Fee"))</f>
        <v/>
      </c>
      <c r="AL100" s="856"/>
      <c r="AM100" s="856"/>
      <c r="AN100" s="906" t="str">
        <f>IF($A100="","",'[1]Outputs Recap'!$C$12)</f>
        <v/>
      </c>
      <c r="AO100" s="861" t="str">
        <f>IF($A100="","",VLOOKUP('[1]Outputs Recap'!$C$11,[1]List!$I:$J,2,FALSE))</f>
        <v/>
      </c>
      <c r="AP100" s="856" t="str" cm="1">
        <f t="array" ref="AP100">IF($A100="","",_xlfn.IFS('[1]Pricing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0" s="862" t="str">
        <f>IF($A100="","",_xlfn.XLOOKUP('[1]Core Assumptions'!$D$20,'[1]Other Lookups'!$AH:$AH,'[1]Other Lookups'!$AI:$AI))</f>
        <v/>
      </c>
      <c r="AR100" s="863"/>
      <c r="AS100" s="864" t="str">
        <f>IF($A100="","",'[1]Outputs Recap'!$C$13)</f>
        <v/>
      </c>
      <c r="AT100" s="907"/>
      <c r="AU100" s="907"/>
      <c r="AV100" s="907" t="str">
        <f>IF($A100="","",IFERROR(+Table17[[#This Row],[Total Contract Amount]]*Table17[[#This Row],[First-year, one-time Onboarding/Setup Fee %]],0))</f>
        <v/>
      </c>
      <c r="AW100" s="853"/>
      <c r="AX100" s="867"/>
      <c r="AY100" s="908"/>
      <c r="AZ100" s="909"/>
      <c r="BA100" s="910"/>
      <c r="BB100" s="871"/>
      <c r="BC100" s="871"/>
      <c r="BD100" s="871"/>
      <c r="BE100" s="871"/>
      <c r="BF100" s="871"/>
      <c r="BG100" s="871"/>
      <c r="BH100" s="872"/>
      <c r="BI100" s="874"/>
      <c r="BJ100" s="874"/>
      <c r="BK100" s="874"/>
      <c r="BL100" s="875"/>
      <c r="BM100" s="876"/>
      <c r="BN100" s="911"/>
      <c r="BO100" s="878"/>
      <c r="BP100" s="879"/>
      <c r="BQ100" s="880"/>
      <c r="BR100" s="881"/>
      <c r="BS100" s="882"/>
      <c r="BT100" s="883"/>
      <c r="BU100" s="884"/>
      <c r="BV100" s="884"/>
      <c r="BW100" s="884"/>
      <c r="BX100" s="884"/>
      <c r="BY100" s="884"/>
      <c r="BZ100" s="884"/>
      <c r="CA100" s="884"/>
      <c r="CB100" s="884"/>
      <c r="CC100" s="884"/>
      <c r="CD100" s="884"/>
      <c r="CE100" s="885"/>
      <c r="CF100" s="885" t="str">
        <f>IF($A100="","",IF(#REF!&lt;&gt;0,#REF!-SUM(BT100:CE100),""))</f>
        <v/>
      </c>
      <c r="CG100" s="898" t="str">
        <f>IF(ISBLANK($X100)=FALSE,"NextGenApp Advisory LLC","")</f>
        <v/>
      </c>
      <c r="CH100" s="899" t="str">
        <f>_xlfn.IFNA(INDEX([1]List!AC:AC,MATCH(X100,[1]List!Y:Y,0)),"")</f>
        <v/>
      </c>
      <c r="CI100" s="900"/>
      <c r="CJ100" s="900"/>
      <c r="CK100" s="900"/>
      <c r="CL100" s="900"/>
      <c r="CM100" s="901"/>
      <c r="CN100" s="902"/>
      <c r="CO100" s="903"/>
      <c r="CP100" s="904"/>
      <c r="CQ100" s="892"/>
    </row>
    <row r="101" spans="1:95" x14ac:dyDescent="0.2">
      <c r="A101" s="894"/>
      <c r="B101" s="895"/>
      <c r="C101" s="896"/>
      <c r="D101" s="897"/>
      <c r="E101" s="897"/>
      <c r="F101" s="897"/>
      <c r="G101" s="897"/>
      <c r="H101" s="897"/>
      <c r="I101" s="897"/>
      <c r="J101" s="897"/>
      <c r="K101" s="897"/>
      <c r="L101" s="897"/>
      <c r="M101" s="897"/>
      <c r="N101" s="897"/>
      <c r="O101" s="897"/>
      <c r="P101" s="897"/>
      <c r="Q101" s="897"/>
      <c r="R101" s="897"/>
      <c r="S101" s="897"/>
      <c r="T101" s="897"/>
      <c r="U101" s="895"/>
      <c r="V101" s="852"/>
      <c r="W101" s="853"/>
      <c r="X101" s="853"/>
      <c r="Y101" s="853"/>
      <c r="Z101" s="853"/>
      <c r="AA101" s="853"/>
      <c r="AB101" s="854">
        <f>_xlfn.XLOOKUP(Table17[[#This Row],[Project Delivery Lead]],[1]List!Y:Y,[1]List!AC:AC)</f>
        <v>0</v>
      </c>
      <c r="AC101" s="853" t="str">
        <f>IF($A101="","",'[1]Core Assumptions'!$D121)</f>
        <v/>
      </c>
      <c r="AD101" s="855"/>
      <c r="AE101" s="905"/>
      <c r="AF101" s="857"/>
      <c r="AG101" s="857"/>
      <c r="AH101" s="858"/>
      <c r="AI101" s="858"/>
      <c r="AJ101" s="858"/>
      <c r="AK101" s="858" t="str">
        <f>IF($A101="","",IF('[1]Pricing Summary'!$B$31="T&amp;M","Time and Material","Fixed Fee"))</f>
        <v/>
      </c>
      <c r="AL101" s="856"/>
      <c r="AM101" s="856"/>
      <c r="AN101" s="906" t="str">
        <f>IF($A101="","",'[1]Outputs Recap'!$C$12)</f>
        <v/>
      </c>
      <c r="AO101" s="861" t="str">
        <f>IF($A101="","",VLOOKUP('[1]Outputs Recap'!$C$11,[1]List!$I:$J,2,FALSE))</f>
        <v/>
      </c>
      <c r="AP101" s="856" t="str" cm="1">
        <f t="array" ref="AP101">IF($A101="","",_xlfn.IFS('[1]Pricing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1" s="862" t="str">
        <f>IF($A101="","",_xlfn.XLOOKUP('[1]Core Assumptions'!$D$20,'[1]Other Lookups'!$AH:$AH,'[1]Other Lookups'!$AI:$AI))</f>
        <v/>
      </c>
      <c r="AR101" s="863"/>
      <c r="AS101" s="864" t="str">
        <f>IF($A101="","",'[1]Outputs Recap'!$C$13)</f>
        <v/>
      </c>
      <c r="AT101" s="907"/>
      <c r="AU101" s="907"/>
      <c r="AV101" s="907" t="str">
        <f>IF($A101="","",IFERROR(+Table17[[#This Row],[Total Contract Amount]]*Table17[[#This Row],[First-year, one-time Onboarding/Setup Fee %]],0))</f>
        <v/>
      </c>
      <c r="AW101" s="853"/>
      <c r="AX101" s="867"/>
      <c r="AY101" s="908"/>
      <c r="AZ101" s="909"/>
      <c r="BA101" s="910"/>
      <c r="BB101" s="871"/>
      <c r="BC101" s="871"/>
      <c r="BD101" s="871"/>
      <c r="BE101" s="871"/>
      <c r="BF101" s="871"/>
      <c r="BG101" s="871"/>
      <c r="BH101" s="872"/>
      <c r="BI101" s="874"/>
      <c r="BJ101" s="874"/>
      <c r="BK101" s="874"/>
      <c r="BL101" s="875"/>
      <c r="BM101" s="876"/>
      <c r="BN101" s="911"/>
      <c r="BO101" s="878"/>
      <c r="BP101" s="879"/>
      <c r="BQ101" s="880"/>
      <c r="BR101" s="881"/>
      <c r="BS101" s="882"/>
      <c r="BT101" s="883"/>
      <c r="BU101" s="884"/>
      <c r="BV101" s="884"/>
      <c r="BW101" s="884"/>
      <c r="BX101" s="884"/>
      <c r="BY101" s="884"/>
      <c r="BZ101" s="884"/>
      <c r="CA101" s="884"/>
      <c r="CB101" s="884"/>
      <c r="CC101" s="884"/>
      <c r="CD101" s="884"/>
      <c r="CE101" s="885"/>
      <c r="CF101" s="885" t="str">
        <f>IF($A101="","",IF(#REF!&lt;&gt;0,#REF!-SUM(BT101:CE101),""))</f>
        <v/>
      </c>
      <c r="CG101" s="898" t="str">
        <f>IF(ISBLANK($X101)=FALSE,"NextGenApp Advisory LLC","")</f>
        <v/>
      </c>
      <c r="CH101" s="899" t="str">
        <f>_xlfn.IFNA(INDEX([1]List!AC:AC,MATCH(X101,[1]List!Y:Y,0)),"")</f>
        <v/>
      </c>
      <c r="CI101" s="900"/>
      <c r="CJ101" s="900"/>
      <c r="CK101" s="900"/>
      <c r="CL101" s="900"/>
      <c r="CM101" s="901"/>
      <c r="CN101" s="902"/>
      <c r="CO101" s="903"/>
      <c r="CP101" s="904"/>
      <c r="CQ101" s="892"/>
    </row>
    <row r="102" spans="1:95" x14ac:dyDescent="0.2">
      <c r="A102" s="894"/>
      <c r="B102" s="895"/>
      <c r="C102" s="896"/>
      <c r="D102" s="897"/>
      <c r="E102" s="897"/>
      <c r="F102" s="897"/>
      <c r="G102" s="897"/>
      <c r="H102" s="897"/>
      <c r="I102" s="897"/>
      <c r="J102" s="897"/>
      <c r="K102" s="897"/>
      <c r="L102" s="897"/>
      <c r="M102" s="897"/>
      <c r="N102" s="897"/>
      <c r="O102" s="897"/>
      <c r="P102" s="897"/>
      <c r="Q102" s="897"/>
      <c r="R102" s="897"/>
      <c r="S102" s="897"/>
      <c r="T102" s="897"/>
      <c r="U102" s="895"/>
      <c r="V102" s="852"/>
      <c r="W102" s="853"/>
      <c r="X102" s="853"/>
      <c r="Y102" s="853"/>
      <c r="Z102" s="853"/>
      <c r="AA102" s="853"/>
      <c r="AB102" s="854">
        <f>_xlfn.XLOOKUP(Table17[[#This Row],[Project Delivery Lead]],[1]List!Y:Y,[1]List!AC:AC)</f>
        <v>0</v>
      </c>
      <c r="AC102" s="853" t="str">
        <f>IF($A102="","",'[1]Core Assumptions'!$D122)</f>
        <v/>
      </c>
      <c r="AD102" s="855"/>
      <c r="AE102" s="905"/>
      <c r="AF102" s="857"/>
      <c r="AG102" s="857"/>
      <c r="AH102" s="858"/>
      <c r="AI102" s="858"/>
      <c r="AJ102" s="858"/>
      <c r="AK102" s="858" t="str">
        <f>IF($A102="","",IF('[1]Pricing Summary'!$B$31="T&amp;M","Time and Material","Fixed Fee"))</f>
        <v/>
      </c>
      <c r="AL102" s="856"/>
      <c r="AM102" s="856"/>
      <c r="AN102" s="906" t="str">
        <f>IF($A102="","",'[1]Outputs Recap'!$C$12)</f>
        <v/>
      </c>
      <c r="AO102" s="861" t="str">
        <f>IF($A102="","",VLOOKUP('[1]Outputs Recap'!$C$11,[1]List!$I:$J,2,FALSE))</f>
        <v/>
      </c>
      <c r="AP102" s="856" t="str" cm="1">
        <f t="array" ref="AP102">IF($A102="","",_xlfn.IFS('[1]Pricing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2" s="862" t="str">
        <f>IF($A102="","",_xlfn.XLOOKUP('[1]Core Assumptions'!$D$20,'[1]Other Lookups'!$AH:$AH,'[1]Other Lookups'!$AI:$AI))</f>
        <v/>
      </c>
      <c r="AR102" s="863"/>
      <c r="AS102" s="864" t="str">
        <f>IF($A102="","",'[1]Outputs Recap'!$C$13)</f>
        <v/>
      </c>
      <c r="AT102" s="907"/>
      <c r="AU102" s="907"/>
      <c r="AV102" s="907" t="str">
        <f>IF($A102="","",IFERROR(+Table17[[#This Row],[Total Contract Amount]]*Table17[[#This Row],[First-year, one-time Onboarding/Setup Fee %]],0))</f>
        <v/>
      </c>
      <c r="AW102" s="853"/>
      <c r="AX102" s="867"/>
      <c r="AY102" s="908"/>
      <c r="AZ102" s="909"/>
      <c r="BA102" s="910"/>
      <c r="BB102" s="871"/>
      <c r="BC102" s="871"/>
      <c r="BD102" s="871"/>
      <c r="BE102" s="871"/>
      <c r="BF102" s="871"/>
      <c r="BG102" s="871"/>
      <c r="BH102" s="872"/>
      <c r="BI102" s="874"/>
      <c r="BJ102" s="874"/>
      <c r="BK102" s="874"/>
      <c r="BL102" s="875"/>
      <c r="BM102" s="876"/>
      <c r="BN102" s="911"/>
      <c r="BO102" s="878"/>
      <c r="BP102" s="879"/>
      <c r="BQ102" s="880"/>
      <c r="BR102" s="881"/>
      <c r="BS102" s="882"/>
      <c r="BT102" s="883"/>
      <c r="BU102" s="884"/>
      <c r="BV102" s="884"/>
      <c r="BW102" s="884"/>
      <c r="BX102" s="884"/>
      <c r="BY102" s="884"/>
      <c r="BZ102" s="884"/>
      <c r="CA102" s="884"/>
      <c r="CB102" s="884"/>
      <c r="CC102" s="884"/>
      <c r="CD102" s="884"/>
      <c r="CE102" s="885"/>
      <c r="CF102" s="885" t="str">
        <f>IF($A102="","",IF(#REF!&lt;&gt;0,#REF!-SUM(BT102:CE102),""))</f>
        <v/>
      </c>
      <c r="CG102" s="898" t="str">
        <f>IF(ISBLANK($X102)=FALSE,"NextGenApp Advisory LLC","")</f>
        <v/>
      </c>
      <c r="CH102" s="899" t="str">
        <f>_xlfn.IFNA(INDEX([1]List!AC:AC,MATCH(X102,[1]List!Y:Y,0)),"")</f>
        <v/>
      </c>
      <c r="CI102" s="900"/>
      <c r="CJ102" s="900"/>
      <c r="CK102" s="900"/>
      <c r="CL102" s="900"/>
      <c r="CM102" s="901"/>
      <c r="CN102" s="902"/>
      <c r="CO102" s="903"/>
      <c r="CP102" s="904"/>
      <c r="CQ102" s="892"/>
    </row>
    <row r="103" spans="1:95" x14ac:dyDescent="0.2">
      <c r="A103" s="894"/>
      <c r="B103" s="895"/>
      <c r="C103" s="896"/>
      <c r="D103" s="897"/>
      <c r="E103" s="897"/>
      <c r="F103" s="897"/>
      <c r="G103" s="897"/>
      <c r="H103" s="897"/>
      <c r="I103" s="897"/>
      <c r="J103" s="897"/>
      <c r="K103" s="897"/>
      <c r="L103" s="897"/>
      <c r="M103" s="897"/>
      <c r="N103" s="897"/>
      <c r="O103" s="897"/>
      <c r="P103" s="897"/>
      <c r="Q103" s="897"/>
      <c r="R103" s="897"/>
      <c r="S103" s="897"/>
      <c r="T103" s="897"/>
      <c r="U103" s="895"/>
      <c r="V103" s="852"/>
      <c r="W103" s="853"/>
      <c r="X103" s="853"/>
      <c r="Y103" s="853"/>
      <c r="Z103" s="853"/>
      <c r="AA103" s="853"/>
      <c r="AB103" s="854">
        <f>_xlfn.XLOOKUP(Table17[[#This Row],[Project Delivery Lead]],[1]List!Y:Y,[1]List!AC:AC)</f>
        <v>0</v>
      </c>
      <c r="AC103" s="853" t="str">
        <f>IF($A103="","",'[1]Core Assumptions'!$D123)</f>
        <v/>
      </c>
      <c r="AD103" s="855"/>
      <c r="AE103" s="905"/>
      <c r="AF103" s="857"/>
      <c r="AG103" s="857"/>
      <c r="AH103" s="858"/>
      <c r="AI103" s="858"/>
      <c r="AJ103" s="858"/>
      <c r="AK103" s="858" t="str">
        <f>IF($A103="","",IF('[1]Pricing Summary'!$B$31="T&amp;M","Time and Material","Fixed Fee"))</f>
        <v/>
      </c>
      <c r="AL103" s="856"/>
      <c r="AM103" s="856"/>
      <c r="AN103" s="906" t="str">
        <f>IF($A103="","",'[1]Outputs Recap'!$C$12)</f>
        <v/>
      </c>
      <c r="AO103" s="861" t="str">
        <f>IF($A103="","",VLOOKUP('[1]Outputs Recap'!$C$11,[1]List!$I:$J,2,FALSE))</f>
        <v/>
      </c>
      <c r="AP103" s="856" t="str" cm="1">
        <f t="array" ref="AP103">IF($A103="","",_xlfn.IFS('[1]Pricing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3" s="862" t="str">
        <f>IF($A103="","",_xlfn.XLOOKUP('[1]Core Assumptions'!$D$20,'[1]Other Lookups'!$AH:$AH,'[1]Other Lookups'!$AI:$AI))</f>
        <v/>
      </c>
      <c r="AR103" s="863"/>
      <c r="AS103" s="864" t="str">
        <f>IF($A103="","",'[1]Outputs Recap'!$C$13)</f>
        <v/>
      </c>
      <c r="AT103" s="907"/>
      <c r="AU103" s="907"/>
      <c r="AV103" s="907" t="str">
        <f>IF($A103="","",IFERROR(+Table17[[#This Row],[Total Contract Amount]]*Table17[[#This Row],[First-year, one-time Onboarding/Setup Fee %]],0))</f>
        <v/>
      </c>
      <c r="AW103" s="853"/>
      <c r="AX103" s="867"/>
      <c r="AY103" s="908"/>
      <c r="AZ103" s="909"/>
      <c r="BA103" s="910"/>
      <c r="BB103" s="871"/>
      <c r="BC103" s="871"/>
      <c r="BD103" s="871"/>
      <c r="BE103" s="871"/>
      <c r="BF103" s="871"/>
      <c r="BG103" s="871"/>
      <c r="BH103" s="872"/>
      <c r="BI103" s="874"/>
      <c r="BJ103" s="874"/>
      <c r="BK103" s="874"/>
      <c r="BL103" s="875"/>
      <c r="BM103" s="876"/>
      <c r="BN103" s="911"/>
      <c r="BO103" s="878"/>
      <c r="BP103" s="879"/>
      <c r="BQ103" s="880"/>
      <c r="BR103" s="881"/>
      <c r="BS103" s="882"/>
      <c r="BT103" s="883"/>
      <c r="BU103" s="884"/>
      <c r="BV103" s="884"/>
      <c r="BW103" s="884"/>
      <c r="BX103" s="884"/>
      <c r="BY103" s="884"/>
      <c r="BZ103" s="884"/>
      <c r="CA103" s="884"/>
      <c r="CB103" s="884"/>
      <c r="CC103" s="884"/>
      <c r="CD103" s="884"/>
      <c r="CE103" s="885"/>
      <c r="CF103" s="885" t="str">
        <f>IF($A103="","",IF(#REF!&lt;&gt;0,#REF!-SUM(BT103:CE103),""))</f>
        <v/>
      </c>
      <c r="CG103" s="898" t="str">
        <f>IF(ISBLANK($X103)=FALSE,"NextGenApp Advisory LLC","")</f>
        <v/>
      </c>
      <c r="CH103" s="899" t="str">
        <f>_xlfn.IFNA(INDEX([1]List!AC:AC,MATCH(X103,[1]List!Y:Y,0)),"")</f>
        <v/>
      </c>
      <c r="CI103" s="900"/>
      <c r="CJ103" s="900"/>
      <c r="CK103" s="900"/>
      <c r="CL103" s="900"/>
      <c r="CM103" s="901"/>
      <c r="CN103" s="902"/>
      <c r="CO103" s="903"/>
      <c r="CP103" s="904"/>
      <c r="CQ103" s="892"/>
    </row>
    <row r="104" spans="1:95" x14ac:dyDescent="0.2">
      <c r="A104" s="894"/>
      <c r="B104" s="895"/>
      <c r="C104" s="896"/>
      <c r="D104" s="897"/>
      <c r="E104" s="897"/>
      <c r="F104" s="897"/>
      <c r="G104" s="897"/>
      <c r="H104" s="897"/>
      <c r="I104" s="897"/>
      <c r="J104" s="897"/>
      <c r="K104" s="897"/>
      <c r="L104" s="897"/>
      <c r="M104" s="897"/>
      <c r="N104" s="897"/>
      <c r="O104" s="897"/>
      <c r="P104" s="897"/>
      <c r="Q104" s="897"/>
      <c r="R104" s="897"/>
      <c r="S104" s="897"/>
      <c r="T104" s="897"/>
      <c r="U104" s="895"/>
      <c r="V104" s="852"/>
      <c r="W104" s="853"/>
      <c r="X104" s="853"/>
      <c r="Y104" s="853"/>
      <c r="Z104" s="853"/>
      <c r="AA104" s="853"/>
      <c r="AB104" s="854">
        <f>_xlfn.XLOOKUP(Table17[[#This Row],[Project Delivery Lead]],[1]List!Y:Y,[1]List!AC:AC)</f>
        <v>0</v>
      </c>
      <c r="AC104" s="853" t="str">
        <f>IF($A104="","",'[1]Core Assumptions'!$D124)</f>
        <v/>
      </c>
      <c r="AD104" s="855"/>
      <c r="AE104" s="905"/>
      <c r="AF104" s="857"/>
      <c r="AG104" s="857"/>
      <c r="AH104" s="858"/>
      <c r="AI104" s="858"/>
      <c r="AJ104" s="858"/>
      <c r="AK104" s="858" t="str">
        <f>IF($A104="","",IF('[1]Pricing Summary'!$B$31="T&amp;M","Time and Material","Fixed Fee"))</f>
        <v/>
      </c>
      <c r="AL104" s="856"/>
      <c r="AM104" s="856"/>
      <c r="AN104" s="906" t="str">
        <f>IF($A104="","",'[1]Outputs Recap'!$C$12)</f>
        <v/>
      </c>
      <c r="AO104" s="861" t="str">
        <f>IF($A104="","",VLOOKUP('[1]Outputs Recap'!$C$11,[1]List!$I:$J,2,FALSE))</f>
        <v/>
      </c>
      <c r="AP104" s="856" t="str" cm="1">
        <f t="array" ref="AP104">IF($A104="","",_xlfn.IFS('[1]Pricing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4" s="862" t="str">
        <f>IF($A104="","",_xlfn.XLOOKUP('[1]Core Assumptions'!$D$20,'[1]Other Lookups'!$AH:$AH,'[1]Other Lookups'!$AI:$AI))</f>
        <v/>
      </c>
      <c r="AR104" s="863"/>
      <c r="AS104" s="864" t="str">
        <f>IF($A104="","",'[1]Outputs Recap'!$C$13)</f>
        <v/>
      </c>
      <c r="AT104" s="907"/>
      <c r="AU104" s="907"/>
      <c r="AV104" s="907" t="str">
        <f>IF($A104="","",IFERROR(+Table17[[#This Row],[Total Contract Amount]]*Table17[[#This Row],[First-year, one-time Onboarding/Setup Fee %]],0))</f>
        <v/>
      </c>
      <c r="AW104" s="853"/>
      <c r="AX104" s="867"/>
      <c r="AY104" s="908"/>
      <c r="AZ104" s="909"/>
      <c r="BA104" s="910"/>
      <c r="BB104" s="871"/>
      <c r="BC104" s="871"/>
      <c r="BD104" s="871"/>
      <c r="BE104" s="871"/>
      <c r="BF104" s="871"/>
      <c r="BG104" s="871"/>
      <c r="BH104" s="872"/>
      <c r="BI104" s="874"/>
      <c r="BJ104" s="874"/>
      <c r="BK104" s="874"/>
      <c r="BL104" s="875"/>
      <c r="BM104" s="876"/>
      <c r="BN104" s="911"/>
      <c r="BO104" s="878"/>
      <c r="BP104" s="879"/>
      <c r="BQ104" s="880"/>
      <c r="BR104" s="881"/>
      <c r="BS104" s="882"/>
      <c r="BT104" s="883"/>
      <c r="BU104" s="884"/>
      <c r="BV104" s="884"/>
      <c r="BW104" s="884"/>
      <c r="BX104" s="884"/>
      <c r="BY104" s="884"/>
      <c r="BZ104" s="884"/>
      <c r="CA104" s="884"/>
      <c r="CB104" s="884"/>
      <c r="CC104" s="884"/>
      <c r="CD104" s="884"/>
      <c r="CE104" s="885"/>
      <c r="CF104" s="885" t="str">
        <f>IF($A104="","",IF(#REF!&lt;&gt;0,#REF!-SUM(BT104:CE104),""))</f>
        <v/>
      </c>
      <c r="CG104" s="898" t="str">
        <f>IF(ISBLANK($X104)=FALSE,"NextGenApp Advisory LLC","")</f>
        <v/>
      </c>
      <c r="CH104" s="899" t="str">
        <f>_xlfn.IFNA(INDEX([1]List!AC:AC,MATCH(X104,[1]List!Y:Y,0)),"")</f>
        <v/>
      </c>
      <c r="CI104" s="900"/>
      <c r="CJ104" s="900"/>
      <c r="CK104" s="900"/>
      <c r="CL104" s="900"/>
      <c r="CM104" s="901"/>
      <c r="CN104" s="902"/>
      <c r="CO104" s="903"/>
      <c r="CP104" s="904"/>
      <c r="CQ104" s="892"/>
    </row>
    <row r="105" spans="1:95" x14ac:dyDescent="0.2">
      <c r="A105" s="894"/>
      <c r="B105" s="895"/>
      <c r="C105" s="896"/>
      <c r="D105" s="897"/>
      <c r="E105" s="897"/>
      <c r="F105" s="897"/>
      <c r="G105" s="897"/>
      <c r="H105" s="897"/>
      <c r="I105" s="897"/>
      <c r="J105" s="897"/>
      <c r="K105" s="897"/>
      <c r="L105" s="897"/>
      <c r="M105" s="897"/>
      <c r="N105" s="897"/>
      <c r="O105" s="897"/>
      <c r="P105" s="897"/>
      <c r="Q105" s="897"/>
      <c r="R105" s="897"/>
      <c r="S105" s="897"/>
      <c r="T105" s="897"/>
      <c r="U105" s="895"/>
      <c r="V105" s="852"/>
      <c r="W105" s="853"/>
      <c r="X105" s="853"/>
      <c r="Y105" s="853"/>
      <c r="Z105" s="853"/>
      <c r="AA105" s="853"/>
      <c r="AB105" s="854">
        <f>_xlfn.XLOOKUP(Table17[[#This Row],[Project Delivery Lead]],[1]List!Y:Y,[1]List!AC:AC)</f>
        <v>0</v>
      </c>
      <c r="AC105" s="853" t="str">
        <f>IF($A105="","",'[1]Core Assumptions'!$D125)</f>
        <v/>
      </c>
      <c r="AD105" s="855"/>
      <c r="AE105" s="905"/>
      <c r="AF105" s="857"/>
      <c r="AG105" s="857"/>
      <c r="AH105" s="858"/>
      <c r="AI105" s="858"/>
      <c r="AJ105" s="858"/>
      <c r="AK105" s="858" t="str">
        <f>IF($A105="","",IF('[1]Pricing Summary'!$B$31="T&amp;M","Time and Material","Fixed Fee"))</f>
        <v/>
      </c>
      <c r="AL105" s="856"/>
      <c r="AM105" s="856"/>
      <c r="AN105" s="906" t="str">
        <f>IF($A105="","",'[1]Outputs Recap'!$C$12)</f>
        <v/>
      </c>
      <c r="AO105" s="861" t="str">
        <f>IF($A105="","",VLOOKUP('[1]Outputs Recap'!$C$11,[1]List!$I:$J,2,FALSE))</f>
        <v/>
      </c>
      <c r="AP105" s="856" t="str" cm="1">
        <f t="array" ref="AP105">IF($A105="","",_xlfn.IFS('[1]Pricing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5" s="862" t="str">
        <f>IF($A105="","",_xlfn.XLOOKUP('[1]Core Assumptions'!$D$20,'[1]Other Lookups'!$AH:$AH,'[1]Other Lookups'!$AI:$AI))</f>
        <v/>
      </c>
      <c r="AR105" s="863"/>
      <c r="AS105" s="864" t="str">
        <f>IF($A105="","",'[1]Outputs Recap'!$C$13)</f>
        <v/>
      </c>
      <c r="AT105" s="907"/>
      <c r="AU105" s="907"/>
      <c r="AV105" s="907" t="str">
        <f>IF($A105="","",IFERROR(+Table17[[#This Row],[Total Contract Amount]]*Table17[[#This Row],[First-year, one-time Onboarding/Setup Fee %]],0))</f>
        <v/>
      </c>
      <c r="AW105" s="853"/>
      <c r="AX105" s="867"/>
      <c r="AY105" s="908"/>
      <c r="AZ105" s="909"/>
      <c r="BA105" s="910"/>
      <c r="BB105" s="871"/>
      <c r="BC105" s="871"/>
      <c r="BD105" s="871"/>
      <c r="BE105" s="871"/>
      <c r="BF105" s="871"/>
      <c r="BG105" s="871"/>
      <c r="BH105" s="872"/>
      <c r="BI105" s="874"/>
      <c r="BJ105" s="874"/>
      <c r="BK105" s="874"/>
      <c r="BL105" s="875"/>
      <c r="BM105" s="876"/>
      <c r="BN105" s="911"/>
      <c r="BO105" s="878"/>
      <c r="BP105" s="879"/>
      <c r="BQ105" s="880"/>
      <c r="BR105" s="881"/>
      <c r="BS105" s="882"/>
      <c r="BT105" s="883"/>
      <c r="BU105" s="884"/>
      <c r="BV105" s="884"/>
      <c r="BW105" s="884"/>
      <c r="BX105" s="884"/>
      <c r="BY105" s="884"/>
      <c r="BZ105" s="884"/>
      <c r="CA105" s="884"/>
      <c r="CB105" s="884"/>
      <c r="CC105" s="884"/>
      <c r="CD105" s="884"/>
      <c r="CE105" s="885"/>
      <c r="CF105" s="885" t="str">
        <f>IF($A105="","",IF(#REF!&lt;&gt;0,#REF!-SUM(BT105:CE105),""))</f>
        <v/>
      </c>
      <c r="CG105" s="898" t="str">
        <f>IF(ISBLANK($X105)=FALSE,"NextGenApp Advisory LLC","")</f>
        <v/>
      </c>
      <c r="CH105" s="899" t="str">
        <f>_xlfn.IFNA(INDEX([1]List!AC:AC,MATCH(X105,[1]List!Y:Y,0)),"")</f>
        <v/>
      </c>
      <c r="CI105" s="900"/>
      <c r="CJ105" s="900"/>
      <c r="CK105" s="900"/>
      <c r="CL105" s="900"/>
      <c r="CM105" s="901"/>
      <c r="CN105" s="902"/>
      <c r="CO105" s="903"/>
      <c r="CP105" s="904"/>
      <c r="CQ105" s="892"/>
    </row>
    <row r="106" spans="1:95" x14ac:dyDescent="0.2">
      <c r="A106" s="894"/>
      <c r="B106" s="895"/>
      <c r="C106" s="896"/>
      <c r="D106" s="897"/>
      <c r="E106" s="897"/>
      <c r="F106" s="897"/>
      <c r="G106" s="897"/>
      <c r="H106" s="897"/>
      <c r="I106" s="897"/>
      <c r="J106" s="897"/>
      <c r="K106" s="897"/>
      <c r="L106" s="897"/>
      <c r="M106" s="897"/>
      <c r="N106" s="897"/>
      <c r="O106" s="897"/>
      <c r="P106" s="897"/>
      <c r="Q106" s="897"/>
      <c r="R106" s="897"/>
      <c r="S106" s="897"/>
      <c r="T106" s="897"/>
      <c r="U106" s="895"/>
      <c r="V106" s="852"/>
      <c r="W106" s="853"/>
      <c r="X106" s="853"/>
      <c r="Y106" s="853"/>
      <c r="Z106" s="853"/>
      <c r="AA106" s="853"/>
      <c r="AB106" s="854">
        <f>_xlfn.XLOOKUP(Table17[[#This Row],[Project Delivery Lead]],[1]List!Y:Y,[1]List!AC:AC)</f>
        <v>0</v>
      </c>
      <c r="AC106" s="853" t="str">
        <f>IF($A106="","",'[1]Core Assumptions'!$D126)</f>
        <v/>
      </c>
      <c r="AD106" s="855"/>
      <c r="AE106" s="905"/>
      <c r="AF106" s="857"/>
      <c r="AG106" s="857"/>
      <c r="AH106" s="858"/>
      <c r="AI106" s="858"/>
      <c r="AJ106" s="858"/>
      <c r="AK106" s="858" t="str">
        <f>IF($A106="","",IF('[1]Pricing Summary'!$B$31="T&amp;M","Time and Material","Fixed Fee"))</f>
        <v/>
      </c>
      <c r="AL106" s="856"/>
      <c r="AM106" s="856"/>
      <c r="AN106" s="906" t="str">
        <f>IF($A106="","",'[1]Outputs Recap'!$C$12)</f>
        <v/>
      </c>
      <c r="AO106" s="861" t="str">
        <f>IF($A106="","",VLOOKUP('[1]Outputs Recap'!$C$11,[1]List!$I:$J,2,FALSE))</f>
        <v/>
      </c>
      <c r="AP106" s="856" t="str" cm="1">
        <f t="array" ref="AP106">IF($A106="","",_xlfn.IFS('[1]Pricing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6" s="862" t="str">
        <f>IF($A106="","",_xlfn.XLOOKUP('[1]Core Assumptions'!$D$20,'[1]Other Lookups'!$AH:$AH,'[1]Other Lookups'!$AI:$AI))</f>
        <v/>
      </c>
      <c r="AR106" s="863"/>
      <c r="AS106" s="864" t="str">
        <f>IF($A106="","",'[1]Outputs Recap'!$C$13)</f>
        <v/>
      </c>
      <c r="AT106" s="907"/>
      <c r="AU106" s="907"/>
      <c r="AV106" s="907" t="str">
        <f>IF($A106="","",IFERROR(+Table17[[#This Row],[Total Contract Amount]]*Table17[[#This Row],[First-year, one-time Onboarding/Setup Fee %]],0))</f>
        <v/>
      </c>
      <c r="AW106" s="853"/>
      <c r="AX106" s="867"/>
      <c r="AY106" s="908"/>
      <c r="AZ106" s="909"/>
      <c r="BA106" s="910"/>
      <c r="BB106" s="871"/>
      <c r="BC106" s="871"/>
      <c r="BD106" s="871"/>
      <c r="BE106" s="871"/>
      <c r="BF106" s="871"/>
      <c r="BG106" s="871"/>
      <c r="BH106" s="872"/>
      <c r="BI106" s="874"/>
      <c r="BJ106" s="874"/>
      <c r="BK106" s="874"/>
      <c r="BL106" s="875"/>
      <c r="BM106" s="876"/>
      <c r="BN106" s="911"/>
      <c r="BO106" s="878"/>
      <c r="BP106" s="879"/>
      <c r="BQ106" s="880"/>
      <c r="BR106" s="881"/>
      <c r="BS106" s="882"/>
      <c r="BT106" s="883"/>
      <c r="BU106" s="884"/>
      <c r="BV106" s="884"/>
      <c r="BW106" s="884"/>
      <c r="BX106" s="884"/>
      <c r="BY106" s="884"/>
      <c r="BZ106" s="884"/>
      <c r="CA106" s="884"/>
      <c r="CB106" s="884"/>
      <c r="CC106" s="884"/>
      <c r="CD106" s="884"/>
      <c r="CE106" s="885"/>
      <c r="CF106" s="885" t="str">
        <f>IF($A106="","",IF(#REF!&lt;&gt;0,#REF!-SUM(BT106:CE106),""))</f>
        <v/>
      </c>
      <c r="CG106" s="898" t="str">
        <f>IF(ISBLANK($X106)=FALSE,"NextGenApp Advisory LLC","")</f>
        <v/>
      </c>
      <c r="CH106" s="899" t="str">
        <f>_xlfn.IFNA(INDEX([1]List!AC:AC,MATCH(X106,[1]List!Y:Y,0)),"")</f>
        <v/>
      </c>
      <c r="CI106" s="900"/>
      <c r="CJ106" s="900"/>
      <c r="CK106" s="900"/>
      <c r="CL106" s="900"/>
      <c r="CM106" s="901"/>
      <c r="CN106" s="902"/>
      <c r="CO106" s="903"/>
      <c r="CP106" s="904"/>
      <c r="CQ106" s="892"/>
    </row>
    <row r="107" spans="1:95" x14ac:dyDescent="0.2">
      <c r="A107" s="894"/>
      <c r="B107" s="895"/>
      <c r="C107" s="896"/>
      <c r="D107" s="897"/>
      <c r="E107" s="897"/>
      <c r="F107" s="897"/>
      <c r="G107" s="897"/>
      <c r="H107" s="897"/>
      <c r="I107" s="897"/>
      <c r="J107" s="897"/>
      <c r="K107" s="897"/>
      <c r="L107" s="897"/>
      <c r="M107" s="897"/>
      <c r="N107" s="897"/>
      <c r="O107" s="897"/>
      <c r="P107" s="897"/>
      <c r="Q107" s="897"/>
      <c r="R107" s="897"/>
      <c r="S107" s="897"/>
      <c r="T107" s="897"/>
      <c r="U107" s="895"/>
      <c r="V107" s="852"/>
      <c r="W107" s="853"/>
      <c r="X107" s="853"/>
      <c r="Y107" s="853"/>
      <c r="Z107" s="853"/>
      <c r="AA107" s="853"/>
      <c r="AB107" s="854">
        <f>_xlfn.XLOOKUP(Table17[[#This Row],[Project Delivery Lead]],[1]List!Y:Y,[1]List!AC:AC)</f>
        <v>0</v>
      </c>
      <c r="AC107" s="853" t="str">
        <f>IF($A107="","",'[1]Core Assumptions'!$D127)</f>
        <v/>
      </c>
      <c r="AD107" s="855"/>
      <c r="AE107" s="905"/>
      <c r="AF107" s="857"/>
      <c r="AG107" s="857"/>
      <c r="AH107" s="858"/>
      <c r="AI107" s="858"/>
      <c r="AJ107" s="858"/>
      <c r="AK107" s="858" t="str">
        <f>IF($A107="","",IF('[1]Pricing Summary'!$B$31="T&amp;M","Time and Material","Fixed Fee"))</f>
        <v/>
      </c>
      <c r="AL107" s="856"/>
      <c r="AM107" s="856"/>
      <c r="AN107" s="906" t="str">
        <f>IF($A107="","",'[1]Outputs Recap'!$C$12)</f>
        <v/>
      </c>
      <c r="AO107" s="861" t="str">
        <f>IF($A107="","",VLOOKUP('[1]Outputs Recap'!$C$11,[1]List!$I:$J,2,FALSE))</f>
        <v/>
      </c>
      <c r="AP107" s="856" t="str" cm="1">
        <f t="array" ref="AP107">IF($A107="","",_xlfn.IFS('[1]Pricing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7" s="862" t="str">
        <f>IF($A107="","",_xlfn.XLOOKUP('[1]Core Assumptions'!$D$20,'[1]Other Lookups'!$AH:$AH,'[1]Other Lookups'!$AI:$AI))</f>
        <v/>
      </c>
      <c r="AR107" s="863"/>
      <c r="AS107" s="864" t="str">
        <f>IF($A107="","",'[1]Outputs Recap'!$C$13)</f>
        <v/>
      </c>
      <c r="AT107" s="907"/>
      <c r="AU107" s="907"/>
      <c r="AV107" s="907" t="str">
        <f>IF($A107="","",IFERROR(+Table17[[#This Row],[Total Contract Amount]]*Table17[[#This Row],[First-year, one-time Onboarding/Setup Fee %]],0))</f>
        <v/>
      </c>
      <c r="AW107" s="853"/>
      <c r="AX107" s="867"/>
      <c r="AY107" s="908"/>
      <c r="AZ107" s="909"/>
      <c r="BA107" s="910"/>
      <c r="BB107" s="871"/>
      <c r="BC107" s="871"/>
      <c r="BD107" s="871"/>
      <c r="BE107" s="871"/>
      <c r="BF107" s="871"/>
      <c r="BG107" s="871"/>
      <c r="BH107" s="872"/>
      <c r="BI107" s="874"/>
      <c r="BJ107" s="874"/>
      <c r="BK107" s="874"/>
      <c r="BL107" s="875"/>
      <c r="BM107" s="876"/>
      <c r="BN107" s="911"/>
      <c r="BO107" s="878"/>
      <c r="BP107" s="879"/>
      <c r="BQ107" s="880"/>
      <c r="BR107" s="881"/>
      <c r="BS107" s="882"/>
      <c r="BT107" s="883"/>
      <c r="BU107" s="884"/>
      <c r="BV107" s="884"/>
      <c r="BW107" s="884"/>
      <c r="BX107" s="884"/>
      <c r="BY107" s="884"/>
      <c r="BZ107" s="884"/>
      <c r="CA107" s="884"/>
      <c r="CB107" s="884"/>
      <c r="CC107" s="884"/>
      <c r="CD107" s="884"/>
      <c r="CE107" s="885"/>
      <c r="CF107" s="885" t="str">
        <f>IF($A107="","",IF(#REF!&lt;&gt;0,#REF!-SUM(BT107:CE107),""))</f>
        <v/>
      </c>
      <c r="CG107" s="898" t="str">
        <f>IF(ISBLANK($X107)=FALSE,"NextGenApp Advisory LLC","")</f>
        <v/>
      </c>
      <c r="CH107" s="899" t="str">
        <f>_xlfn.IFNA(INDEX([1]List!AC:AC,MATCH(X107,[1]List!Y:Y,0)),"")</f>
        <v/>
      </c>
      <c r="CI107" s="900"/>
      <c r="CJ107" s="900"/>
      <c r="CK107" s="900"/>
      <c r="CL107" s="900"/>
      <c r="CM107" s="901"/>
      <c r="CN107" s="902"/>
      <c r="CO107" s="903"/>
      <c r="CP107" s="904"/>
      <c r="CQ107" s="892"/>
    </row>
    <row r="108" spans="1:95" x14ac:dyDescent="0.2">
      <c r="A108" s="894"/>
      <c r="B108" s="895"/>
      <c r="C108" s="896"/>
      <c r="D108" s="897"/>
      <c r="E108" s="897"/>
      <c r="F108" s="897"/>
      <c r="G108" s="897"/>
      <c r="H108" s="897"/>
      <c r="I108" s="897"/>
      <c r="J108" s="897"/>
      <c r="K108" s="897"/>
      <c r="L108" s="897"/>
      <c r="M108" s="897"/>
      <c r="N108" s="897"/>
      <c r="O108" s="897"/>
      <c r="P108" s="897"/>
      <c r="Q108" s="897"/>
      <c r="R108" s="897"/>
      <c r="S108" s="897"/>
      <c r="T108" s="897"/>
      <c r="U108" s="895"/>
      <c r="V108" s="852"/>
      <c r="W108" s="853"/>
      <c r="X108" s="853"/>
      <c r="Y108" s="853"/>
      <c r="Z108" s="853"/>
      <c r="AA108" s="853"/>
      <c r="AB108" s="854">
        <f>_xlfn.XLOOKUP(Table17[[#This Row],[Project Delivery Lead]],[1]List!Y:Y,[1]List!AC:AC)</f>
        <v>0</v>
      </c>
      <c r="AC108" s="853" t="str">
        <f>IF($A108="","",'[1]Core Assumptions'!$D128)</f>
        <v/>
      </c>
      <c r="AD108" s="855"/>
      <c r="AE108" s="905"/>
      <c r="AF108" s="857"/>
      <c r="AG108" s="857"/>
      <c r="AH108" s="858"/>
      <c r="AI108" s="858"/>
      <c r="AJ108" s="858"/>
      <c r="AK108" s="858" t="str">
        <f>IF($A108="","",IF('[1]Pricing Summary'!$B$31="T&amp;M","Time and Material","Fixed Fee"))</f>
        <v/>
      </c>
      <c r="AL108" s="856"/>
      <c r="AM108" s="856"/>
      <c r="AN108" s="906" t="str">
        <f>IF($A108="","",'[1]Outputs Recap'!$C$12)</f>
        <v/>
      </c>
      <c r="AO108" s="861" t="str">
        <f>IF($A108="","",VLOOKUP('[1]Outputs Recap'!$C$11,[1]List!$I:$J,2,FALSE))</f>
        <v/>
      </c>
      <c r="AP108" s="856" t="str" cm="1">
        <f t="array" ref="AP108">IF($A108="","",_xlfn.IFS('[1]Pricing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8" s="862" t="str">
        <f>IF($A108="","",_xlfn.XLOOKUP('[1]Core Assumptions'!$D$20,'[1]Other Lookups'!$AH:$AH,'[1]Other Lookups'!$AI:$AI))</f>
        <v/>
      </c>
      <c r="AR108" s="863"/>
      <c r="AS108" s="864" t="str">
        <f>IF($A108="","",'[1]Outputs Recap'!$C$13)</f>
        <v/>
      </c>
      <c r="AT108" s="907"/>
      <c r="AU108" s="907"/>
      <c r="AV108" s="907" t="str">
        <f>IF($A108="","",IFERROR(+Table17[[#This Row],[Total Contract Amount]]*Table17[[#This Row],[First-year, one-time Onboarding/Setup Fee %]],0))</f>
        <v/>
      </c>
      <c r="AW108" s="853"/>
      <c r="AX108" s="867"/>
      <c r="AY108" s="908"/>
      <c r="AZ108" s="909"/>
      <c r="BA108" s="910"/>
      <c r="BB108" s="871"/>
      <c r="BC108" s="871"/>
      <c r="BD108" s="871"/>
      <c r="BE108" s="871"/>
      <c r="BF108" s="871"/>
      <c r="BG108" s="871"/>
      <c r="BH108" s="872"/>
      <c r="BI108" s="874"/>
      <c r="BJ108" s="874"/>
      <c r="BK108" s="874"/>
      <c r="BL108" s="875"/>
      <c r="BM108" s="876"/>
      <c r="BN108" s="911"/>
      <c r="BO108" s="878"/>
      <c r="BP108" s="879"/>
      <c r="BQ108" s="880"/>
      <c r="BR108" s="881"/>
      <c r="BS108" s="882"/>
      <c r="BT108" s="883"/>
      <c r="BU108" s="884"/>
      <c r="BV108" s="884"/>
      <c r="BW108" s="884"/>
      <c r="BX108" s="884"/>
      <c r="BY108" s="884"/>
      <c r="BZ108" s="884"/>
      <c r="CA108" s="884"/>
      <c r="CB108" s="884"/>
      <c r="CC108" s="884"/>
      <c r="CD108" s="884"/>
      <c r="CE108" s="885"/>
      <c r="CF108" s="885" t="str">
        <f>IF($A108="","",IF(#REF!&lt;&gt;0,#REF!-SUM(BT108:CE108),""))</f>
        <v/>
      </c>
      <c r="CG108" s="898" t="str">
        <f>IF(ISBLANK($X108)=FALSE,"NextGenApp Advisory LLC","")</f>
        <v/>
      </c>
      <c r="CH108" s="899" t="str">
        <f>_xlfn.IFNA(INDEX([1]List!AC:AC,MATCH(X108,[1]List!Y:Y,0)),"")</f>
        <v/>
      </c>
      <c r="CI108" s="900"/>
      <c r="CJ108" s="900"/>
      <c r="CK108" s="900"/>
      <c r="CL108" s="900"/>
      <c r="CM108" s="901"/>
      <c r="CN108" s="902"/>
      <c r="CO108" s="903"/>
      <c r="CP108" s="904"/>
      <c r="CQ108" s="892"/>
    </row>
    <row r="109" spans="1:95" x14ac:dyDescent="0.2">
      <c r="A109" s="894"/>
      <c r="B109" s="895"/>
      <c r="C109" s="896"/>
      <c r="D109" s="897"/>
      <c r="E109" s="897"/>
      <c r="F109" s="897"/>
      <c r="G109" s="897"/>
      <c r="H109" s="897"/>
      <c r="I109" s="897"/>
      <c r="J109" s="897"/>
      <c r="K109" s="897"/>
      <c r="L109" s="897"/>
      <c r="M109" s="897"/>
      <c r="N109" s="897"/>
      <c r="O109" s="897"/>
      <c r="P109" s="897"/>
      <c r="Q109" s="897"/>
      <c r="R109" s="897"/>
      <c r="S109" s="897"/>
      <c r="T109" s="897"/>
      <c r="U109" s="895"/>
      <c r="V109" s="852"/>
      <c r="W109" s="853"/>
      <c r="X109" s="853"/>
      <c r="Y109" s="853"/>
      <c r="Z109" s="853"/>
      <c r="AA109" s="853"/>
      <c r="AB109" s="854">
        <f>_xlfn.XLOOKUP(Table17[[#This Row],[Project Delivery Lead]],[1]List!Y:Y,[1]List!AC:AC)</f>
        <v>0</v>
      </c>
      <c r="AC109" s="853" t="str">
        <f>IF($A109="","",'[1]Core Assumptions'!$D129)</f>
        <v/>
      </c>
      <c r="AD109" s="855"/>
      <c r="AE109" s="905"/>
      <c r="AF109" s="857"/>
      <c r="AG109" s="857"/>
      <c r="AH109" s="858"/>
      <c r="AI109" s="858"/>
      <c r="AJ109" s="858"/>
      <c r="AK109" s="858" t="str">
        <f>IF($A109="","",IF('[1]Pricing Summary'!$B$31="T&amp;M","Time and Material","Fixed Fee"))</f>
        <v/>
      </c>
      <c r="AL109" s="856"/>
      <c r="AM109" s="856"/>
      <c r="AN109" s="906" t="str">
        <f>IF($A109="","",'[1]Outputs Recap'!$C$12)</f>
        <v/>
      </c>
      <c r="AO109" s="861" t="str">
        <f>IF($A109="","",VLOOKUP('[1]Outputs Recap'!$C$11,[1]List!$I:$J,2,FALSE))</f>
        <v/>
      </c>
      <c r="AP109" s="856" t="str" cm="1">
        <f t="array" ref="AP109">IF($A109="","",_xlfn.IFS('[1]Pricing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09" s="862" t="str">
        <f>IF($A109="","",_xlfn.XLOOKUP('[1]Core Assumptions'!$D$20,'[1]Other Lookups'!$AH:$AH,'[1]Other Lookups'!$AI:$AI))</f>
        <v/>
      </c>
      <c r="AR109" s="863"/>
      <c r="AS109" s="864" t="str">
        <f>IF($A109="","",'[1]Outputs Recap'!$C$13)</f>
        <v/>
      </c>
      <c r="AT109" s="907"/>
      <c r="AU109" s="907"/>
      <c r="AV109" s="907" t="str">
        <f>IF($A109="","",IFERROR(+Table17[[#This Row],[Total Contract Amount]]*Table17[[#This Row],[First-year, one-time Onboarding/Setup Fee %]],0))</f>
        <v/>
      </c>
      <c r="AW109" s="853"/>
      <c r="AX109" s="867"/>
      <c r="AY109" s="908"/>
      <c r="AZ109" s="909"/>
      <c r="BA109" s="910"/>
      <c r="BB109" s="871"/>
      <c r="BC109" s="871"/>
      <c r="BD109" s="871"/>
      <c r="BE109" s="871"/>
      <c r="BF109" s="871"/>
      <c r="BG109" s="871"/>
      <c r="BH109" s="872"/>
      <c r="BI109" s="874"/>
      <c r="BJ109" s="874"/>
      <c r="BK109" s="874"/>
      <c r="BL109" s="875"/>
      <c r="BM109" s="876"/>
      <c r="BN109" s="911"/>
      <c r="BO109" s="878"/>
      <c r="BP109" s="879"/>
      <c r="BQ109" s="880"/>
      <c r="BR109" s="881"/>
      <c r="BS109" s="882"/>
      <c r="BT109" s="883"/>
      <c r="BU109" s="884"/>
      <c r="BV109" s="884"/>
      <c r="BW109" s="884"/>
      <c r="BX109" s="884"/>
      <c r="BY109" s="884"/>
      <c r="BZ109" s="884"/>
      <c r="CA109" s="884"/>
      <c r="CB109" s="884"/>
      <c r="CC109" s="884"/>
      <c r="CD109" s="884"/>
      <c r="CE109" s="885"/>
      <c r="CF109" s="885" t="str">
        <f>IF($A109="","",IF(#REF!&lt;&gt;0,#REF!-SUM(BT109:CE109),""))</f>
        <v/>
      </c>
      <c r="CG109" s="898" t="str">
        <f>IF(ISBLANK($X109)=FALSE,"NextGenApp Advisory LLC","")</f>
        <v/>
      </c>
      <c r="CH109" s="899" t="str">
        <f>_xlfn.IFNA(INDEX([1]List!AC:AC,MATCH(X109,[1]List!Y:Y,0)),"")</f>
        <v/>
      </c>
      <c r="CI109" s="900"/>
      <c r="CJ109" s="900"/>
      <c r="CK109" s="900"/>
      <c r="CL109" s="900"/>
      <c r="CM109" s="901"/>
      <c r="CN109" s="902"/>
      <c r="CO109" s="903"/>
      <c r="CP109" s="904"/>
      <c r="CQ109" s="892"/>
    </row>
    <row r="110" spans="1:95" x14ac:dyDescent="0.2">
      <c r="A110" s="894"/>
      <c r="B110" s="895"/>
      <c r="C110" s="896"/>
      <c r="D110" s="897"/>
      <c r="E110" s="897"/>
      <c r="F110" s="897"/>
      <c r="G110" s="897"/>
      <c r="H110" s="897"/>
      <c r="I110" s="897"/>
      <c r="J110" s="897"/>
      <c r="K110" s="897"/>
      <c r="L110" s="897"/>
      <c r="M110" s="897"/>
      <c r="N110" s="897"/>
      <c r="O110" s="897"/>
      <c r="P110" s="897"/>
      <c r="Q110" s="897"/>
      <c r="R110" s="897"/>
      <c r="S110" s="897"/>
      <c r="T110" s="897"/>
      <c r="U110" s="895"/>
      <c r="V110" s="852"/>
      <c r="W110" s="853"/>
      <c r="X110" s="853"/>
      <c r="Y110" s="853"/>
      <c r="Z110" s="853"/>
      <c r="AA110" s="853"/>
      <c r="AB110" s="854">
        <f>_xlfn.XLOOKUP(Table17[[#This Row],[Project Delivery Lead]],[1]List!Y:Y,[1]List!AC:AC)</f>
        <v>0</v>
      </c>
      <c r="AC110" s="853" t="str">
        <f>IF($A110="","",'[1]Core Assumptions'!$D130)</f>
        <v/>
      </c>
      <c r="AD110" s="855"/>
      <c r="AE110" s="905"/>
      <c r="AF110" s="857"/>
      <c r="AG110" s="857"/>
      <c r="AH110" s="858"/>
      <c r="AI110" s="858"/>
      <c r="AJ110" s="858"/>
      <c r="AK110" s="858" t="str">
        <f>IF($A110="","",IF('[1]Pricing Summary'!$B$31="T&amp;M","Time and Material","Fixed Fee"))</f>
        <v/>
      </c>
      <c r="AL110" s="856"/>
      <c r="AM110" s="856"/>
      <c r="AN110" s="906" t="str">
        <f>IF($A110="","",'[1]Outputs Recap'!$C$12)</f>
        <v/>
      </c>
      <c r="AO110" s="861" t="str">
        <f>IF($A110="","",VLOOKUP('[1]Outputs Recap'!$C$11,[1]List!$I:$J,2,FALSE))</f>
        <v/>
      </c>
      <c r="AP110" s="856" t="str" cm="1">
        <f t="array" ref="AP110">IF($A110="","",_xlfn.IFS('[1]Pricing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0" s="862" t="str">
        <f>IF($A110="","",_xlfn.XLOOKUP('[1]Core Assumptions'!$D$20,'[1]Other Lookups'!$AH:$AH,'[1]Other Lookups'!$AI:$AI))</f>
        <v/>
      </c>
      <c r="AR110" s="863"/>
      <c r="AS110" s="864" t="str">
        <f>IF($A110="","",'[1]Outputs Recap'!$C$13)</f>
        <v/>
      </c>
      <c r="AT110" s="907"/>
      <c r="AU110" s="907"/>
      <c r="AV110" s="907" t="str">
        <f>IF($A110="","",IFERROR(+Table17[[#This Row],[Total Contract Amount]]*Table17[[#This Row],[First-year, one-time Onboarding/Setup Fee %]],0))</f>
        <v/>
      </c>
      <c r="AW110" s="853"/>
      <c r="AX110" s="867"/>
      <c r="AY110" s="908"/>
      <c r="AZ110" s="909"/>
      <c r="BA110" s="910"/>
      <c r="BB110" s="871"/>
      <c r="BC110" s="871"/>
      <c r="BD110" s="871"/>
      <c r="BE110" s="871"/>
      <c r="BF110" s="871"/>
      <c r="BG110" s="871"/>
      <c r="BH110" s="872"/>
      <c r="BI110" s="874"/>
      <c r="BJ110" s="874"/>
      <c r="BK110" s="874"/>
      <c r="BL110" s="875"/>
      <c r="BM110" s="876"/>
      <c r="BN110" s="911"/>
      <c r="BO110" s="878"/>
      <c r="BP110" s="879"/>
      <c r="BQ110" s="880"/>
      <c r="BR110" s="881"/>
      <c r="BS110" s="882"/>
      <c r="BT110" s="883"/>
      <c r="BU110" s="884"/>
      <c r="BV110" s="884"/>
      <c r="BW110" s="884"/>
      <c r="BX110" s="884"/>
      <c r="BY110" s="884"/>
      <c r="BZ110" s="884"/>
      <c r="CA110" s="884"/>
      <c r="CB110" s="884"/>
      <c r="CC110" s="884"/>
      <c r="CD110" s="884"/>
      <c r="CE110" s="885"/>
      <c r="CF110" s="885" t="str">
        <f>IF($A110="","",IF(#REF!&lt;&gt;0,#REF!-SUM(BT110:CE110),""))</f>
        <v/>
      </c>
      <c r="CG110" s="898" t="str">
        <f>IF(ISBLANK($X110)=FALSE,"NextGenApp Advisory LLC","")</f>
        <v/>
      </c>
      <c r="CH110" s="899" t="str">
        <f>_xlfn.IFNA(INDEX([1]List!AC:AC,MATCH(X110,[1]List!Y:Y,0)),"")</f>
        <v/>
      </c>
      <c r="CI110" s="900"/>
      <c r="CJ110" s="900"/>
      <c r="CK110" s="900"/>
      <c r="CL110" s="900"/>
      <c r="CM110" s="901"/>
      <c r="CN110" s="902"/>
      <c r="CO110" s="903"/>
      <c r="CP110" s="904"/>
      <c r="CQ110" s="892"/>
    </row>
    <row r="111" spans="1:95" x14ac:dyDescent="0.2">
      <c r="A111" s="894"/>
      <c r="B111" s="895"/>
      <c r="C111" s="896"/>
      <c r="D111" s="897"/>
      <c r="E111" s="897"/>
      <c r="F111" s="897"/>
      <c r="G111" s="897"/>
      <c r="H111" s="897"/>
      <c r="I111" s="897"/>
      <c r="J111" s="897"/>
      <c r="K111" s="897"/>
      <c r="L111" s="897"/>
      <c r="M111" s="897"/>
      <c r="N111" s="897"/>
      <c r="O111" s="897"/>
      <c r="P111" s="897"/>
      <c r="Q111" s="897"/>
      <c r="R111" s="897"/>
      <c r="S111" s="897"/>
      <c r="T111" s="897"/>
      <c r="U111" s="895"/>
      <c r="V111" s="852"/>
      <c r="W111" s="853"/>
      <c r="X111" s="853"/>
      <c r="Y111" s="853"/>
      <c r="Z111" s="853"/>
      <c r="AA111" s="853"/>
      <c r="AB111" s="854">
        <f>_xlfn.XLOOKUP(Table17[[#This Row],[Project Delivery Lead]],[1]List!Y:Y,[1]List!AC:AC)</f>
        <v>0</v>
      </c>
      <c r="AC111" s="853" t="str">
        <f>IF($A111="","",'[1]Core Assumptions'!$D131)</f>
        <v/>
      </c>
      <c r="AD111" s="855"/>
      <c r="AE111" s="905"/>
      <c r="AF111" s="857"/>
      <c r="AG111" s="857"/>
      <c r="AH111" s="858"/>
      <c r="AI111" s="858"/>
      <c r="AJ111" s="858"/>
      <c r="AK111" s="858" t="str">
        <f>IF($A111="","",IF('[1]Pricing Summary'!$B$31="T&amp;M","Time and Material","Fixed Fee"))</f>
        <v/>
      </c>
      <c r="AL111" s="856"/>
      <c r="AM111" s="856"/>
      <c r="AN111" s="906" t="str">
        <f>IF($A111="","",'[1]Outputs Recap'!$C$12)</f>
        <v/>
      </c>
      <c r="AO111" s="861" t="str">
        <f>IF($A111="","",VLOOKUP('[1]Outputs Recap'!$C$11,[1]List!$I:$J,2,FALSE))</f>
        <v/>
      </c>
      <c r="AP111" s="856" t="str" cm="1">
        <f t="array" ref="AP111">IF($A111="","",_xlfn.IFS('[1]Pricing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1" s="862" t="str">
        <f>IF($A111="","",_xlfn.XLOOKUP('[1]Core Assumptions'!$D$20,'[1]Other Lookups'!$AH:$AH,'[1]Other Lookups'!$AI:$AI))</f>
        <v/>
      </c>
      <c r="AR111" s="863"/>
      <c r="AS111" s="864" t="str">
        <f>IF($A111="","",'[1]Outputs Recap'!$C$13)</f>
        <v/>
      </c>
      <c r="AT111" s="907"/>
      <c r="AU111" s="907"/>
      <c r="AV111" s="907" t="str">
        <f>IF($A111="","",IFERROR(+Table17[[#This Row],[Total Contract Amount]]*Table17[[#This Row],[First-year, one-time Onboarding/Setup Fee %]],0))</f>
        <v/>
      </c>
      <c r="AW111" s="853"/>
      <c r="AX111" s="867"/>
      <c r="AY111" s="908"/>
      <c r="AZ111" s="909"/>
      <c r="BA111" s="910"/>
      <c r="BB111" s="871"/>
      <c r="BC111" s="871"/>
      <c r="BD111" s="871"/>
      <c r="BE111" s="871"/>
      <c r="BF111" s="871"/>
      <c r="BG111" s="871"/>
      <c r="BH111" s="872"/>
      <c r="BI111" s="874"/>
      <c r="BJ111" s="874"/>
      <c r="BK111" s="874"/>
      <c r="BL111" s="875"/>
      <c r="BM111" s="876"/>
      <c r="BN111" s="911"/>
      <c r="BO111" s="878"/>
      <c r="BP111" s="879"/>
      <c r="BQ111" s="880"/>
      <c r="BR111" s="881"/>
      <c r="BS111" s="882"/>
      <c r="BT111" s="883"/>
      <c r="BU111" s="884"/>
      <c r="BV111" s="884"/>
      <c r="BW111" s="884"/>
      <c r="BX111" s="884"/>
      <c r="BY111" s="884"/>
      <c r="BZ111" s="884"/>
      <c r="CA111" s="884"/>
      <c r="CB111" s="884"/>
      <c r="CC111" s="884"/>
      <c r="CD111" s="884"/>
      <c r="CE111" s="885"/>
      <c r="CF111" s="885" t="str">
        <f>IF($A111="","",IF(#REF!&lt;&gt;0,#REF!-SUM(BT111:CE111),""))</f>
        <v/>
      </c>
      <c r="CG111" s="898" t="str">
        <f>IF(ISBLANK($X111)=FALSE,"NextGenApp Advisory LLC","")</f>
        <v/>
      </c>
      <c r="CH111" s="899" t="str">
        <f>_xlfn.IFNA(INDEX([1]List!AC:AC,MATCH(X111,[1]List!Y:Y,0)),"")</f>
        <v/>
      </c>
      <c r="CI111" s="900"/>
      <c r="CJ111" s="900"/>
      <c r="CK111" s="900"/>
      <c r="CL111" s="900"/>
      <c r="CM111" s="901"/>
      <c r="CN111" s="902"/>
      <c r="CO111" s="903"/>
      <c r="CP111" s="904"/>
      <c r="CQ111" s="892"/>
    </row>
    <row r="112" spans="1:95" x14ac:dyDescent="0.2">
      <c r="A112" s="894"/>
      <c r="B112" s="895"/>
      <c r="C112" s="896"/>
      <c r="D112" s="897"/>
      <c r="E112" s="897"/>
      <c r="F112" s="897"/>
      <c r="G112" s="897"/>
      <c r="H112" s="897"/>
      <c r="I112" s="897"/>
      <c r="J112" s="897"/>
      <c r="K112" s="897"/>
      <c r="L112" s="897"/>
      <c r="M112" s="897"/>
      <c r="N112" s="897"/>
      <c r="O112" s="897"/>
      <c r="P112" s="897"/>
      <c r="Q112" s="897"/>
      <c r="R112" s="897"/>
      <c r="S112" s="897"/>
      <c r="T112" s="897"/>
      <c r="U112" s="895"/>
      <c r="V112" s="852"/>
      <c r="W112" s="853"/>
      <c r="X112" s="853"/>
      <c r="Y112" s="853"/>
      <c r="Z112" s="853"/>
      <c r="AA112" s="853"/>
      <c r="AB112" s="854">
        <f>_xlfn.XLOOKUP(Table17[[#This Row],[Project Delivery Lead]],[1]List!Y:Y,[1]List!AC:AC)</f>
        <v>0</v>
      </c>
      <c r="AC112" s="853" t="str">
        <f>IF($A112="","",'[1]Core Assumptions'!$D132)</f>
        <v/>
      </c>
      <c r="AD112" s="855"/>
      <c r="AE112" s="905"/>
      <c r="AF112" s="857"/>
      <c r="AG112" s="857"/>
      <c r="AH112" s="858"/>
      <c r="AI112" s="858"/>
      <c r="AJ112" s="858"/>
      <c r="AK112" s="858" t="str">
        <f>IF($A112="","",IF('[1]Pricing Summary'!$B$31="T&amp;M","Time and Material","Fixed Fee"))</f>
        <v/>
      </c>
      <c r="AL112" s="856"/>
      <c r="AM112" s="856"/>
      <c r="AN112" s="906" t="str">
        <f>IF($A112="","",'[1]Outputs Recap'!$C$12)</f>
        <v/>
      </c>
      <c r="AO112" s="861" t="str">
        <f>IF($A112="","",VLOOKUP('[1]Outputs Recap'!$C$11,[1]List!$I:$J,2,FALSE))</f>
        <v/>
      </c>
      <c r="AP112" s="856" t="str" cm="1">
        <f t="array" ref="AP112">IF($A112="","",_xlfn.IFS('[1]Pricing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2" s="862" t="str">
        <f>IF($A112="","",_xlfn.XLOOKUP('[1]Core Assumptions'!$D$20,'[1]Other Lookups'!$AH:$AH,'[1]Other Lookups'!$AI:$AI))</f>
        <v/>
      </c>
      <c r="AR112" s="863"/>
      <c r="AS112" s="864" t="str">
        <f>IF($A112="","",'[1]Outputs Recap'!$C$13)</f>
        <v/>
      </c>
      <c r="AT112" s="907"/>
      <c r="AU112" s="907"/>
      <c r="AV112" s="907" t="str">
        <f>IF($A112="","",IFERROR(+Table17[[#This Row],[Total Contract Amount]]*Table17[[#This Row],[First-year, one-time Onboarding/Setup Fee %]],0))</f>
        <v/>
      </c>
      <c r="AW112" s="853"/>
      <c r="AX112" s="867"/>
      <c r="AY112" s="908"/>
      <c r="AZ112" s="909"/>
      <c r="BA112" s="910"/>
      <c r="BB112" s="871"/>
      <c r="BC112" s="871"/>
      <c r="BD112" s="871"/>
      <c r="BE112" s="871"/>
      <c r="BF112" s="871"/>
      <c r="BG112" s="871"/>
      <c r="BH112" s="872"/>
      <c r="BI112" s="874"/>
      <c r="BJ112" s="874"/>
      <c r="BK112" s="874"/>
      <c r="BL112" s="875"/>
      <c r="BM112" s="876"/>
      <c r="BN112" s="911"/>
      <c r="BO112" s="878"/>
      <c r="BP112" s="879"/>
      <c r="BQ112" s="880"/>
      <c r="BR112" s="881"/>
      <c r="BS112" s="882"/>
      <c r="BT112" s="883"/>
      <c r="BU112" s="884"/>
      <c r="BV112" s="884"/>
      <c r="BW112" s="884"/>
      <c r="BX112" s="884"/>
      <c r="BY112" s="884"/>
      <c r="BZ112" s="884"/>
      <c r="CA112" s="884"/>
      <c r="CB112" s="884"/>
      <c r="CC112" s="884"/>
      <c r="CD112" s="884"/>
      <c r="CE112" s="885"/>
      <c r="CF112" s="885" t="str">
        <f>IF($A112="","",IF(#REF!&lt;&gt;0,#REF!-SUM(BT112:CE112),""))</f>
        <v/>
      </c>
      <c r="CG112" s="898" t="str">
        <f>IF(ISBLANK($X112)=FALSE,"NextGenApp Advisory LLC","")</f>
        <v/>
      </c>
      <c r="CH112" s="899" t="str">
        <f>_xlfn.IFNA(INDEX([1]List!AC:AC,MATCH(X112,[1]List!Y:Y,0)),"")</f>
        <v/>
      </c>
      <c r="CI112" s="900"/>
      <c r="CJ112" s="900"/>
      <c r="CK112" s="900"/>
      <c r="CL112" s="900"/>
      <c r="CM112" s="901"/>
      <c r="CN112" s="902"/>
      <c r="CO112" s="903"/>
      <c r="CP112" s="904"/>
      <c r="CQ112" s="892"/>
    </row>
    <row r="113" spans="1:95" x14ac:dyDescent="0.2">
      <c r="A113" s="894"/>
      <c r="B113" s="895"/>
      <c r="C113" s="896"/>
      <c r="D113" s="897"/>
      <c r="E113" s="897"/>
      <c r="F113" s="897"/>
      <c r="G113" s="897"/>
      <c r="H113" s="897"/>
      <c r="I113" s="897"/>
      <c r="J113" s="897"/>
      <c r="K113" s="897"/>
      <c r="L113" s="897"/>
      <c r="M113" s="897"/>
      <c r="N113" s="897"/>
      <c r="O113" s="897"/>
      <c r="P113" s="897"/>
      <c r="Q113" s="897"/>
      <c r="R113" s="897"/>
      <c r="S113" s="897"/>
      <c r="T113" s="897"/>
      <c r="U113" s="895"/>
      <c r="V113" s="852"/>
      <c r="W113" s="853"/>
      <c r="X113" s="853"/>
      <c r="Y113" s="853"/>
      <c r="Z113" s="853"/>
      <c r="AA113" s="853"/>
      <c r="AB113" s="854">
        <f>_xlfn.XLOOKUP(Table17[[#This Row],[Project Delivery Lead]],[1]List!Y:Y,[1]List!AC:AC)</f>
        <v>0</v>
      </c>
      <c r="AC113" s="853" t="str">
        <f>IF($A113="","",'[1]Core Assumptions'!$D133)</f>
        <v/>
      </c>
      <c r="AD113" s="855"/>
      <c r="AE113" s="905"/>
      <c r="AF113" s="857"/>
      <c r="AG113" s="857"/>
      <c r="AH113" s="858"/>
      <c r="AI113" s="858"/>
      <c r="AJ113" s="858"/>
      <c r="AK113" s="858" t="str">
        <f>IF($A113="","",IF('[1]Pricing Summary'!$B$31="T&amp;M","Time and Material","Fixed Fee"))</f>
        <v/>
      </c>
      <c r="AL113" s="856"/>
      <c r="AM113" s="856"/>
      <c r="AN113" s="906" t="str">
        <f>IF($A113="","",'[1]Outputs Recap'!$C$12)</f>
        <v/>
      </c>
      <c r="AO113" s="861" t="str">
        <f>IF($A113="","",VLOOKUP('[1]Outputs Recap'!$C$11,[1]List!$I:$J,2,FALSE))</f>
        <v/>
      </c>
      <c r="AP113" s="856" t="str" cm="1">
        <f t="array" ref="AP113">IF($A113="","",_xlfn.IFS('[1]Pricing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3" s="862" t="str">
        <f>IF($A113="","",_xlfn.XLOOKUP('[1]Core Assumptions'!$D$20,'[1]Other Lookups'!$AH:$AH,'[1]Other Lookups'!$AI:$AI))</f>
        <v/>
      </c>
      <c r="AR113" s="863"/>
      <c r="AS113" s="864" t="str">
        <f>IF($A113="","",'[1]Outputs Recap'!$C$13)</f>
        <v/>
      </c>
      <c r="AT113" s="907"/>
      <c r="AU113" s="907"/>
      <c r="AV113" s="907" t="str">
        <f>IF($A113="","",IFERROR(+Table17[[#This Row],[Total Contract Amount]]*Table17[[#This Row],[First-year, one-time Onboarding/Setup Fee %]],0))</f>
        <v/>
      </c>
      <c r="AW113" s="853"/>
      <c r="AX113" s="867"/>
      <c r="AY113" s="908"/>
      <c r="AZ113" s="909"/>
      <c r="BA113" s="910"/>
      <c r="BB113" s="871"/>
      <c r="BC113" s="871"/>
      <c r="BD113" s="871"/>
      <c r="BE113" s="871"/>
      <c r="BF113" s="871"/>
      <c r="BG113" s="871"/>
      <c r="BH113" s="872"/>
      <c r="BI113" s="874"/>
      <c r="BJ113" s="874"/>
      <c r="BK113" s="874"/>
      <c r="BL113" s="875"/>
      <c r="BM113" s="876"/>
      <c r="BN113" s="911"/>
      <c r="BO113" s="878"/>
      <c r="BP113" s="879"/>
      <c r="BQ113" s="880"/>
      <c r="BR113" s="881"/>
      <c r="BS113" s="882"/>
      <c r="BT113" s="883"/>
      <c r="BU113" s="884"/>
      <c r="BV113" s="884"/>
      <c r="BW113" s="884"/>
      <c r="BX113" s="884"/>
      <c r="BY113" s="884"/>
      <c r="BZ113" s="884"/>
      <c r="CA113" s="884"/>
      <c r="CB113" s="884"/>
      <c r="CC113" s="884"/>
      <c r="CD113" s="884"/>
      <c r="CE113" s="885"/>
      <c r="CF113" s="885" t="str">
        <f>IF($A113="","",IF(#REF!&lt;&gt;0,#REF!-SUM(BT113:CE113),""))</f>
        <v/>
      </c>
      <c r="CG113" s="898" t="str">
        <f>IF(ISBLANK($X113)=FALSE,"NextGenApp Advisory LLC","")</f>
        <v/>
      </c>
      <c r="CH113" s="899" t="str">
        <f>_xlfn.IFNA(INDEX([1]List!AC:AC,MATCH(X113,[1]List!Y:Y,0)),"")</f>
        <v/>
      </c>
      <c r="CI113" s="900"/>
      <c r="CJ113" s="900"/>
      <c r="CK113" s="900"/>
      <c r="CL113" s="900"/>
      <c r="CM113" s="901"/>
      <c r="CN113" s="902"/>
      <c r="CO113" s="903"/>
      <c r="CP113" s="904"/>
      <c r="CQ113" s="892"/>
    </row>
    <row r="114" spans="1:95" x14ac:dyDescent="0.2">
      <c r="A114" s="894"/>
      <c r="B114" s="895"/>
      <c r="C114" s="896"/>
      <c r="D114" s="897"/>
      <c r="E114" s="897"/>
      <c r="F114" s="897"/>
      <c r="G114" s="897"/>
      <c r="H114" s="897"/>
      <c r="I114" s="897"/>
      <c r="J114" s="897"/>
      <c r="K114" s="897"/>
      <c r="L114" s="897"/>
      <c r="M114" s="897"/>
      <c r="N114" s="897"/>
      <c r="O114" s="897"/>
      <c r="P114" s="897"/>
      <c r="Q114" s="897"/>
      <c r="R114" s="897"/>
      <c r="S114" s="897"/>
      <c r="T114" s="897"/>
      <c r="U114" s="895"/>
      <c r="V114" s="852"/>
      <c r="W114" s="853"/>
      <c r="X114" s="853"/>
      <c r="Y114" s="853"/>
      <c r="Z114" s="853"/>
      <c r="AA114" s="853"/>
      <c r="AB114" s="854">
        <f>_xlfn.XLOOKUP(Table17[[#This Row],[Project Delivery Lead]],[1]List!Y:Y,[1]List!AC:AC)</f>
        <v>0</v>
      </c>
      <c r="AC114" s="853" t="str">
        <f>IF($A114="","",'[1]Core Assumptions'!$D134)</f>
        <v/>
      </c>
      <c r="AD114" s="855"/>
      <c r="AE114" s="905"/>
      <c r="AF114" s="857"/>
      <c r="AG114" s="857"/>
      <c r="AH114" s="858"/>
      <c r="AI114" s="858"/>
      <c r="AJ114" s="858"/>
      <c r="AK114" s="858" t="str">
        <f>IF($A114="","",IF('[1]Pricing Summary'!$B$31="T&amp;M","Time and Material","Fixed Fee"))</f>
        <v/>
      </c>
      <c r="AL114" s="856"/>
      <c r="AM114" s="856"/>
      <c r="AN114" s="906" t="str">
        <f>IF($A114="","",'[1]Outputs Recap'!$C$12)</f>
        <v/>
      </c>
      <c r="AO114" s="861" t="str">
        <f>IF($A114="","",VLOOKUP('[1]Outputs Recap'!$C$11,[1]List!$I:$J,2,FALSE))</f>
        <v/>
      </c>
      <c r="AP114" s="856" t="str" cm="1">
        <f t="array" ref="AP114">IF($A114="","",_xlfn.IFS('[1]Pricing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4" s="862" t="str">
        <f>IF($A114="","",_xlfn.XLOOKUP('[1]Core Assumptions'!$D$20,'[1]Other Lookups'!$AH:$AH,'[1]Other Lookups'!$AI:$AI))</f>
        <v/>
      </c>
      <c r="AR114" s="863"/>
      <c r="AS114" s="864" t="str">
        <f>IF($A114="","",'[1]Outputs Recap'!$C$13)</f>
        <v/>
      </c>
      <c r="AT114" s="907"/>
      <c r="AU114" s="907"/>
      <c r="AV114" s="907" t="str">
        <f>IF($A114="","",IFERROR(+Table17[[#This Row],[Total Contract Amount]]*Table17[[#This Row],[First-year, one-time Onboarding/Setup Fee %]],0))</f>
        <v/>
      </c>
      <c r="AW114" s="853"/>
      <c r="AX114" s="867"/>
      <c r="AY114" s="908"/>
      <c r="AZ114" s="909"/>
      <c r="BA114" s="910"/>
      <c r="BB114" s="871"/>
      <c r="BC114" s="871"/>
      <c r="BD114" s="871"/>
      <c r="BE114" s="871"/>
      <c r="BF114" s="871"/>
      <c r="BG114" s="871"/>
      <c r="BH114" s="872"/>
      <c r="BI114" s="874"/>
      <c r="BJ114" s="874"/>
      <c r="BK114" s="874"/>
      <c r="BL114" s="875"/>
      <c r="BM114" s="876"/>
      <c r="BN114" s="911"/>
      <c r="BO114" s="878"/>
      <c r="BP114" s="879"/>
      <c r="BQ114" s="880"/>
      <c r="BR114" s="881"/>
      <c r="BS114" s="882"/>
      <c r="BT114" s="883"/>
      <c r="BU114" s="884"/>
      <c r="BV114" s="884"/>
      <c r="BW114" s="884"/>
      <c r="BX114" s="884"/>
      <c r="BY114" s="884"/>
      <c r="BZ114" s="884"/>
      <c r="CA114" s="884"/>
      <c r="CB114" s="884"/>
      <c r="CC114" s="884"/>
      <c r="CD114" s="884"/>
      <c r="CE114" s="885"/>
      <c r="CF114" s="885" t="str">
        <f>IF($A114="","",IF(#REF!&lt;&gt;0,#REF!-SUM(BT114:CE114),""))</f>
        <v/>
      </c>
      <c r="CG114" s="898" t="str">
        <f>IF(ISBLANK($X114)=FALSE,"NextGenApp Advisory LLC","")</f>
        <v/>
      </c>
      <c r="CH114" s="899" t="str">
        <f>_xlfn.IFNA(INDEX([1]List!AC:AC,MATCH(X114,[1]List!Y:Y,0)),"")</f>
        <v/>
      </c>
      <c r="CI114" s="900"/>
      <c r="CJ114" s="900"/>
      <c r="CK114" s="900"/>
      <c r="CL114" s="900"/>
      <c r="CM114" s="901"/>
      <c r="CN114" s="902"/>
      <c r="CO114" s="903"/>
      <c r="CP114" s="904"/>
      <c r="CQ114" s="892"/>
    </row>
    <row r="115" spans="1:95" x14ac:dyDescent="0.2">
      <c r="A115" s="894"/>
      <c r="B115" s="895"/>
      <c r="C115" s="896"/>
      <c r="D115" s="897"/>
      <c r="E115" s="897"/>
      <c r="F115" s="897"/>
      <c r="G115" s="897"/>
      <c r="H115" s="897"/>
      <c r="I115" s="897"/>
      <c r="J115" s="897"/>
      <c r="K115" s="897"/>
      <c r="L115" s="897"/>
      <c r="M115" s="897"/>
      <c r="N115" s="897"/>
      <c r="O115" s="897"/>
      <c r="P115" s="897"/>
      <c r="Q115" s="897"/>
      <c r="R115" s="897"/>
      <c r="S115" s="897"/>
      <c r="T115" s="897"/>
      <c r="U115" s="895"/>
      <c r="V115" s="852"/>
      <c r="W115" s="853"/>
      <c r="X115" s="853"/>
      <c r="Y115" s="853"/>
      <c r="Z115" s="853"/>
      <c r="AA115" s="853"/>
      <c r="AB115" s="854">
        <f>_xlfn.XLOOKUP(Table17[[#This Row],[Project Delivery Lead]],[1]List!Y:Y,[1]List!AC:AC)</f>
        <v>0</v>
      </c>
      <c r="AC115" s="853" t="str">
        <f>IF($A115="","",'[1]Core Assumptions'!$D135)</f>
        <v/>
      </c>
      <c r="AD115" s="855"/>
      <c r="AE115" s="905"/>
      <c r="AF115" s="857"/>
      <c r="AG115" s="857"/>
      <c r="AH115" s="858"/>
      <c r="AI115" s="858"/>
      <c r="AJ115" s="858"/>
      <c r="AK115" s="858" t="str">
        <f>IF($A115="","",IF('[1]Pricing Summary'!$B$31="T&amp;M","Time and Material","Fixed Fee"))</f>
        <v/>
      </c>
      <c r="AL115" s="856"/>
      <c r="AM115" s="856"/>
      <c r="AN115" s="906" t="str">
        <f>IF($A115="","",'[1]Outputs Recap'!$C$12)</f>
        <v/>
      </c>
      <c r="AO115" s="861" t="str">
        <f>IF($A115="","",VLOOKUP('[1]Outputs Recap'!$C$11,[1]List!$I:$J,2,FALSE))</f>
        <v/>
      </c>
      <c r="AP115" s="856" t="str" cm="1">
        <f t="array" ref="AP115">IF($A115="","",_xlfn.IFS('[1]Pricing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5" s="862" t="str">
        <f>IF($A115="","",_xlfn.XLOOKUP('[1]Core Assumptions'!$D$20,'[1]Other Lookups'!$AH:$AH,'[1]Other Lookups'!$AI:$AI))</f>
        <v/>
      </c>
      <c r="AR115" s="863"/>
      <c r="AS115" s="864" t="str">
        <f>IF($A115="","",'[1]Outputs Recap'!$C$13)</f>
        <v/>
      </c>
      <c r="AT115" s="907"/>
      <c r="AU115" s="907"/>
      <c r="AV115" s="907" t="str">
        <f>IF($A115="","",IFERROR(+Table17[[#This Row],[Total Contract Amount]]*Table17[[#This Row],[First-year, one-time Onboarding/Setup Fee %]],0))</f>
        <v/>
      </c>
      <c r="AW115" s="853"/>
      <c r="AX115" s="867"/>
      <c r="AY115" s="908"/>
      <c r="AZ115" s="909"/>
      <c r="BA115" s="910"/>
      <c r="BB115" s="871"/>
      <c r="BC115" s="871"/>
      <c r="BD115" s="871"/>
      <c r="BE115" s="871"/>
      <c r="BF115" s="871"/>
      <c r="BG115" s="871"/>
      <c r="BH115" s="872"/>
      <c r="BI115" s="874"/>
      <c r="BJ115" s="874"/>
      <c r="BK115" s="874"/>
      <c r="BL115" s="875"/>
      <c r="BM115" s="876"/>
      <c r="BN115" s="911"/>
      <c r="BO115" s="878"/>
      <c r="BP115" s="879"/>
      <c r="BQ115" s="880"/>
      <c r="BR115" s="881"/>
      <c r="BS115" s="882"/>
      <c r="BT115" s="883"/>
      <c r="BU115" s="884"/>
      <c r="BV115" s="884"/>
      <c r="BW115" s="884"/>
      <c r="BX115" s="884"/>
      <c r="BY115" s="884"/>
      <c r="BZ115" s="884"/>
      <c r="CA115" s="884"/>
      <c r="CB115" s="884"/>
      <c r="CC115" s="884"/>
      <c r="CD115" s="884"/>
      <c r="CE115" s="885"/>
      <c r="CF115" s="885" t="str">
        <f>IF($A115="","",IF(#REF!&lt;&gt;0,#REF!-SUM(BT115:CE115),""))</f>
        <v/>
      </c>
      <c r="CG115" s="898" t="str">
        <f>IF(ISBLANK($X115)=FALSE,"NextGenApp Advisory LLC","")</f>
        <v/>
      </c>
      <c r="CH115" s="899" t="str">
        <f>_xlfn.IFNA(INDEX([1]List!AC:AC,MATCH(X115,[1]List!Y:Y,0)),"")</f>
        <v/>
      </c>
      <c r="CI115" s="900"/>
      <c r="CJ115" s="900"/>
      <c r="CK115" s="900"/>
      <c r="CL115" s="900"/>
      <c r="CM115" s="901"/>
      <c r="CN115" s="902"/>
      <c r="CO115" s="903"/>
      <c r="CP115" s="904"/>
      <c r="CQ115" s="892"/>
    </row>
    <row r="116" spans="1:95" x14ac:dyDescent="0.2">
      <c r="A116" s="894"/>
      <c r="B116" s="895"/>
      <c r="C116" s="896"/>
      <c r="D116" s="897"/>
      <c r="E116" s="897"/>
      <c r="F116" s="897"/>
      <c r="G116" s="897"/>
      <c r="H116" s="897"/>
      <c r="I116" s="897"/>
      <c r="J116" s="897"/>
      <c r="K116" s="897"/>
      <c r="L116" s="897"/>
      <c r="M116" s="897"/>
      <c r="N116" s="897"/>
      <c r="O116" s="897"/>
      <c r="P116" s="897"/>
      <c r="Q116" s="897"/>
      <c r="R116" s="897"/>
      <c r="S116" s="897"/>
      <c r="T116" s="897"/>
      <c r="U116" s="895"/>
      <c r="V116" s="852"/>
      <c r="W116" s="853"/>
      <c r="X116" s="853"/>
      <c r="Y116" s="853"/>
      <c r="Z116" s="853"/>
      <c r="AA116" s="853"/>
      <c r="AB116" s="854">
        <f>_xlfn.XLOOKUP(Table17[[#This Row],[Project Delivery Lead]],[1]List!Y:Y,[1]List!AC:AC)</f>
        <v>0</v>
      </c>
      <c r="AC116" s="853" t="str">
        <f>IF($A116="","",'[1]Core Assumptions'!$D136)</f>
        <v/>
      </c>
      <c r="AD116" s="855"/>
      <c r="AE116" s="905"/>
      <c r="AF116" s="857"/>
      <c r="AG116" s="857"/>
      <c r="AH116" s="858"/>
      <c r="AI116" s="858"/>
      <c r="AJ116" s="858"/>
      <c r="AK116" s="858" t="str">
        <f>IF($A116="","",IF('[1]Pricing Summary'!$B$31="T&amp;M","Time and Material","Fixed Fee"))</f>
        <v/>
      </c>
      <c r="AL116" s="856"/>
      <c r="AM116" s="856"/>
      <c r="AN116" s="906" t="str">
        <f>IF($A116="","",'[1]Outputs Recap'!$C$12)</f>
        <v/>
      </c>
      <c r="AO116" s="861" t="str">
        <f>IF($A116="","",VLOOKUP('[1]Outputs Recap'!$C$11,[1]List!$I:$J,2,FALSE))</f>
        <v/>
      </c>
      <c r="AP116" s="856" t="str" cm="1">
        <f t="array" ref="AP116">IF($A116="","",_xlfn.IFS('[1]Pricing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6" s="862" t="str">
        <f>IF($A116="","",_xlfn.XLOOKUP('[1]Core Assumptions'!$D$20,'[1]Other Lookups'!$AH:$AH,'[1]Other Lookups'!$AI:$AI))</f>
        <v/>
      </c>
      <c r="AR116" s="863"/>
      <c r="AS116" s="864" t="str">
        <f>IF($A116="","",'[1]Outputs Recap'!$C$13)</f>
        <v/>
      </c>
      <c r="AT116" s="907"/>
      <c r="AU116" s="907"/>
      <c r="AV116" s="907" t="str">
        <f>IF($A116="","",IFERROR(+Table17[[#This Row],[Total Contract Amount]]*Table17[[#This Row],[First-year, one-time Onboarding/Setup Fee %]],0))</f>
        <v/>
      </c>
      <c r="AW116" s="853"/>
      <c r="AX116" s="867"/>
      <c r="AY116" s="908"/>
      <c r="AZ116" s="909"/>
      <c r="BA116" s="910"/>
      <c r="BB116" s="871"/>
      <c r="BC116" s="871"/>
      <c r="BD116" s="871"/>
      <c r="BE116" s="871"/>
      <c r="BF116" s="871"/>
      <c r="BG116" s="871"/>
      <c r="BH116" s="872"/>
      <c r="BI116" s="874"/>
      <c r="BJ116" s="874"/>
      <c r="BK116" s="874"/>
      <c r="BL116" s="875"/>
      <c r="BM116" s="876"/>
      <c r="BN116" s="911"/>
      <c r="BO116" s="878"/>
      <c r="BP116" s="879"/>
      <c r="BQ116" s="880"/>
      <c r="BR116" s="881"/>
      <c r="BS116" s="882"/>
      <c r="BT116" s="883"/>
      <c r="BU116" s="884"/>
      <c r="BV116" s="884"/>
      <c r="BW116" s="884"/>
      <c r="BX116" s="884"/>
      <c r="BY116" s="884"/>
      <c r="BZ116" s="884"/>
      <c r="CA116" s="884"/>
      <c r="CB116" s="884"/>
      <c r="CC116" s="884"/>
      <c r="CD116" s="884"/>
      <c r="CE116" s="885"/>
      <c r="CF116" s="885" t="str">
        <f>IF($A116="","",IF(#REF!&lt;&gt;0,#REF!-SUM(BT116:CE116),""))</f>
        <v/>
      </c>
      <c r="CG116" s="898" t="str">
        <f>IF(ISBLANK($X116)=FALSE,"NextGenApp Advisory LLC","")</f>
        <v/>
      </c>
      <c r="CH116" s="899" t="str">
        <f>_xlfn.IFNA(INDEX([1]List!AC:AC,MATCH(X116,[1]List!Y:Y,0)),"")</f>
        <v/>
      </c>
      <c r="CI116" s="900"/>
      <c r="CJ116" s="900"/>
      <c r="CK116" s="900"/>
      <c r="CL116" s="900"/>
      <c r="CM116" s="901"/>
      <c r="CN116" s="902"/>
      <c r="CO116" s="903"/>
      <c r="CP116" s="904"/>
      <c r="CQ116" s="892"/>
    </row>
    <row r="117" spans="1:95" x14ac:dyDescent="0.2">
      <c r="A117" s="894"/>
      <c r="B117" s="895"/>
      <c r="C117" s="896"/>
      <c r="D117" s="897"/>
      <c r="E117" s="897"/>
      <c r="F117" s="897"/>
      <c r="G117" s="897"/>
      <c r="H117" s="897"/>
      <c r="I117" s="897"/>
      <c r="J117" s="897"/>
      <c r="K117" s="897"/>
      <c r="L117" s="897"/>
      <c r="M117" s="897"/>
      <c r="N117" s="897"/>
      <c r="O117" s="897"/>
      <c r="P117" s="897"/>
      <c r="Q117" s="897"/>
      <c r="R117" s="897"/>
      <c r="S117" s="897"/>
      <c r="T117" s="897"/>
      <c r="U117" s="895"/>
      <c r="V117" s="852"/>
      <c r="W117" s="853"/>
      <c r="X117" s="853"/>
      <c r="Y117" s="853"/>
      <c r="Z117" s="853"/>
      <c r="AA117" s="853"/>
      <c r="AB117" s="854">
        <f>_xlfn.XLOOKUP(Table17[[#This Row],[Project Delivery Lead]],[1]List!Y:Y,[1]List!AC:AC)</f>
        <v>0</v>
      </c>
      <c r="AC117" s="853" t="str">
        <f>IF($A117="","",'[1]Core Assumptions'!$D137)</f>
        <v/>
      </c>
      <c r="AD117" s="855"/>
      <c r="AE117" s="905"/>
      <c r="AF117" s="857"/>
      <c r="AG117" s="857"/>
      <c r="AH117" s="858"/>
      <c r="AI117" s="858"/>
      <c r="AJ117" s="858"/>
      <c r="AK117" s="858" t="str">
        <f>IF($A117="","",IF('[1]Pricing Summary'!$B$31="T&amp;M","Time and Material","Fixed Fee"))</f>
        <v/>
      </c>
      <c r="AL117" s="856"/>
      <c r="AM117" s="856"/>
      <c r="AN117" s="906" t="str">
        <f>IF($A117="","",'[1]Outputs Recap'!$C$12)</f>
        <v/>
      </c>
      <c r="AO117" s="861" t="str">
        <f>IF($A117="","",VLOOKUP('[1]Outputs Recap'!$C$11,[1]List!$I:$J,2,FALSE))</f>
        <v/>
      </c>
      <c r="AP117" s="856" t="str" cm="1">
        <f t="array" ref="AP117">IF($A117="","",_xlfn.IFS('[1]Pricing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7" s="862" t="str">
        <f>IF($A117="","",_xlfn.XLOOKUP('[1]Core Assumptions'!$D$20,'[1]Other Lookups'!$AH:$AH,'[1]Other Lookups'!$AI:$AI))</f>
        <v/>
      </c>
      <c r="AR117" s="863"/>
      <c r="AS117" s="864" t="str">
        <f>IF($A117="","",'[1]Outputs Recap'!$C$13)</f>
        <v/>
      </c>
      <c r="AT117" s="907"/>
      <c r="AU117" s="907"/>
      <c r="AV117" s="907" t="str">
        <f>IF($A117="","",IFERROR(+Table17[[#This Row],[Total Contract Amount]]*Table17[[#This Row],[First-year, one-time Onboarding/Setup Fee %]],0))</f>
        <v/>
      </c>
      <c r="AW117" s="853"/>
      <c r="AX117" s="867"/>
      <c r="AY117" s="908"/>
      <c r="AZ117" s="909"/>
      <c r="BA117" s="910"/>
      <c r="BB117" s="871"/>
      <c r="BC117" s="871"/>
      <c r="BD117" s="871"/>
      <c r="BE117" s="871"/>
      <c r="BF117" s="871"/>
      <c r="BG117" s="871"/>
      <c r="BH117" s="872"/>
      <c r="BI117" s="874"/>
      <c r="BJ117" s="874"/>
      <c r="BK117" s="874"/>
      <c r="BL117" s="875"/>
      <c r="BM117" s="876"/>
      <c r="BN117" s="911"/>
      <c r="BO117" s="878"/>
      <c r="BP117" s="879"/>
      <c r="BQ117" s="880"/>
      <c r="BR117" s="881"/>
      <c r="BS117" s="882"/>
      <c r="BT117" s="883"/>
      <c r="BU117" s="884"/>
      <c r="BV117" s="884"/>
      <c r="BW117" s="884"/>
      <c r="BX117" s="884"/>
      <c r="BY117" s="884"/>
      <c r="BZ117" s="884"/>
      <c r="CA117" s="884"/>
      <c r="CB117" s="884"/>
      <c r="CC117" s="884"/>
      <c r="CD117" s="884"/>
      <c r="CE117" s="885"/>
      <c r="CF117" s="885" t="str">
        <f>IF($A117="","",IF(#REF!&lt;&gt;0,#REF!-SUM(BT117:CE117),""))</f>
        <v/>
      </c>
      <c r="CG117" s="898" t="str">
        <f>IF(ISBLANK($X117)=FALSE,"NextGenApp Advisory LLC","")</f>
        <v/>
      </c>
      <c r="CH117" s="899" t="str">
        <f>_xlfn.IFNA(INDEX([1]List!AC:AC,MATCH(X117,[1]List!Y:Y,0)),"")</f>
        <v/>
      </c>
      <c r="CI117" s="900"/>
      <c r="CJ117" s="900"/>
      <c r="CK117" s="900"/>
      <c r="CL117" s="900"/>
      <c r="CM117" s="901"/>
      <c r="CN117" s="902"/>
      <c r="CO117" s="903"/>
      <c r="CP117" s="904"/>
      <c r="CQ117" s="892"/>
    </row>
    <row r="118" spans="1:95" x14ac:dyDescent="0.2">
      <c r="A118" s="894"/>
      <c r="B118" s="895"/>
      <c r="C118" s="896"/>
      <c r="D118" s="897"/>
      <c r="E118" s="897"/>
      <c r="F118" s="897"/>
      <c r="G118" s="897"/>
      <c r="H118" s="897"/>
      <c r="I118" s="897"/>
      <c r="J118" s="897"/>
      <c r="K118" s="897"/>
      <c r="L118" s="897"/>
      <c r="M118" s="897"/>
      <c r="N118" s="897"/>
      <c r="O118" s="897"/>
      <c r="P118" s="897"/>
      <c r="Q118" s="897"/>
      <c r="R118" s="897"/>
      <c r="S118" s="897"/>
      <c r="T118" s="897"/>
      <c r="U118" s="895"/>
      <c r="V118" s="852"/>
      <c r="W118" s="853"/>
      <c r="X118" s="853"/>
      <c r="Y118" s="853"/>
      <c r="Z118" s="853"/>
      <c r="AA118" s="853"/>
      <c r="AB118" s="854">
        <f>_xlfn.XLOOKUP(Table17[[#This Row],[Project Delivery Lead]],[1]List!Y:Y,[1]List!AC:AC)</f>
        <v>0</v>
      </c>
      <c r="AC118" s="853" t="str">
        <f>IF($A118="","",'[1]Core Assumptions'!$D138)</f>
        <v/>
      </c>
      <c r="AD118" s="855"/>
      <c r="AE118" s="905"/>
      <c r="AF118" s="857"/>
      <c r="AG118" s="857"/>
      <c r="AH118" s="858"/>
      <c r="AI118" s="858"/>
      <c r="AJ118" s="858"/>
      <c r="AK118" s="858" t="str">
        <f>IF($A118="","",IF('[1]Pricing Summary'!$B$31="T&amp;M","Time and Material","Fixed Fee"))</f>
        <v/>
      </c>
      <c r="AL118" s="856"/>
      <c r="AM118" s="856"/>
      <c r="AN118" s="906" t="str">
        <f>IF($A118="","",'[1]Outputs Recap'!$C$12)</f>
        <v/>
      </c>
      <c r="AO118" s="861" t="str">
        <f>IF($A118="","",VLOOKUP('[1]Outputs Recap'!$C$11,[1]List!$I:$J,2,FALSE))</f>
        <v/>
      </c>
      <c r="AP118" s="856" t="str" cm="1">
        <f t="array" ref="AP118">IF($A118="","",_xlfn.IFS('[1]Pricing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8" s="862" t="str">
        <f>IF($A118="","",_xlfn.XLOOKUP('[1]Core Assumptions'!$D$20,'[1]Other Lookups'!$AH:$AH,'[1]Other Lookups'!$AI:$AI))</f>
        <v/>
      </c>
      <c r="AR118" s="863"/>
      <c r="AS118" s="864" t="str">
        <f>IF($A118="","",'[1]Outputs Recap'!$C$13)</f>
        <v/>
      </c>
      <c r="AT118" s="907"/>
      <c r="AU118" s="907"/>
      <c r="AV118" s="907" t="str">
        <f>IF($A118="","",IFERROR(+Table17[[#This Row],[Total Contract Amount]]*Table17[[#This Row],[First-year, one-time Onboarding/Setup Fee %]],0))</f>
        <v/>
      </c>
      <c r="AW118" s="853"/>
      <c r="AX118" s="867"/>
      <c r="AY118" s="908"/>
      <c r="AZ118" s="909"/>
      <c r="BA118" s="910"/>
      <c r="BB118" s="871"/>
      <c r="BC118" s="871"/>
      <c r="BD118" s="871"/>
      <c r="BE118" s="871"/>
      <c r="BF118" s="871"/>
      <c r="BG118" s="871"/>
      <c r="BH118" s="872"/>
      <c r="BI118" s="874"/>
      <c r="BJ118" s="874"/>
      <c r="BK118" s="874"/>
      <c r="BL118" s="875"/>
      <c r="BM118" s="876"/>
      <c r="BN118" s="911"/>
      <c r="BO118" s="878"/>
      <c r="BP118" s="879"/>
      <c r="BQ118" s="880"/>
      <c r="BR118" s="881"/>
      <c r="BS118" s="882"/>
      <c r="BT118" s="883"/>
      <c r="BU118" s="884"/>
      <c r="BV118" s="884"/>
      <c r="BW118" s="884"/>
      <c r="BX118" s="884"/>
      <c r="BY118" s="884"/>
      <c r="BZ118" s="884"/>
      <c r="CA118" s="884"/>
      <c r="CB118" s="884"/>
      <c r="CC118" s="884"/>
      <c r="CD118" s="884"/>
      <c r="CE118" s="885"/>
      <c r="CF118" s="885" t="str">
        <f>IF($A118="","",IF(#REF!&lt;&gt;0,#REF!-SUM(BT118:CE118),""))</f>
        <v/>
      </c>
      <c r="CG118" s="898" t="str">
        <f>IF(ISBLANK($X118)=FALSE,"NextGenApp Advisory LLC","")</f>
        <v/>
      </c>
      <c r="CH118" s="899" t="str">
        <f>_xlfn.IFNA(INDEX([1]List!AC:AC,MATCH(X118,[1]List!Y:Y,0)),"")</f>
        <v/>
      </c>
      <c r="CI118" s="900"/>
      <c r="CJ118" s="900"/>
      <c r="CK118" s="900"/>
      <c r="CL118" s="900"/>
      <c r="CM118" s="901"/>
      <c r="CN118" s="902"/>
      <c r="CO118" s="903"/>
      <c r="CP118" s="904"/>
      <c r="CQ118" s="892"/>
    </row>
    <row r="119" spans="1:95" x14ac:dyDescent="0.2">
      <c r="A119" s="894"/>
      <c r="B119" s="895"/>
      <c r="C119" s="896"/>
      <c r="D119" s="897"/>
      <c r="E119" s="897"/>
      <c r="F119" s="897"/>
      <c r="G119" s="897"/>
      <c r="H119" s="897"/>
      <c r="I119" s="897"/>
      <c r="J119" s="897"/>
      <c r="K119" s="897"/>
      <c r="L119" s="897"/>
      <c r="M119" s="897"/>
      <c r="N119" s="897"/>
      <c r="O119" s="897"/>
      <c r="P119" s="897"/>
      <c r="Q119" s="897"/>
      <c r="R119" s="897"/>
      <c r="S119" s="897"/>
      <c r="T119" s="897"/>
      <c r="U119" s="895"/>
      <c r="V119" s="852"/>
      <c r="W119" s="853"/>
      <c r="X119" s="853"/>
      <c r="Y119" s="853"/>
      <c r="Z119" s="853"/>
      <c r="AA119" s="853"/>
      <c r="AB119" s="854">
        <f>_xlfn.XLOOKUP(Table17[[#This Row],[Project Delivery Lead]],[1]List!Y:Y,[1]List!AC:AC)</f>
        <v>0</v>
      </c>
      <c r="AC119" s="853" t="str">
        <f>IF($A119="","",'[1]Core Assumptions'!$D139)</f>
        <v/>
      </c>
      <c r="AD119" s="855"/>
      <c r="AE119" s="905"/>
      <c r="AF119" s="857"/>
      <c r="AG119" s="857"/>
      <c r="AH119" s="858"/>
      <c r="AI119" s="858"/>
      <c r="AJ119" s="858"/>
      <c r="AK119" s="858" t="str">
        <f>IF($A119="","",IF('[1]Pricing Summary'!$B$31="T&amp;M","Time and Material","Fixed Fee"))</f>
        <v/>
      </c>
      <c r="AL119" s="856"/>
      <c r="AM119" s="856"/>
      <c r="AN119" s="906" t="str">
        <f>IF($A119="","",'[1]Outputs Recap'!$C$12)</f>
        <v/>
      </c>
      <c r="AO119" s="861" t="str">
        <f>IF($A119="","",VLOOKUP('[1]Outputs Recap'!$C$11,[1]List!$I:$J,2,FALSE))</f>
        <v/>
      </c>
      <c r="AP119" s="856" t="str" cm="1">
        <f t="array" ref="AP119">IF($A119="","",_xlfn.IFS('[1]Pricing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19" s="862" t="str">
        <f>IF($A119="","",_xlfn.XLOOKUP('[1]Core Assumptions'!$D$20,'[1]Other Lookups'!$AH:$AH,'[1]Other Lookups'!$AI:$AI))</f>
        <v/>
      </c>
      <c r="AR119" s="863"/>
      <c r="AS119" s="864" t="str">
        <f>IF($A119="","",'[1]Outputs Recap'!$C$13)</f>
        <v/>
      </c>
      <c r="AT119" s="907"/>
      <c r="AU119" s="907"/>
      <c r="AV119" s="907" t="str">
        <f>IF($A119="","",IFERROR(+Table17[[#This Row],[Total Contract Amount]]*Table17[[#This Row],[First-year, one-time Onboarding/Setup Fee %]],0))</f>
        <v/>
      </c>
      <c r="AW119" s="853"/>
      <c r="AX119" s="867"/>
      <c r="AY119" s="908"/>
      <c r="AZ119" s="909"/>
      <c r="BA119" s="910"/>
      <c r="BB119" s="871"/>
      <c r="BC119" s="871"/>
      <c r="BD119" s="871"/>
      <c r="BE119" s="871"/>
      <c r="BF119" s="871"/>
      <c r="BG119" s="871"/>
      <c r="BH119" s="872"/>
      <c r="BI119" s="874"/>
      <c r="BJ119" s="874"/>
      <c r="BK119" s="874"/>
      <c r="BL119" s="875"/>
      <c r="BM119" s="876"/>
      <c r="BN119" s="911"/>
      <c r="BO119" s="878"/>
      <c r="BP119" s="879"/>
      <c r="BQ119" s="880"/>
      <c r="BR119" s="881"/>
      <c r="BS119" s="882"/>
      <c r="BT119" s="883"/>
      <c r="BU119" s="884"/>
      <c r="BV119" s="884"/>
      <c r="BW119" s="884"/>
      <c r="BX119" s="884"/>
      <c r="BY119" s="884"/>
      <c r="BZ119" s="884"/>
      <c r="CA119" s="884"/>
      <c r="CB119" s="884"/>
      <c r="CC119" s="884"/>
      <c r="CD119" s="884"/>
      <c r="CE119" s="885"/>
      <c r="CF119" s="885" t="str">
        <f>IF($A119="","",IF(#REF!&lt;&gt;0,#REF!-SUM(BT119:CE119),""))</f>
        <v/>
      </c>
      <c r="CG119" s="898" t="str">
        <f>IF(ISBLANK($X119)=FALSE,"NextGenApp Advisory LLC","")</f>
        <v/>
      </c>
      <c r="CH119" s="899" t="str">
        <f>_xlfn.IFNA(INDEX([1]List!AC:AC,MATCH(X119,[1]List!Y:Y,0)),"")</f>
        <v/>
      </c>
      <c r="CI119" s="900"/>
      <c r="CJ119" s="900"/>
      <c r="CK119" s="900"/>
      <c r="CL119" s="900"/>
      <c r="CM119" s="901"/>
      <c r="CN119" s="902"/>
      <c r="CO119" s="903"/>
      <c r="CP119" s="904"/>
      <c r="CQ119" s="892"/>
    </row>
    <row r="120" spans="1:95" x14ac:dyDescent="0.2">
      <c r="A120" s="894"/>
      <c r="B120" s="895"/>
      <c r="C120" s="896"/>
      <c r="D120" s="897"/>
      <c r="E120" s="897"/>
      <c r="F120" s="897"/>
      <c r="G120" s="897"/>
      <c r="H120" s="897"/>
      <c r="I120" s="897"/>
      <c r="J120" s="897"/>
      <c r="K120" s="897"/>
      <c r="L120" s="897"/>
      <c r="M120" s="897"/>
      <c r="N120" s="897"/>
      <c r="O120" s="897"/>
      <c r="P120" s="897"/>
      <c r="Q120" s="897"/>
      <c r="R120" s="897"/>
      <c r="S120" s="897"/>
      <c r="T120" s="897"/>
      <c r="U120" s="895"/>
      <c r="V120" s="852"/>
      <c r="W120" s="853"/>
      <c r="X120" s="853"/>
      <c r="Y120" s="853"/>
      <c r="Z120" s="853"/>
      <c r="AA120" s="853"/>
      <c r="AB120" s="854">
        <f>_xlfn.XLOOKUP(Table17[[#This Row],[Project Delivery Lead]],[1]List!Y:Y,[1]List!AC:AC)</f>
        <v>0</v>
      </c>
      <c r="AC120" s="853" t="str">
        <f>IF($A120="","",'[1]Core Assumptions'!$D140)</f>
        <v/>
      </c>
      <c r="AD120" s="855"/>
      <c r="AE120" s="905"/>
      <c r="AF120" s="857"/>
      <c r="AG120" s="857"/>
      <c r="AH120" s="858"/>
      <c r="AI120" s="858"/>
      <c r="AJ120" s="858"/>
      <c r="AK120" s="858" t="str">
        <f>IF($A120="","",IF('[1]Pricing Summary'!$B$31="T&amp;M","Time and Material","Fixed Fee"))</f>
        <v/>
      </c>
      <c r="AL120" s="856"/>
      <c r="AM120" s="856"/>
      <c r="AN120" s="906" t="str">
        <f>IF($A120="","",'[1]Outputs Recap'!$C$12)</f>
        <v/>
      </c>
      <c r="AO120" s="861" t="str">
        <f>IF($A120="","",VLOOKUP('[1]Outputs Recap'!$C$11,[1]List!$I:$J,2,FALSE))</f>
        <v/>
      </c>
      <c r="AP120" s="856" t="str" cm="1">
        <f t="array" ref="AP120">IF($A120="","",_xlfn.IFS('[1]Pricing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0" s="862" t="str">
        <f>IF($A120="","",_xlfn.XLOOKUP('[1]Core Assumptions'!$D$20,'[1]Other Lookups'!$AH:$AH,'[1]Other Lookups'!$AI:$AI))</f>
        <v/>
      </c>
      <c r="AR120" s="863"/>
      <c r="AS120" s="864" t="str">
        <f>IF($A120="","",'[1]Outputs Recap'!$C$13)</f>
        <v/>
      </c>
      <c r="AT120" s="907"/>
      <c r="AU120" s="907"/>
      <c r="AV120" s="907" t="str">
        <f>IF($A120="","",IFERROR(+Table17[[#This Row],[Total Contract Amount]]*Table17[[#This Row],[First-year, one-time Onboarding/Setup Fee %]],0))</f>
        <v/>
      </c>
      <c r="AW120" s="853"/>
      <c r="AX120" s="867"/>
      <c r="AY120" s="908"/>
      <c r="AZ120" s="909"/>
      <c r="BA120" s="910"/>
      <c r="BB120" s="871"/>
      <c r="BC120" s="871"/>
      <c r="BD120" s="871"/>
      <c r="BE120" s="871"/>
      <c r="BF120" s="871"/>
      <c r="BG120" s="871"/>
      <c r="BH120" s="872"/>
      <c r="BI120" s="874"/>
      <c r="BJ120" s="874"/>
      <c r="BK120" s="874"/>
      <c r="BL120" s="875"/>
      <c r="BM120" s="876"/>
      <c r="BN120" s="911"/>
      <c r="BO120" s="878"/>
      <c r="BP120" s="879"/>
      <c r="BQ120" s="880"/>
      <c r="BR120" s="881"/>
      <c r="BS120" s="882"/>
      <c r="BT120" s="883"/>
      <c r="BU120" s="884"/>
      <c r="BV120" s="884"/>
      <c r="BW120" s="884"/>
      <c r="BX120" s="884"/>
      <c r="BY120" s="884"/>
      <c r="BZ120" s="884"/>
      <c r="CA120" s="884"/>
      <c r="CB120" s="884"/>
      <c r="CC120" s="884"/>
      <c r="CD120" s="884"/>
      <c r="CE120" s="885"/>
      <c r="CF120" s="885" t="str">
        <f>IF($A120="","",IF(#REF!&lt;&gt;0,#REF!-SUM(BT120:CE120),""))</f>
        <v/>
      </c>
      <c r="CG120" s="898" t="str">
        <f>IF(ISBLANK($X120)=FALSE,"NextGenApp Advisory LLC","")</f>
        <v/>
      </c>
      <c r="CH120" s="899" t="str">
        <f>_xlfn.IFNA(INDEX([1]List!AC:AC,MATCH(X120,[1]List!Y:Y,0)),"")</f>
        <v/>
      </c>
      <c r="CI120" s="900"/>
      <c r="CJ120" s="900"/>
      <c r="CK120" s="900"/>
      <c r="CL120" s="900"/>
      <c r="CM120" s="901"/>
      <c r="CN120" s="902"/>
      <c r="CO120" s="903"/>
      <c r="CP120" s="904"/>
      <c r="CQ120" s="892"/>
    </row>
    <row r="121" spans="1:95" x14ac:dyDescent="0.2">
      <c r="A121" s="894"/>
      <c r="B121" s="895"/>
      <c r="C121" s="896"/>
      <c r="D121" s="897"/>
      <c r="E121" s="897"/>
      <c r="F121" s="897"/>
      <c r="G121" s="897"/>
      <c r="H121" s="897"/>
      <c r="I121" s="897"/>
      <c r="J121" s="897"/>
      <c r="K121" s="897"/>
      <c r="L121" s="897"/>
      <c r="M121" s="897"/>
      <c r="N121" s="897"/>
      <c r="O121" s="897"/>
      <c r="P121" s="897"/>
      <c r="Q121" s="897"/>
      <c r="R121" s="897"/>
      <c r="S121" s="897"/>
      <c r="T121" s="897"/>
      <c r="U121" s="895"/>
      <c r="V121" s="852"/>
      <c r="W121" s="853"/>
      <c r="X121" s="853"/>
      <c r="Y121" s="853"/>
      <c r="Z121" s="853"/>
      <c r="AA121" s="853"/>
      <c r="AB121" s="854">
        <f>_xlfn.XLOOKUP(Table17[[#This Row],[Project Delivery Lead]],[1]List!Y:Y,[1]List!AC:AC)</f>
        <v>0</v>
      </c>
      <c r="AC121" s="853" t="str">
        <f>IF($A121="","",'[1]Core Assumptions'!$D141)</f>
        <v/>
      </c>
      <c r="AD121" s="855"/>
      <c r="AE121" s="905"/>
      <c r="AF121" s="857"/>
      <c r="AG121" s="857"/>
      <c r="AH121" s="858"/>
      <c r="AI121" s="858"/>
      <c r="AJ121" s="858"/>
      <c r="AK121" s="858" t="str">
        <f>IF($A121="","",IF('[1]Pricing Summary'!$B$31="T&amp;M","Time and Material","Fixed Fee"))</f>
        <v/>
      </c>
      <c r="AL121" s="856"/>
      <c r="AM121" s="856"/>
      <c r="AN121" s="906" t="str">
        <f>IF($A121="","",'[1]Outputs Recap'!$C$12)</f>
        <v/>
      </c>
      <c r="AO121" s="861" t="str">
        <f>IF($A121="","",VLOOKUP('[1]Outputs Recap'!$C$11,[1]List!$I:$J,2,FALSE))</f>
        <v/>
      </c>
      <c r="AP121" s="856" t="str" cm="1">
        <f t="array" ref="AP121">IF($A121="","",_xlfn.IFS('[1]Pricing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1" s="862" t="str">
        <f>IF($A121="","",_xlfn.XLOOKUP('[1]Core Assumptions'!$D$20,'[1]Other Lookups'!$AH:$AH,'[1]Other Lookups'!$AI:$AI))</f>
        <v/>
      </c>
      <c r="AR121" s="863"/>
      <c r="AS121" s="864" t="str">
        <f>IF($A121="","",'[1]Outputs Recap'!$C$13)</f>
        <v/>
      </c>
      <c r="AT121" s="907"/>
      <c r="AU121" s="907"/>
      <c r="AV121" s="907" t="str">
        <f>IF($A121="","",IFERROR(+Table17[[#This Row],[Total Contract Amount]]*Table17[[#This Row],[First-year, one-time Onboarding/Setup Fee %]],0))</f>
        <v/>
      </c>
      <c r="AW121" s="853"/>
      <c r="AX121" s="867"/>
      <c r="AY121" s="908"/>
      <c r="AZ121" s="909"/>
      <c r="BA121" s="910"/>
      <c r="BB121" s="871"/>
      <c r="BC121" s="871"/>
      <c r="BD121" s="871"/>
      <c r="BE121" s="871"/>
      <c r="BF121" s="871"/>
      <c r="BG121" s="871"/>
      <c r="BH121" s="872"/>
      <c r="BI121" s="874"/>
      <c r="BJ121" s="874"/>
      <c r="BK121" s="874"/>
      <c r="BL121" s="875"/>
      <c r="BM121" s="876"/>
      <c r="BN121" s="911"/>
      <c r="BO121" s="878"/>
      <c r="BP121" s="879"/>
      <c r="BQ121" s="880"/>
      <c r="BR121" s="881"/>
      <c r="BS121" s="882"/>
      <c r="BT121" s="883"/>
      <c r="BU121" s="884"/>
      <c r="BV121" s="884"/>
      <c r="BW121" s="884"/>
      <c r="BX121" s="884"/>
      <c r="BY121" s="884"/>
      <c r="BZ121" s="884"/>
      <c r="CA121" s="884"/>
      <c r="CB121" s="884"/>
      <c r="CC121" s="884"/>
      <c r="CD121" s="884"/>
      <c r="CE121" s="885"/>
      <c r="CF121" s="885" t="str">
        <f>IF($A121="","",IF(#REF!&lt;&gt;0,#REF!-SUM(BT121:CE121),""))</f>
        <v/>
      </c>
      <c r="CG121" s="898" t="str">
        <f>IF(ISBLANK($X121)=FALSE,"NextGenApp Advisory LLC","")</f>
        <v/>
      </c>
      <c r="CH121" s="899" t="str">
        <f>_xlfn.IFNA(INDEX([1]List!AC:AC,MATCH(X121,[1]List!Y:Y,0)),"")</f>
        <v/>
      </c>
      <c r="CI121" s="900"/>
      <c r="CJ121" s="900"/>
      <c r="CK121" s="900"/>
      <c r="CL121" s="900"/>
      <c r="CM121" s="901"/>
      <c r="CN121" s="902"/>
      <c r="CO121" s="903"/>
      <c r="CP121" s="904"/>
      <c r="CQ121" s="892"/>
    </row>
    <row r="122" spans="1:95" x14ac:dyDescent="0.2">
      <c r="A122" s="894"/>
      <c r="B122" s="895"/>
      <c r="C122" s="896"/>
      <c r="D122" s="897"/>
      <c r="E122" s="897"/>
      <c r="F122" s="897"/>
      <c r="G122" s="897"/>
      <c r="H122" s="897"/>
      <c r="I122" s="897"/>
      <c r="J122" s="897"/>
      <c r="K122" s="897"/>
      <c r="L122" s="897"/>
      <c r="M122" s="897"/>
      <c r="N122" s="897"/>
      <c r="O122" s="897"/>
      <c r="P122" s="897"/>
      <c r="Q122" s="897"/>
      <c r="R122" s="897"/>
      <c r="S122" s="897"/>
      <c r="T122" s="897"/>
      <c r="U122" s="895"/>
      <c r="V122" s="852"/>
      <c r="W122" s="853"/>
      <c r="X122" s="853"/>
      <c r="Y122" s="853"/>
      <c r="Z122" s="853"/>
      <c r="AA122" s="853"/>
      <c r="AB122" s="854">
        <f>_xlfn.XLOOKUP(Table17[[#This Row],[Project Delivery Lead]],[1]List!Y:Y,[1]List!AC:AC)</f>
        <v>0</v>
      </c>
      <c r="AC122" s="853" t="str">
        <f>IF($A122="","",'[1]Core Assumptions'!$D142)</f>
        <v/>
      </c>
      <c r="AD122" s="855"/>
      <c r="AE122" s="905"/>
      <c r="AF122" s="857"/>
      <c r="AG122" s="857"/>
      <c r="AH122" s="858"/>
      <c r="AI122" s="858"/>
      <c r="AJ122" s="858"/>
      <c r="AK122" s="858" t="str">
        <f>IF($A122="","",IF('[1]Pricing Summary'!$B$31="T&amp;M","Time and Material","Fixed Fee"))</f>
        <v/>
      </c>
      <c r="AL122" s="856"/>
      <c r="AM122" s="856"/>
      <c r="AN122" s="906" t="str">
        <f>IF($A122="","",'[1]Outputs Recap'!$C$12)</f>
        <v/>
      </c>
      <c r="AO122" s="861" t="str">
        <f>IF($A122="","",VLOOKUP('[1]Outputs Recap'!$C$11,[1]List!$I:$J,2,FALSE))</f>
        <v/>
      </c>
      <c r="AP122" s="856" t="str" cm="1">
        <f t="array" ref="AP122">IF($A122="","",_xlfn.IFS('[1]Pricing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2" s="862" t="str">
        <f>IF($A122="","",_xlfn.XLOOKUP('[1]Core Assumptions'!$D$20,'[1]Other Lookups'!$AH:$AH,'[1]Other Lookups'!$AI:$AI))</f>
        <v/>
      </c>
      <c r="AR122" s="863"/>
      <c r="AS122" s="864" t="str">
        <f>IF($A122="","",'[1]Outputs Recap'!$C$13)</f>
        <v/>
      </c>
      <c r="AT122" s="907"/>
      <c r="AU122" s="907"/>
      <c r="AV122" s="907" t="str">
        <f>IF($A122="","",IFERROR(+Table17[[#This Row],[Total Contract Amount]]*Table17[[#This Row],[First-year, one-time Onboarding/Setup Fee %]],0))</f>
        <v/>
      </c>
      <c r="AW122" s="853"/>
      <c r="AX122" s="867"/>
      <c r="AY122" s="908"/>
      <c r="AZ122" s="909"/>
      <c r="BA122" s="910"/>
      <c r="BB122" s="871"/>
      <c r="BC122" s="871"/>
      <c r="BD122" s="871"/>
      <c r="BE122" s="871"/>
      <c r="BF122" s="871"/>
      <c r="BG122" s="871"/>
      <c r="BH122" s="872"/>
      <c r="BI122" s="874"/>
      <c r="BJ122" s="874"/>
      <c r="BK122" s="874"/>
      <c r="BL122" s="875"/>
      <c r="BM122" s="876"/>
      <c r="BN122" s="911"/>
      <c r="BO122" s="878"/>
      <c r="BP122" s="879"/>
      <c r="BQ122" s="880"/>
      <c r="BR122" s="881"/>
      <c r="BS122" s="882"/>
      <c r="BT122" s="883"/>
      <c r="BU122" s="884"/>
      <c r="BV122" s="884"/>
      <c r="BW122" s="884"/>
      <c r="BX122" s="884"/>
      <c r="BY122" s="884"/>
      <c r="BZ122" s="884"/>
      <c r="CA122" s="884"/>
      <c r="CB122" s="884"/>
      <c r="CC122" s="884"/>
      <c r="CD122" s="884"/>
      <c r="CE122" s="885"/>
      <c r="CF122" s="885" t="str">
        <f>IF($A122="","",IF(#REF!&lt;&gt;0,#REF!-SUM(BT122:CE122),""))</f>
        <v/>
      </c>
      <c r="CG122" s="898" t="str">
        <f>IF(ISBLANK($X122)=FALSE,"NextGenApp Advisory LLC","")</f>
        <v/>
      </c>
      <c r="CH122" s="899" t="str">
        <f>_xlfn.IFNA(INDEX([1]List!AC:AC,MATCH(X122,[1]List!Y:Y,0)),"")</f>
        <v/>
      </c>
      <c r="CI122" s="900"/>
      <c r="CJ122" s="900"/>
      <c r="CK122" s="900"/>
      <c r="CL122" s="900"/>
      <c r="CM122" s="901"/>
      <c r="CN122" s="902"/>
      <c r="CO122" s="903"/>
      <c r="CP122" s="904"/>
      <c r="CQ122" s="892"/>
    </row>
    <row r="123" spans="1:95" x14ac:dyDescent="0.2">
      <c r="A123" s="894"/>
      <c r="B123" s="895"/>
      <c r="C123" s="896"/>
      <c r="D123" s="897"/>
      <c r="E123" s="897"/>
      <c r="F123" s="897"/>
      <c r="G123" s="897"/>
      <c r="H123" s="897"/>
      <c r="I123" s="897"/>
      <c r="J123" s="897"/>
      <c r="K123" s="897"/>
      <c r="L123" s="897"/>
      <c r="M123" s="897"/>
      <c r="N123" s="897"/>
      <c r="O123" s="897"/>
      <c r="P123" s="897"/>
      <c r="Q123" s="897"/>
      <c r="R123" s="897"/>
      <c r="S123" s="897"/>
      <c r="T123" s="897"/>
      <c r="U123" s="895"/>
      <c r="V123" s="852"/>
      <c r="W123" s="853"/>
      <c r="X123" s="853"/>
      <c r="Y123" s="853"/>
      <c r="Z123" s="853"/>
      <c r="AA123" s="853"/>
      <c r="AB123" s="854">
        <f>_xlfn.XLOOKUP(Table17[[#This Row],[Project Delivery Lead]],[1]List!Y:Y,[1]List!AC:AC)</f>
        <v>0</v>
      </c>
      <c r="AC123" s="853" t="str">
        <f>IF($A123="","",'[1]Core Assumptions'!$D143)</f>
        <v/>
      </c>
      <c r="AD123" s="855"/>
      <c r="AE123" s="905"/>
      <c r="AF123" s="857"/>
      <c r="AG123" s="857"/>
      <c r="AH123" s="858"/>
      <c r="AI123" s="858"/>
      <c r="AJ123" s="858"/>
      <c r="AK123" s="858" t="str">
        <f>IF($A123="","",IF('[1]Pricing Summary'!$B$31="T&amp;M","Time and Material","Fixed Fee"))</f>
        <v/>
      </c>
      <c r="AL123" s="856"/>
      <c r="AM123" s="856"/>
      <c r="AN123" s="906" t="str">
        <f>IF($A123="","",'[1]Outputs Recap'!$C$12)</f>
        <v/>
      </c>
      <c r="AO123" s="861" t="str">
        <f>IF($A123="","",VLOOKUP('[1]Outputs Recap'!$C$11,[1]List!$I:$J,2,FALSE))</f>
        <v/>
      </c>
      <c r="AP123" s="856" t="str" cm="1">
        <f t="array" ref="AP123">IF($A123="","",_xlfn.IFS('[1]Pricing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3" s="862" t="str">
        <f>IF($A123="","",_xlfn.XLOOKUP('[1]Core Assumptions'!$D$20,'[1]Other Lookups'!$AH:$AH,'[1]Other Lookups'!$AI:$AI))</f>
        <v/>
      </c>
      <c r="AR123" s="863"/>
      <c r="AS123" s="864" t="str">
        <f>IF($A123="","",'[1]Outputs Recap'!$C$13)</f>
        <v/>
      </c>
      <c r="AT123" s="907"/>
      <c r="AU123" s="907"/>
      <c r="AV123" s="907" t="str">
        <f>IF($A123="","",IFERROR(+Table17[[#This Row],[Total Contract Amount]]*Table17[[#This Row],[First-year, one-time Onboarding/Setup Fee %]],0))</f>
        <v/>
      </c>
      <c r="AW123" s="853"/>
      <c r="AX123" s="867"/>
      <c r="AY123" s="908"/>
      <c r="AZ123" s="909"/>
      <c r="BA123" s="910"/>
      <c r="BB123" s="871"/>
      <c r="BC123" s="871"/>
      <c r="BD123" s="871"/>
      <c r="BE123" s="871"/>
      <c r="BF123" s="871"/>
      <c r="BG123" s="871"/>
      <c r="BH123" s="872"/>
      <c r="BI123" s="874"/>
      <c r="BJ123" s="874"/>
      <c r="BK123" s="874"/>
      <c r="BL123" s="875"/>
      <c r="BM123" s="876"/>
      <c r="BN123" s="911"/>
      <c r="BO123" s="878"/>
      <c r="BP123" s="879"/>
      <c r="BQ123" s="880"/>
      <c r="BR123" s="881"/>
      <c r="BS123" s="882"/>
      <c r="BT123" s="883"/>
      <c r="BU123" s="884"/>
      <c r="BV123" s="884"/>
      <c r="BW123" s="884"/>
      <c r="BX123" s="884"/>
      <c r="BY123" s="884"/>
      <c r="BZ123" s="884"/>
      <c r="CA123" s="884"/>
      <c r="CB123" s="884"/>
      <c r="CC123" s="884"/>
      <c r="CD123" s="884"/>
      <c r="CE123" s="885"/>
      <c r="CF123" s="885" t="str">
        <f>IF($A123="","",IF(#REF!&lt;&gt;0,#REF!-SUM(BT123:CE123),""))</f>
        <v/>
      </c>
      <c r="CG123" s="898" t="str">
        <f>IF(ISBLANK($X123)=FALSE,"NextGenApp Advisory LLC","")</f>
        <v/>
      </c>
      <c r="CH123" s="899" t="str">
        <f>_xlfn.IFNA(INDEX([1]List!AC:AC,MATCH(X123,[1]List!Y:Y,0)),"")</f>
        <v/>
      </c>
      <c r="CI123" s="900"/>
      <c r="CJ123" s="900"/>
      <c r="CK123" s="900"/>
      <c r="CL123" s="900"/>
      <c r="CM123" s="901"/>
      <c r="CN123" s="902"/>
      <c r="CO123" s="903"/>
      <c r="CP123" s="904"/>
      <c r="CQ123" s="892"/>
    </row>
    <row r="124" spans="1:95" x14ac:dyDescent="0.2">
      <c r="A124" s="894"/>
      <c r="B124" s="895"/>
      <c r="C124" s="896"/>
      <c r="D124" s="897"/>
      <c r="E124" s="897"/>
      <c r="F124" s="897"/>
      <c r="G124" s="897"/>
      <c r="H124" s="897"/>
      <c r="I124" s="897"/>
      <c r="J124" s="897"/>
      <c r="K124" s="897"/>
      <c r="L124" s="897"/>
      <c r="M124" s="897"/>
      <c r="N124" s="897"/>
      <c r="O124" s="897"/>
      <c r="P124" s="897"/>
      <c r="Q124" s="897"/>
      <c r="R124" s="897"/>
      <c r="S124" s="897"/>
      <c r="T124" s="897"/>
      <c r="U124" s="895"/>
      <c r="V124" s="852"/>
      <c r="W124" s="853"/>
      <c r="X124" s="853"/>
      <c r="Y124" s="853"/>
      <c r="Z124" s="853"/>
      <c r="AA124" s="853"/>
      <c r="AB124" s="854">
        <f>_xlfn.XLOOKUP(Table17[[#This Row],[Project Delivery Lead]],[1]List!Y:Y,[1]List!AC:AC)</f>
        <v>0</v>
      </c>
      <c r="AC124" s="853" t="str">
        <f>IF($A124="","",'[1]Core Assumptions'!$D144)</f>
        <v/>
      </c>
      <c r="AD124" s="855"/>
      <c r="AE124" s="905"/>
      <c r="AF124" s="857"/>
      <c r="AG124" s="857"/>
      <c r="AH124" s="858"/>
      <c r="AI124" s="858"/>
      <c r="AJ124" s="858"/>
      <c r="AK124" s="858" t="str">
        <f>IF($A124="","",IF('[1]Pricing Summary'!$B$31="T&amp;M","Time and Material","Fixed Fee"))</f>
        <v/>
      </c>
      <c r="AL124" s="856"/>
      <c r="AM124" s="856"/>
      <c r="AN124" s="906" t="str">
        <f>IF($A124="","",'[1]Outputs Recap'!$C$12)</f>
        <v/>
      </c>
      <c r="AO124" s="861" t="str">
        <f>IF($A124="","",VLOOKUP('[1]Outputs Recap'!$C$11,[1]List!$I:$J,2,FALSE))</f>
        <v/>
      </c>
      <c r="AP124" s="856" t="str" cm="1">
        <f t="array" ref="AP124">IF($A124="","",_xlfn.IFS('[1]Pricing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4" s="862" t="str">
        <f>IF($A124="","",_xlfn.XLOOKUP('[1]Core Assumptions'!$D$20,'[1]Other Lookups'!$AH:$AH,'[1]Other Lookups'!$AI:$AI))</f>
        <v/>
      </c>
      <c r="AR124" s="863"/>
      <c r="AS124" s="864" t="str">
        <f>IF($A124="","",'[1]Outputs Recap'!$C$13)</f>
        <v/>
      </c>
      <c r="AT124" s="907"/>
      <c r="AU124" s="907"/>
      <c r="AV124" s="907" t="str">
        <f>IF($A124="","",IFERROR(+Table17[[#This Row],[Total Contract Amount]]*Table17[[#This Row],[First-year, one-time Onboarding/Setup Fee %]],0))</f>
        <v/>
      </c>
      <c r="AW124" s="853"/>
      <c r="AX124" s="867"/>
      <c r="AY124" s="908"/>
      <c r="AZ124" s="909"/>
      <c r="BA124" s="910"/>
      <c r="BB124" s="871"/>
      <c r="BC124" s="871"/>
      <c r="BD124" s="871"/>
      <c r="BE124" s="871"/>
      <c r="BF124" s="871"/>
      <c r="BG124" s="871"/>
      <c r="BH124" s="872"/>
      <c r="BI124" s="874"/>
      <c r="BJ124" s="874"/>
      <c r="BK124" s="874"/>
      <c r="BL124" s="875"/>
      <c r="BM124" s="876"/>
      <c r="BN124" s="911"/>
      <c r="BO124" s="878"/>
      <c r="BP124" s="879"/>
      <c r="BQ124" s="880"/>
      <c r="BR124" s="881"/>
      <c r="BS124" s="882"/>
      <c r="BT124" s="883"/>
      <c r="BU124" s="884"/>
      <c r="BV124" s="884"/>
      <c r="BW124" s="884"/>
      <c r="BX124" s="884"/>
      <c r="BY124" s="884"/>
      <c r="BZ124" s="884"/>
      <c r="CA124" s="884"/>
      <c r="CB124" s="884"/>
      <c r="CC124" s="884"/>
      <c r="CD124" s="884"/>
      <c r="CE124" s="885"/>
      <c r="CF124" s="885" t="str">
        <f>IF($A124="","",IF(#REF!&lt;&gt;0,#REF!-SUM(BT124:CE124),""))</f>
        <v/>
      </c>
      <c r="CG124" s="898" t="str">
        <f>IF(ISBLANK($X124)=FALSE,"NextGenApp Advisory LLC","")</f>
        <v/>
      </c>
      <c r="CH124" s="899" t="str">
        <f>_xlfn.IFNA(INDEX([1]List!AC:AC,MATCH(X124,[1]List!Y:Y,0)),"")</f>
        <v/>
      </c>
      <c r="CI124" s="900"/>
      <c r="CJ124" s="900"/>
      <c r="CK124" s="900"/>
      <c r="CL124" s="900"/>
      <c r="CM124" s="901"/>
      <c r="CN124" s="902"/>
      <c r="CO124" s="903"/>
      <c r="CP124" s="904"/>
      <c r="CQ124" s="892"/>
    </row>
    <row r="125" spans="1:95" x14ac:dyDescent="0.2">
      <c r="A125" s="894"/>
      <c r="B125" s="895"/>
      <c r="C125" s="896"/>
      <c r="D125" s="897"/>
      <c r="E125" s="897"/>
      <c r="F125" s="897"/>
      <c r="G125" s="897"/>
      <c r="H125" s="897"/>
      <c r="I125" s="897"/>
      <c r="J125" s="897"/>
      <c r="K125" s="897"/>
      <c r="L125" s="897"/>
      <c r="M125" s="897"/>
      <c r="N125" s="897"/>
      <c r="O125" s="897"/>
      <c r="P125" s="897"/>
      <c r="Q125" s="897"/>
      <c r="R125" s="897"/>
      <c r="S125" s="897"/>
      <c r="T125" s="897"/>
      <c r="U125" s="895"/>
      <c r="V125" s="852"/>
      <c r="W125" s="853"/>
      <c r="X125" s="853"/>
      <c r="Y125" s="853"/>
      <c r="Z125" s="853"/>
      <c r="AA125" s="853"/>
      <c r="AB125" s="854">
        <f>_xlfn.XLOOKUP(Table17[[#This Row],[Project Delivery Lead]],[1]List!Y:Y,[1]List!AC:AC)</f>
        <v>0</v>
      </c>
      <c r="AC125" s="853" t="str">
        <f>IF($A125="","",'[1]Core Assumptions'!$D145)</f>
        <v/>
      </c>
      <c r="AD125" s="855"/>
      <c r="AE125" s="905"/>
      <c r="AF125" s="857"/>
      <c r="AG125" s="857"/>
      <c r="AH125" s="858"/>
      <c r="AI125" s="858"/>
      <c r="AJ125" s="858"/>
      <c r="AK125" s="858" t="str">
        <f>IF($A125="","",IF('[1]Pricing Summary'!$B$31="T&amp;M","Time and Material","Fixed Fee"))</f>
        <v/>
      </c>
      <c r="AL125" s="856"/>
      <c r="AM125" s="856"/>
      <c r="AN125" s="906" t="str">
        <f>IF($A125="","",'[1]Outputs Recap'!$C$12)</f>
        <v/>
      </c>
      <c r="AO125" s="861" t="str">
        <f>IF($A125="","",VLOOKUP('[1]Outputs Recap'!$C$11,[1]List!$I:$J,2,FALSE))</f>
        <v/>
      </c>
      <c r="AP125" s="856" t="str" cm="1">
        <f t="array" ref="AP125">IF($A125="","",_xlfn.IFS('[1]Pricing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5" s="862" t="str">
        <f>IF($A125="","",_xlfn.XLOOKUP('[1]Core Assumptions'!$D$20,'[1]Other Lookups'!$AH:$AH,'[1]Other Lookups'!$AI:$AI))</f>
        <v/>
      </c>
      <c r="AR125" s="863"/>
      <c r="AS125" s="864" t="str">
        <f>IF($A125="","",'[1]Outputs Recap'!$C$13)</f>
        <v/>
      </c>
      <c r="AT125" s="907"/>
      <c r="AU125" s="907"/>
      <c r="AV125" s="907" t="str">
        <f>IF($A125="","",IFERROR(+Table17[[#This Row],[Total Contract Amount]]*Table17[[#This Row],[First-year, one-time Onboarding/Setup Fee %]],0))</f>
        <v/>
      </c>
      <c r="AW125" s="853"/>
      <c r="AX125" s="867"/>
      <c r="AY125" s="908"/>
      <c r="AZ125" s="909"/>
      <c r="BA125" s="910"/>
      <c r="BB125" s="871"/>
      <c r="BC125" s="871"/>
      <c r="BD125" s="871"/>
      <c r="BE125" s="871"/>
      <c r="BF125" s="871"/>
      <c r="BG125" s="871"/>
      <c r="BH125" s="872"/>
      <c r="BI125" s="874"/>
      <c r="BJ125" s="874"/>
      <c r="BK125" s="874"/>
      <c r="BL125" s="875"/>
      <c r="BM125" s="876"/>
      <c r="BN125" s="911"/>
      <c r="BO125" s="878"/>
      <c r="BP125" s="879"/>
      <c r="BQ125" s="880"/>
      <c r="BR125" s="881"/>
      <c r="BS125" s="882"/>
      <c r="BT125" s="883"/>
      <c r="BU125" s="884"/>
      <c r="BV125" s="884"/>
      <c r="BW125" s="884"/>
      <c r="BX125" s="884"/>
      <c r="BY125" s="884"/>
      <c r="BZ125" s="884"/>
      <c r="CA125" s="884"/>
      <c r="CB125" s="884"/>
      <c r="CC125" s="884"/>
      <c r="CD125" s="884"/>
      <c r="CE125" s="885"/>
      <c r="CF125" s="885" t="str">
        <f>IF($A125="","",IF(#REF!&lt;&gt;0,#REF!-SUM(BT125:CE125),""))</f>
        <v/>
      </c>
      <c r="CG125" s="898" t="str">
        <f>IF(ISBLANK($X125)=FALSE,"NextGenApp Advisory LLC","")</f>
        <v/>
      </c>
      <c r="CH125" s="899" t="str">
        <f>_xlfn.IFNA(INDEX([1]List!AC:AC,MATCH(X125,[1]List!Y:Y,0)),"")</f>
        <v/>
      </c>
      <c r="CI125" s="900"/>
      <c r="CJ125" s="900"/>
      <c r="CK125" s="900"/>
      <c r="CL125" s="900"/>
      <c r="CM125" s="901"/>
      <c r="CN125" s="902"/>
      <c r="CO125" s="903"/>
      <c r="CP125" s="904"/>
      <c r="CQ125" s="892"/>
    </row>
    <row r="126" spans="1:95" x14ac:dyDescent="0.2">
      <c r="A126" s="894"/>
      <c r="B126" s="895"/>
      <c r="C126" s="896"/>
      <c r="D126" s="897"/>
      <c r="E126" s="897"/>
      <c r="F126" s="897"/>
      <c r="G126" s="897"/>
      <c r="H126" s="897"/>
      <c r="I126" s="897"/>
      <c r="J126" s="897"/>
      <c r="K126" s="897"/>
      <c r="L126" s="897"/>
      <c r="M126" s="897"/>
      <c r="N126" s="897"/>
      <c r="O126" s="897"/>
      <c r="P126" s="897"/>
      <c r="Q126" s="897"/>
      <c r="R126" s="897"/>
      <c r="S126" s="897"/>
      <c r="T126" s="897"/>
      <c r="U126" s="895"/>
      <c r="V126" s="852"/>
      <c r="W126" s="853"/>
      <c r="X126" s="853"/>
      <c r="Y126" s="853"/>
      <c r="Z126" s="853"/>
      <c r="AA126" s="853"/>
      <c r="AB126" s="854">
        <f>_xlfn.XLOOKUP(Table17[[#This Row],[Project Delivery Lead]],[1]List!Y:Y,[1]List!AC:AC)</f>
        <v>0</v>
      </c>
      <c r="AC126" s="853" t="str">
        <f>IF($A126="","",'[1]Core Assumptions'!$D146)</f>
        <v/>
      </c>
      <c r="AD126" s="855"/>
      <c r="AE126" s="905"/>
      <c r="AF126" s="857"/>
      <c r="AG126" s="857"/>
      <c r="AH126" s="858"/>
      <c r="AI126" s="858"/>
      <c r="AJ126" s="858"/>
      <c r="AK126" s="858" t="str">
        <f>IF($A126="","",IF('[1]Pricing Summary'!$B$31="T&amp;M","Time and Material","Fixed Fee"))</f>
        <v/>
      </c>
      <c r="AL126" s="856"/>
      <c r="AM126" s="856"/>
      <c r="AN126" s="906" t="str">
        <f>IF($A126="","",'[1]Outputs Recap'!$C$12)</f>
        <v/>
      </c>
      <c r="AO126" s="861" t="str">
        <f>IF($A126="","",VLOOKUP('[1]Outputs Recap'!$C$11,[1]List!$I:$J,2,FALSE))</f>
        <v/>
      </c>
      <c r="AP126" s="856" t="str" cm="1">
        <f t="array" ref="AP126">IF($A126="","",_xlfn.IFS('[1]Pricing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6" s="862" t="str">
        <f>IF($A126="","",_xlfn.XLOOKUP('[1]Core Assumptions'!$D$20,'[1]Other Lookups'!$AH:$AH,'[1]Other Lookups'!$AI:$AI))</f>
        <v/>
      </c>
      <c r="AR126" s="863"/>
      <c r="AS126" s="864" t="str">
        <f>IF($A126="","",'[1]Outputs Recap'!$C$13)</f>
        <v/>
      </c>
      <c r="AT126" s="907"/>
      <c r="AU126" s="907"/>
      <c r="AV126" s="907" t="str">
        <f>IF($A126="","",IFERROR(+Table17[[#This Row],[Total Contract Amount]]*Table17[[#This Row],[First-year, one-time Onboarding/Setup Fee %]],0))</f>
        <v/>
      </c>
      <c r="AW126" s="853"/>
      <c r="AX126" s="867"/>
      <c r="AY126" s="908"/>
      <c r="AZ126" s="909"/>
      <c r="BA126" s="910"/>
      <c r="BB126" s="871"/>
      <c r="BC126" s="871"/>
      <c r="BD126" s="871"/>
      <c r="BE126" s="871"/>
      <c r="BF126" s="871"/>
      <c r="BG126" s="871"/>
      <c r="BH126" s="872"/>
      <c r="BI126" s="874"/>
      <c r="BJ126" s="874"/>
      <c r="BK126" s="874"/>
      <c r="BL126" s="875"/>
      <c r="BM126" s="876"/>
      <c r="BN126" s="911"/>
      <c r="BO126" s="878"/>
      <c r="BP126" s="879"/>
      <c r="BQ126" s="880"/>
      <c r="BR126" s="881"/>
      <c r="BS126" s="882"/>
      <c r="BT126" s="883"/>
      <c r="BU126" s="884"/>
      <c r="BV126" s="884"/>
      <c r="BW126" s="884"/>
      <c r="BX126" s="884"/>
      <c r="BY126" s="884"/>
      <c r="BZ126" s="884"/>
      <c r="CA126" s="884"/>
      <c r="CB126" s="884"/>
      <c r="CC126" s="884"/>
      <c r="CD126" s="884"/>
      <c r="CE126" s="885"/>
      <c r="CF126" s="885" t="str">
        <f>IF($A126="","",IF(#REF!&lt;&gt;0,#REF!-SUM(BT126:CE126),""))</f>
        <v/>
      </c>
      <c r="CG126" s="898" t="str">
        <f>IF(ISBLANK($X126)=FALSE,"NextGenApp Advisory LLC","")</f>
        <v/>
      </c>
      <c r="CH126" s="899" t="str">
        <f>_xlfn.IFNA(INDEX([1]List!AC:AC,MATCH(X126,[1]List!Y:Y,0)),"")</f>
        <v/>
      </c>
      <c r="CI126" s="900"/>
      <c r="CJ126" s="900"/>
      <c r="CK126" s="900"/>
      <c r="CL126" s="900"/>
      <c r="CM126" s="901"/>
      <c r="CN126" s="902"/>
      <c r="CO126" s="903"/>
      <c r="CP126" s="904"/>
      <c r="CQ126" s="892"/>
    </row>
    <row r="127" spans="1:95" x14ac:dyDescent="0.2">
      <c r="A127" s="894"/>
      <c r="B127" s="895"/>
      <c r="C127" s="896"/>
      <c r="D127" s="897"/>
      <c r="E127" s="897"/>
      <c r="F127" s="897"/>
      <c r="G127" s="897"/>
      <c r="H127" s="897"/>
      <c r="I127" s="897"/>
      <c r="J127" s="897"/>
      <c r="K127" s="897"/>
      <c r="L127" s="897"/>
      <c r="M127" s="897"/>
      <c r="N127" s="897"/>
      <c r="O127" s="897"/>
      <c r="P127" s="897"/>
      <c r="Q127" s="897"/>
      <c r="R127" s="897"/>
      <c r="S127" s="897"/>
      <c r="T127" s="897"/>
      <c r="U127" s="895"/>
      <c r="V127" s="852"/>
      <c r="W127" s="853"/>
      <c r="X127" s="853"/>
      <c r="Y127" s="853"/>
      <c r="Z127" s="853"/>
      <c r="AA127" s="853"/>
      <c r="AB127" s="854">
        <f>_xlfn.XLOOKUP(Table17[[#This Row],[Project Delivery Lead]],[1]List!Y:Y,[1]List!AC:AC)</f>
        <v>0</v>
      </c>
      <c r="AC127" s="853" t="str">
        <f>IF($A127="","",'[1]Core Assumptions'!$D147)</f>
        <v/>
      </c>
      <c r="AD127" s="855"/>
      <c r="AE127" s="905"/>
      <c r="AF127" s="857"/>
      <c r="AG127" s="857"/>
      <c r="AH127" s="858"/>
      <c r="AI127" s="858"/>
      <c r="AJ127" s="858"/>
      <c r="AK127" s="858" t="str">
        <f>IF($A127="","",IF('[1]Pricing Summary'!$B$31="T&amp;M","Time and Material","Fixed Fee"))</f>
        <v/>
      </c>
      <c r="AL127" s="856"/>
      <c r="AM127" s="856"/>
      <c r="AN127" s="906" t="str">
        <f>IF($A127="","",'[1]Outputs Recap'!$C$12)</f>
        <v/>
      </c>
      <c r="AO127" s="861" t="str">
        <f>IF($A127="","",VLOOKUP('[1]Outputs Recap'!$C$11,[1]List!$I:$J,2,FALSE))</f>
        <v/>
      </c>
      <c r="AP127" s="856" t="str" cm="1">
        <f t="array" ref="AP127">IF($A127="","",_xlfn.IFS('[1]Pricing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7" s="862" t="str">
        <f>IF($A127="","",_xlfn.XLOOKUP('[1]Core Assumptions'!$D$20,'[1]Other Lookups'!$AH:$AH,'[1]Other Lookups'!$AI:$AI))</f>
        <v/>
      </c>
      <c r="AR127" s="863"/>
      <c r="AS127" s="864" t="str">
        <f>IF($A127="","",'[1]Outputs Recap'!$C$13)</f>
        <v/>
      </c>
      <c r="AT127" s="907"/>
      <c r="AU127" s="907"/>
      <c r="AV127" s="907" t="str">
        <f>IF($A127="","",IFERROR(+Table17[[#This Row],[Total Contract Amount]]*Table17[[#This Row],[First-year, one-time Onboarding/Setup Fee %]],0))</f>
        <v/>
      </c>
      <c r="AW127" s="853"/>
      <c r="AX127" s="867"/>
      <c r="AY127" s="908"/>
      <c r="AZ127" s="909"/>
      <c r="BA127" s="910"/>
      <c r="BB127" s="871"/>
      <c r="BC127" s="871"/>
      <c r="BD127" s="871"/>
      <c r="BE127" s="871"/>
      <c r="BF127" s="871"/>
      <c r="BG127" s="871"/>
      <c r="BH127" s="872"/>
      <c r="BI127" s="874"/>
      <c r="BJ127" s="874"/>
      <c r="BK127" s="874"/>
      <c r="BL127" s="875"/>
      <c r="BM127" s="876"/>
      <c r="BN127" s="911"/>
      <c r="BO127" s="878"/>
      <c r="BP127" s="879"/>
      <c r="BQ127" s="880"/>
      <c r="BR127" s="881"/>
      <c r="BS127" s="882"/>
      <c r="BT127" s="883"/>
      <c r="BU127" s="884"/>
      <c r="BV127" s="884"/>
      <c r="BW127" s="884"/>
      <c r="BX127" s="884"/>
      <c r="BY127" s="884"/>
      <c r="BZ127" s="884"/>
      <c r="CA127" s="884"/>
      <c r="CB127" s="884"/>
      <c r="CC127" s="884"/>
      <c r="CD127" s="884"/>
      <c r="CE127" s="885"/>
      <c r="CF127" s="885" t="str">
        <f>IF($A127="","",IF(#REF!&lt;&gt;0,#REF!-SUM(BT127:CE127),""))</f>
        <v/>
      </c>
      <c r="CG127" s="898" t="str">
        <f>IF(ISBLANK($X127)=FALSE,"NextGenApp Advisory LLC","")</f>
        <v/>
      </c>
      <c r="CH127" s="899" t="str">
        <f>_xlfn.IFNA(INDEX([1]List!AC:AC,MATCH(X127,[1]List!Y:Y,0)),"")</f>
        <v/>
      </c>
      <c r="CI127" s="900"/>
      <c r="CJ127" s="900"/>
      <c r="CK127" s="900"/>
      <c r="CL127" s="900"/>
      <c r="CM127" s="901"/>
      <c r="CN127" s="902"/>
      <c r="CO127" s="903"/>
      <c r="CP127" s="904"/>
      <c r="CQ127" s="892"/>
    </row>
    <row r="128" spans="1:95" x14ac:dyDescent="0.2">
      <c r="A128" s="894"/>
      <c r="B128" s="895"/>
      <c r="C128" s="896"/>
      <c r="D128" s="897"/>
      <c r="E128" s="897"/>
      <c r="F128" s="897"/>
      <c r="G128" s="897"/>
      <c r="H128" s="897"/>
      <c r="I128" s="897"/>
      <c r="J128" s="897"/>
      <c r="K128" s="897"/>
      <c r="L128" s="897"/>
      <c r="M128" s="897"/>
      <c r="N128" s="897"/>
      <c r="O128" s="897"/>
      <c r="P128" s="897"/>
      <c r="Q128" s="897"/>
      <c r="R128" s="897"/>
      <c r="S128" s="897"/>
      <c r="T128" s="897"/>
      <c r="U128" s="895"/>
      <c r="V128" s="852"/>
      <c r="W128" s="853"/>
      <c r="X128" s="853"/>
      <c r="Y128" s="853"/>
      <c r="Z128" s="853"/>
      <c r="AA128" s="853"/>
      <c r="AB128" s="854">
        <f>_xlfn.XLOOKUP(Table17[[#This Row],[Project Delivery Lead]],[1]List!Y:Y,[1]List!AC:AC)</f>
        <v>0</v>
      </c>
      <c r="AC128" s="853" t="str">
        <f>IF($A128="","",'[1]Core Assumptions'!$D148)</f>
        <v/>
      </c>
      <c r="AD128" s="855"/>
      <c r="AE128" s="905"/>
      <c r="AF128" s="857"/>
      <c r="AG128" s="857"/>
      <c r="AH128" s="858"/>
      <c r="AI128" s="858"/>
      <c r="AJ128" s="858"/>
      <c r="AK128" s="858" t="str">
        <f>IF($A128="","",IF('[1]Pricing Summary'!$B$31="T&amp;M","Time and Material","Fixed Fee"))</f>
        <v/>
      </c>
      <c r="AL128" s="856"/>
      <c r="AM128" s="856"/>
      <c r="AN128" s="906" t="str">
        <f>IF($A128="","",'[1]Outputs Recap'!$C$12)</f>
        <v/>
      </c>
      <c r="AO128" s="861" t="str">
        <f>IF($A128="","",VLOOKUP('[1]Outputs Recap'!$C$11,[1]List!$I:$J,2,FALSE))</f>
        <v/>
      </c>
      <c r="AP128" s="856" t="str" cm="1">
        <f t="array" ref="AP128">IF($A128="","",_xlfn.IFS('[1]Pricing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8" s="862" t="str">
        <f>IF($A128="","",_xlfn.XLOOKUP('[1]Core Assumptions'!$D$20,'[1]Other Lookups'!$AH:$AH,'[1]Other Lookups'!$AI:$AI))</f>
        <v/>
      </c>
      <c r="AR128" s="863"/>
      <c r="AS128" s="864" t="str">
        <f>IF($A128="","",'[1]Outputs Recap'!$C$13)</f>
        <v/>
      </c>
      <c r="AT128" s="907"/>
      <c r="AU128" s="907"/>
      <c r="AV128" s="907" t="str">
        <f>IF($A128="","",IFERROR(+Table17[[#This Row],[Total Contract Amount]]*Table17[[#This Row],[First-year, one-time Onboarding/Setup Fee %]],0))</f>
        <v/>
      </c>
      <c r="AW128" s="853"/>
      <c r="AX128" s="867"/>
      <c r="AY128" s="908"/>
      <c r="AZ128" s="909"/>
      <c r="BA128" s="910"/>
      <c r="BB128" s="871"/>
      <c r="BC128" s="871"/>
      <c r="BD128" s="871"/>
      <c r="BE128" s="871"/>
      <c r="BF128" s="871"/>
      <c r="BG128" s="871"/>
      <c r="BH128" s="872"/>
      <c r="BI128" s="874"/>
      <c r="BJ128" s="874"/>
      <c r="BK128" s="874"/>
      <c r="BL128" s="875"/>
      <c r="BM128" s="876"/>
      <c r="BN128" s="911"/>
      <c r="BO128" s="878"/>
      <c r="BP128" s="879"/>
      <c r="BQ128" s="880"/>
      <c r="BR128" s="881"/>
      <c r="BS128" s="882"/>
      <c r="BT128" s="883"/>
      <c r="BU128" s="884"/>
      <c r="BV128" s="884"/>
      <c r="BW128" s="884"/>
      <c r="BX128" s="884"/>
      <c r="BY128" s="884"/>
      <c r="BZ128" s="884"/>
      <c r="CA128" s="884"/>
      <c r="CB128" s="884"/>
      <c r="CC128" s="884"/>
      <c r="CD128" s="884"/>
      <c r="CE128" s="885"/>
      <c r="CF128" s="885" t="str">
        <f>IF($A128="","",IF(#REF!&lt;&gt;0,#REF!-SUM(BT128:CE128),""))</f>
        <v/>
      </c>
      <c r="CG128" s="898" t="str">
        <f>IF(ISBLANK($X128)=FALSE,"NextGenApp Advisory LLC","")</f>
        <v/>
      </c>
      <c r="CH128" s="899" t="str">
        <f>_xlfn.IFNA(INDEX([1]List!AC:AC,MATCH(X128,[1]List!Y:Y,0)),"")</f>
        <v/>
      </c>
      <c r="CI128" s="900"/>
      <c r="CJ128" s="900"/>
      <c r="CK128" s="900"/>
      <c r="CL128" s="900"/>
      <c r="CM128" s="901"/>
      <c r="CN128" s="902"/>
      <c r="CO128" s="903"/>
      <c r="CP128" s="904"/>
      <c r="CQ128" s="892"/>
    </row>
    <row r="129" spans="1:95" x14ac:dyDescent="0.2">
      <c r="A129" s="894"/>
      <c r="B129" s="895"/>
      <c r="C129" s="896"/>
      <c r="D129" s="897"/>
      <c r="E129" s="897"/>
      <c r="F129" s="897"/>
      <c r="G129" s="897"/>
      <c r="H129" s="897"/>
      <c r="I129" s="897"/>
      <c r="J129" s="897"/>
      <c r="K129" s="897"/>
      <c r="L129" s="897"/>
      <c r="M129" s="897"/>
      <c r="N129" s="897"/>
      <c r="O129" s="897"/>
      <c r="P129" s="897"/>
      <c r="Q129" s="897"/>
      <c r="R129" s="897"/>
      <c r="S129" s="897"/>
      <c r="T129" s="897"/>
      <c r="U129" s="895"/>
      <c r="V129" s="852"/>
      <c r="W129" s="853"/>
      <c r="X129" s="853"/>
      <c r="Y129" s="853"/>
      <c r="Z129" s="853"/>
      <c r="AA129" s="853"/>
      <c r="AB129" s="854">
        <f>_xlfn.XLOOKUP(Table17[[#This Row],[Project Delivery Lead]],[1]List!Y:Y,[1]List!AC:AC)</f>
        <v>0</v>
      </c>
      <c r="AC129" s="853" t="str">
        <f>IF($A129="","",'[1]Core Assumptions'!$D149)</f>
        <v/>
      </c>
      <c r="AD129" s="855"/>
      <c r="AE129" s="905"/>
      <c r="AF129" s="857"/>
      <c r="AG129" s="857"/>
      <c r="AH129" s="858"/>
      <c r="AI129" s="858"/>
      <c r="AJ129" s="858"/>
      <c r="AK129" s="858" t="str">
        <f>IF($A129="","",IF('[1]Pricing Summary'!$B$31="T&amp;M","Time and Material","Fixed Fee"))</f>
        <v/>
      </c>
      <c r="AL129" s="856"/>
      <c r="AM129" s="856"/>
      <c r="AN129" s="906" t="str">
        <f>IF($A129="","",'[1]Outputs Recap'!$C$12)</f>
        <v/>
      </c>
      <c r="AO129" s="861" t="str">
        <f>IF($A129="","",VLOOKUP('[1]Outputs Recap'!$C$11,[1]List!$I:$J,2,FALSE))</f>
        <v/>
      </c>
      <c r="AP129" s="856" t="str" cm="1">
        <f t="array" ref="AP129">IF($A129="","",_xlfn.IFS('[1]Pricing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29" s="862" t="str">
        <f>IF($A129="","",_xlfn.XLOOKUP('[1]Core Assumptions'!$D$20,'[1]Other Lookups'!$AH:$AH,'[1]Other Lookups'!$AI:$AI))</f>
        <v/>
      </c>
      <c r="AR129" s="863"/>
      <c r="AS129" s="864" t="str">
        <f>IF($A129="","",'[1]Outputs Recap'!$C$13)</f>
        <v/>
      </c>
      <c r="AT129" s="907"/>
      <c r="AU129" s="907"/>
      <c r="AV129" s="907" t="str">
        <f>IF($A129="","",IFERROR(+Table17[[#This Row],[Total Contract Amount]]*Table17[[#This Row],[First-year, one-time Onboarding/Setup Fee %]],0))</f>
        <v/>
      </c>
      <c r="AW129" s="853"/>
      <c r="AX129" s="867"/>
      <c r="AY129" s="908"/>
      <c r="AZ129" s="909"/>
      <c r="BA129" s="910"/>
      <c r="BB129" s="871"/>
      <c r="BC129" s="871"/>
      <c r="BD129" s="871"/>
      <c r="BE129" s="871"/>
      <c r="BF129" s="871"/>
      <c r="BG129" s="871"/>
      <c r="BH129" s="872"/>
      <c r="BI129" s="874"/>
      <c r="BJ129" s="874"/>
      <c r="BK129" s="874"/>
      <c r="BL129" s="875"/>
      <c r="BM129" s="876"/>
      <c r="BN129" s="911"/>
      <c r="BO129" s="878"/>
      <c r="BP129" s="879"/>
      <c r="BQ129" s="880"/>
      <c r="BR129" s="881"/>
      <c r="BS129" s="882"/>
      <c r="BT129" s="883"/>
      <c r="BU129" s="884"/>
      <c r="BV129" s="884"/>
      <c r="BW129" s="884"/>
      <c r="BX129" s="884"/>
      <c r="BY129" s="884"/>
      <c r="BZ129" s="884"/>
      <c r="CA129" s="884"/>
      <c r="CB129" s="884"/>
      <c r="CC129" s="884"/>
      <c r="CD129" s="884"/>
      <c r="CE129" s="885"/>
      <c r="CF129" s="885" t="str">
        <f>IF($A129="","",IF(#REF!&lt;&gt;0,#REF!-SUM(BT129:CE129),""))</f>
        <v/>
      </c>
      <c r="CG129" s="898" t="str">
        <f>IF(ISBLANK($X129)=FALSE,"NextGenApp Advisory LLC","")</f>
        <v/>
      </c>
      <c r="CH129" s="899" t="str">
        <f>_xlfn.IFNA(INDEX([1]List!AC:AC,MATCH(X129,[1]List!Y:Y,0)),"")</f>
        <v/>
      </c>
      <c r="CI129" s="900"/>
      <c r="CJ129" s="900"/>
      <c r="CK129" s="900"/>
      <c r="CL129" s="900"/>
      <c r="CM129" s="901"/>
      <c r="CN129" s="902"/>
      <c r="CO129" s="903"/>
      <c r="CP129" s="904"/>
      <c r="CQ129" s="892"/>
    </row>
    <row r="130" spans="1:95" x14ac:dyDescent="0.2">
      <c r="A130" s="894"/>
      <c r="B130" s="895"/>
      <c r="C130" s="896"/>
      <c r="D130" s="897"/>
      <c r="E130" s="897"/>
      <c r="F130" s="897"/>
      <c r="G130" s="897"/>
      <c r="H130" s="897"/>
      <c r="I130" s="897"/>
      <c r="J130" s="897"/>
      <c r="K130" s="897"/>
      <c r="L130" s="897"/>
      <c r="M130" s="897"/>
      <c r="N130" s="897"/>
      <c r="O130" s="897"/>
      <c r="P130" s="897"/>
      <c r="Q130" s="897"/>
      <c r="R130" s="897"/>
      <c r="S130" s="897"/>
      <c r="T130" s="897"/>
      <c r="U130" s="895"/>
      <c r="V130" s="852"/>
      <c r="W130" s="853"/>
      <c r="X130" s="853"/>
      <c r="Y130" s="853"/>
      <c r="Z130" s="853"/>
      <c r="AA130" s="853"/>
      <c r="AB130" s="854">
        <f>_xlfn.XLOOKUP(Table17[[#This Row],[Project Delivery Lead]],[1]List!Y:Y,[1]List!AC:AC)</f>
        <v>0</v>
      </c>
      <c r="AC130" s="853" t="str">
        <f>IF($A130="","",'[1]Core Assumptions'!$D150)</f>
        <v/>
      </c>
      <c r="AD130" s="855"/>
      <c r="AE130" s="905"/>
      <c r="AF130" s="857"/>
      <c r="AG130" s="857"/>
      <c r="AH130" s="858"/>
      <c r="AI130" s="858"/>
      <c r="AJ130" s="858"/>
      <c r="AK130" s="858" t="str">
        <f>IF($A130="","",IF('[1]Pricing Summary'!$B$31="T&amp;M","Time and Material","Fixed Fee"))</f>
        <v/>
      </c>
      <c r="AL130" s="856"/>
      <c r="AM130" s="856"/>
      <c r="AN130" s="906" t="str">
        <f>IF($A130="","",'[1]Outputs Recap'!$C$12)</f>
        <v/>
      </c>
      <c r="AO130" s="861" t="str">
        <f>IF($A130="","",VLOOKUP('[1]Outputs Recap'!$C$11,[1]List!$I:$J,2,FALSE))</f>
        <v/>
      </c>
      <c r="AP130" s="856" t="str" cm="1">
        <f t="array" ref="AP130">IF($A130="","",_xlfn.IFS('[1]Pricing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0" s="862" t="str">
        <f>IF($A130="","",_xlfn.XLOOKUP('[1]Core Assumptions'!$D$20,'[1]Other Lookups'!$AH:$AH,'[1]Other Lookups'!$AI:$AI))</f>
        <v/>
      </c>
      <c r="AR130" s="863"/>
      <c r="AS130" s="864" t="str">
        <f>IF($A130="","",'[1]Outputs Recap'!$C$13)</f>
        <v/>
      </c>
      <c r="AT130" s="907"/>
      <c r="AU130" s="907"/>
      <c r="AV130" s="907" t="str">
        <f>IF($A130="","",IFERROR(+Table17[[#This Row],[Total Contract Amount]]*Table17[[#This Row],[First-year, one-time Onboarding/Setup Fee %]],0))</f>
        <v/>
      </c>
      <c r="AW130" s="853"/>
      <c r="AX130" s="867"/>
      <c r="AY130" s="908"/>
      <c r="AZ130" s="909"/>
      <c r="BA130" s="910"/>
      <c r="BB130" s="871"/>
      <c r="BC130" s="871"/>
      <c r="BD130" s="871"/>
      <c r="BE130" s="871"/>
      <c r="BF130" s="871"/>
      <c r="BG130" s="871"/>
      <c r="BH130" s="872"/>
      <c r="BI130" s="874"/>
      <c r="BJ130" s="874"/>
      <c r="BK130" s="874"/>
      <c r="BL130" s="875"/>
      <c r="BM130" s="876"/>
      <c r="BN130" s="911"/>
      <c r="BO130" s="878"/>
      <c r="BP130" s="879"/>
      <c r="BQ130" s="880"/>
      <c r="BR130" s="881"/>
      <c r="BS130" s="882"/>
      <c r="BT130" s="883"/>
      <c r="BU130" s="884"/>
      <c r="BV130" s="884"/>
      <c r="BW130" s="884"/>
      <c r="BX130" s="884"/>
      <c r="BY130" s="884"/>
      <c r="BZ130" s="884"/>
      <c r="CA130" s="884"/>
      <c r="CB130" s="884"/>
      <c r="CC130" s="884"/>
      <c r="CD130" s="884"/>
      <c r="CE130" s="885"/>
      <c r="CF130" s="885" t="str">
        <f>IF($A130="","",IF(#REF!&lt;&gt;0,#REF!-SUM(BT130:CE130),""))</f>
        <v/>
      </c>
      <c r="CG130" s="898" t="str">
        <f>IF(ISBLANK($X130)=FALSE,"NextGenApp Advisory LLC","")</f>
        <v/>
      </c>
      <c r="CH130" s="899" t="str">
        <f>_xlfn.IFNA(INDEX([1]List!AC:AC,MATCH(X130,[1]List!Y:Y,0)),"")</f>
        <v/>
      </c>
      <c r="CI130" s="900"/>
      <c r="CJ130" s="900"/>
      <c r="CK130" s="900"/>
      <c r="CL130" s="900"/>
      <c r="CM130" s="901"/>
      <c r="CN130" s="902"/>
      <c r="CO130" s="903"/>
      <c r="CP130" s="904"/>
      <c r="CQ130" s="892"/>
    </row>
    <row r="131" spans="1:95" x14ac:dyDescent="0.2">
      <c r="A131" s="894"/>
      <c r="B131" s="895"/>
      <c r="C131" s="896"/>
      <c r="D131" s="897"/>
      <c r="E131" s="897"/>
      <c r="F131" s="897"/>
      <c r="G131" s="897"/>
      <c r="H131" s="897"/>
      <c r="I131" s="897"/>
      <c r="J131" s="897"/>
      <c r="K131" s="897"/>
      <c r="L131" s="897"/>
      <c r="M131" s="897"/>
      <c r="N131" s="897"/>
      <c r="O131" s="897"/>
      <c r="P131" s="897"/>
      <c r="Q131" s="897"/>
      <c r="R131" s="897"/>
      <c r="S131" s="897"/>
      <c r="T131" s="897"/>
      <c r="U131" s="895"/>
      <c r="V131" s="852"/>
      <c r="W131" s="853"/>
      <c r="X131" s="853"/>
      <c r="Y131" s="853"/>
      <c r="Z131" s="853"/>
      <c r="AA131" s="853"/>
      <c r="AB131" s="854">
        <f>_xlfn.XLOOKUP(Table17[[#This Row],[Project Delivery Lead]],[1]List!Y:Y,[1]List!AC:AC)</f>
        <v>0</v>
      </c>
      <c r="AC131" s="853" t="str">
        <f>IF($A131="","",'[1]Core Assumptions'!$D151)</f>
        <v/>
      </c>
      <c r="AD131" s="855"/>
      <c r="AE131" s="905"/>
      <c r="AF131" s="857"/>
      <c r="AG131" s="857"/>
      <c r="AH131" s="858"/>
      <c r="AI131" s="858"/>
      <c r="AJ131" s="858"/>
      <c r="AK131" s="858" t="str">
        <f>IF($A131="","",IF('[1]Pricing Summary'!$B$31="T&amp;M","Time and Material","Fixed Fee"))</f>
        <v/>
      </c>
      <c r="AL131" s="856"/>
      <c r="AM131" s="856"/>
      <c r="AN131" s="906" t="str">
        <f>IF($A131="","",'[1]Outputs Recap'!$C$12)</f>
        <v/>
      </c>
      <c r="AO131" s="861" t="str">
        <f>IF($A131="","",VLOOKUP('[1]Outputs Recap'!$C$11,[1]List!$I:$J,2,FALSE))</f>
        <v/>
      </c>
      <c r="AP131" s="856" t="str" cm="1">
        <f t="array" ref="AP131">IF($A131="","",_xlfn.IFS('[1]Pricing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1" s="862" t="str">
        <f>IF($A131="","",_xlfn.XLOOKUP('[1]Core Assumptions'!$D$20,'[1]Other Lookups'!$AH:$AH,'[1]Other Lookups'!$AI:$AI))</f>
        <v/>
      </c>
      <c r="AR131" s="863"/>
      <c r="AS131" s="864" t="str">
        <f>IF($A131="","",'[1]Outputs Recap'!$C$13)</f>
        <v/>
      </c>
      <c r="AT131" s="907"/>
      <c r="AU131" s="907"/>
      <c r="AV131" s="907" t="str">
        <f>IF($A131="","",IFERROR(+Table17[[#This Row],[Total Contract Amount]]*Table17[[#This Row],[First-year, one-time Onboarding/Setup Fee %]],0))</f>
        <v/>
      </c>
      <c r="AW131" s="853"/>
      <c r="AX131" s="867"/>
      <c r="AY131" s="908"/>
      <c r="AZ131" s="909"/>
      <c r="BA131" s="910"/>
      <c r="BB131" s="871"/>
      <c r="BC131" s="871"/>
      <c r="BD131" s="871"/>
      <c r="BE131" s="871"/>
      <c r="BF131" s="871"/>
      <c r="BG131" s="871"/>
      <c r="BH131" s="872"/>
      <c r="BI131" s="874"/>
      <c r="BJ131" s="874"/>
      <c r="BK131" s="874"/>
      <c r="BL131" s="875"/>
      <c r="BM131" s="876"/>
      <c r="BN131" s="911"/>
      <c r="BO131" s="878"/>
      <c r="BP131" s="879"/>
      <c r="BQ131" s="880"/>
      <c r="BR131" s="881"/>
      <c r="BS131" s="882"/>
      <c r="BT131" s="883"/>
      <c r="BU131" s="884"/>
      <c r="BV131" s="884"/>
      <c r="BW131" s="884"/>
      <c r="BX131" s="884"/>
      <c r="BY131" s="884"/>
      <c r="BZ131" s="884"/>
      <c r="CA131" s="884"/>
      <c r="CB131" s="884"/>
      <c r="CC131" s="884"/>
      <c r="CD131" s="884"/>
      <c r="CE131" s="885"/>
      <c r="CF131" s="885" t="str">
        <f>IF($A131="","",IF(#REF!&lt;&gt;0,#REF!-SUM(BT131:CE131),""))</f>
        <v/>
      </c>
      <c r="CG131" s="898" t="str">
        <f>IF(ISBLANK($X131)=FALSE,"NextGenApp Advisory LLC","")</f>
        <v/>
      </c>
      <c r="CH131" s="899" t="str">
        <f>_xlfn.IFNA(INDEX([1]List!AC:AC,MATCH(X131,[1]List!Y:Y,0)),"")</f>
        <v/>
      </c>
      <c r="CI131" s="900"/>
      <c r="CJ131" s="900"/>
      <c r="CK131" s="900"/>
      <c r="CL131" s="900"/>
      <c r="CM131" s="901"/>
      <c r="CN131" s="902"/>
      <c r="CO131" s="903"/>
      <c r="CP131" s="904"/>
      <c r="CQ131" s="892"/>
    </row>
    <row r="132" spans="1:95" x14ac:dyDescent="0.2">
      <c r="A132" s="894"/>
      <c r="B132" s="895"/>
      <c r="C132" s="896"/>
      <c r="D132" s="897"/>
      <c r="E132" s="897"/>
      <c r="F132" s="897"/>
      <c r="G132" s="897"/>
      <c r="H132" s="897"/>
      <c r="I132" s="897"/>
      <c r="J132" s="897"/>
      <c r="K132" s="897"/>
      <c r="L132" s="897"/>
      <c r="M132" s="897"/>
      <c r="N132" s="897"/>
      <c r="O132" s="897"/>
      <c r="P132" s="897"/>
      <c r="Q132" s="897"/>
      <c r="R132" s="897"/>
      <c r="S132" s="897"/>
      <c r="T132" s="897"/>
      <c r="U132" s="895"/>
      <c r="V132" s="852"/>
      <c r="W132" s="853"/>
      <c r="X132" s="853"/>
      <c r="Y132" s="853"/>
      <c r="Z132" s="853"/>
      <c r="AA132" s="853"/>
      <c r="AB132" s="854">
        <f>_xlfn.XLOOKUP(Table17[[#This Row],[Project Delivery Lead]],[1]List!Y:Y,[1]List!AC:AC)</f>
        <v>0</v>
      </c>
      <c r="AC132" s="853" t="str">
        <f>IF($A132="","",'[1]Core Assumptions'!$D152)</f>
        <v/>
      </c>
      <c r="AD132" s="855"/>
      <c r="AE132" s="905"/>
      <c r="AF132" s="857"/>
      <c r="AG132" s="857"/>
      <c r="AH132" s="858"/>
      <c r="AI132" s="858"/>
      <c r="AJ132" s="858"/>
      <c r="AK132" s="858" t="str">
        <f>IF($A132="","",IF('[1]Pricing Summary'!$B$31="T&amp;M","Time and Material","Fixed Fee"))</f>
        <v/>
      </c>
      <c r="AL132" s="856"/>
      <c r="AM132" s="856"/>
      <c r="AN132" s="906" t="str">
        <f>IF($A132="","",'[1]Outputs Recap'!$C$12)</f>
        <v/>
      </c>
      <c r="AO132" s="861" t="str">
        <f>IF($A132="","",VLOOKUP('[1]Outputs Recap'!$C$11,[1]List!$I:$J,2,FALSE))</f>
        <v/>
      </c>
      <c r="AP132" s="856" t="str" cm="1">
        <f t="array" ref="AP132">IF($A132="","",_xlfn.IFS('[1]Pricing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2" s="862" t="str">
        <f>IF($A132="","",_xlfn.XLOOKUP('[1]Core Assumptions'!$D$20,'[1]Other Lookups'!$AH:$AH,'[1]Other Lookups'!$AI:$AI))</f>
        <v/>
      </c>
      <c r="AR132" s="863"/>
      <c r="AS132" s="864" t="str">
        <f>IF($A132="","",'[1]Outputs Recap'!$C$13)</f>
        <v/>
      </c>
      <c r="AT132" s="907"/>
      <c r="AU132" s="907"/>
      <c r="AV132" s="907" t="str">
        <f>IF($A132="","",IFERROR(+Table17[[#This Row],[Total Contract Amount]]*Table17[[#This Row],[First-year, one-time Onboarding/Setup Fee %]],0))</f>
        <v/>
      </c>
      <c r="AW132" s="853"/>
      <c r="AX132" s="867"/>
      <c r="AY132" s="908"/>
      <c r="AZ132" s="909"/>
      <c r="BA132" s="910"/>
      <c r="BB132" s="871"/>
      <c r="BC132" s="871"/>
      <c r="BD132" s="871"/>
      <c r="BE132" s="871"/>
      <c r="BF132" s="871"/>
      <c r="BG132" s="871"/>
      <c r="BH132" s="872"/>
      <c r="BI132" s="874"/>
      <c r="BJ132" s="874"/>
      <c r="BK132" s="874"/>
      <c r="BL132" s="875"/>
      <c r="BM132" s="876"/>
      <c r="BN132" s="911"/>
      <c r="BO132" s="878"/>
      <c r="BP132" s="879"/>
      <c r="BQ132" s="880"/>
      <c r="BR132" s="881"/>
      <c r="BS132" s="882"/>
      <c r="BT132" s="883"/>
      <c r="BU132" s="884"/>
      <c r="BV132" s="884"/>
      <c r="BW132" s="884"/>
      <c r="BX132" s="884"/>
      <c r="BY132" s="884"/>
      <c r="BZ132" s="884"/>
      <c r="CA132" s="884"/>
      <c r="CB132" s="884"/>
      <c r="CC132" s="884"/>
      <c r="CD132" s="884"/>
      <c r="CE132" s="885"/>
      <c r="CF132" s="885" t="str">
        <f>IF($A132="","",IF(#REF!&lt;&gt;0,#REF!-SUM(BT132:CE132),""))</f>
        <v/>
      </c>
      <c r="CG132" s="898" t="str">
        <f>IF(ISBLANK($X132)=FALSE,"NextGenApp Advisory LLC","")</f>
        <v/>
      </c>
      <c r="CH132" s="899" t="str">
        <f>_xlfn.IFNA(INDEX([1]List!AC:AC,MATCH(X132,[1]List!Y:Y,0)),"")</f>
        <v/>
      </c>
      <c r="CI132" s="900"/>
      <c r="CJ132" s="900"/>
      <c r="CK132" s="900"/>
      <c r="CL132" s="900"/>
      <c r="CM132" s="901"/>
      <c r="CN132" s="902"/>
      <c r="CO132" s="903"/>
      <c r="CP132" s="904"/>
      <c r="CQ132" s="892"/>
    </row>
    <row r="133" spans="1:95" x14ac:dyDescent="0.2">
      <c r="A133" s="894"/>
      <c r="B133" s="895"/>
      <c r="C133" s="896"/>
      <c r="D133" s="897"/>
      <c r="E133" s="897"/>
      <c r="F133" s="897"/>
      <c r="G133" s="897"/>
      <c r="H133" s="897"/>
      <c r="I133" s="897"/>
      <c r="J133" s="897"/>
      <c r="K133" s="897"/>
      <c r="L133" s="897"/>
      <c r="M133" s="897"/>
      <c r="N133" s="897"/>
      <c r="O133" s="897"/>
      <c r="P133" s="897"/>
      <c r="Q133" s="897"/>
      <c r="R133" s="897"/>
      <c r="S133" s="897"/>
      <c r="T133" s="897"/>
      <c r="U133" s="895"/>
      <c r="V133" s="852"/>
      <c r="W133" s="853"/>
      <c r="X133" s="853"/>
      <c r="Y133" s="853"/>
      <c r="Z133" s="853"/>
      <c r="AA133" s="853"/>
      <c r="AB133" s="854">
        <f>_xlfn.XLOOKUP(Table17[[#This Row],[Project Delivery Lead]],[1]List!Y:Y,[1]List!AC:AC)</f>
        <v>0</v>
      </c>
      <c r="AC133" s="853" t="str">
        <f>IF($A133="","",'[1]Core Assumptions'!$D153)</f>
        <v/>
      </c>
      <c r="AD133" s="855"/>
      <c r="AE133" s="905"/>
      <c r="AF133" s="857"/>
      <c r="AG133" s="857"/>
      <c r="AH133" s="858"/>
      <c r="AI133" s="858"/>
      <c r="AJ133" s="858"/>
      <c r="AK133" s="858" t="str">
        <f>IF($A133="","",IF('[1]Pricing Summary'!$B$31="T&amp;M","Time and Material","Fixed Fee"))</f>
        <v/>
      </c>
      <c r="AL133" s="856"/>
      <c r="AM133" s="856"/>
      <c r="AN133" s="906" t="str">
        <f>IF($A133="","",'[1]Outputs Recap'!$C$12)</f>
        <v/>
      </c>
      <c r="AO133" s="861" t="str">
        <f>IF($A133="","",VLOOKUP('[1]Outputs Recap'!$C$11,[1]List!$I:$J,2,FALSE))</f>
        <v/>
      </c>
      <c r="AP133" s="856" t="str" cm="1">
        <f t="array" ref="AP133">IF($A133="","",_xlfn.IFS('[1]Pricing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3" s="862" t="str">
        <f>IF($A133="","",_xlfn.XLOOKUP('[1]Core Assumptions'!$D$20,'[1]Other Lookups'!$AH:$AH,'[1]Other Lookups'!$AI:$AI))</f>
        <v/>
      </c>
      <c r="AR133" s="863"/>
      <c r="AS133" s="864" t="str">
        <f>IF($A133="","",'[1]Outputs Recap'!$C$13)</f>
        <v/>
      </c>
      <c r="AT133" s="907"/>
      <c r="AU133" s="907"/>
      <c r="AV133" s="907" t="str">
        <f>IF($A133="","",IFERROR(+Table17[[#This Row],[Total Contract Amount]]*Table17[[#This Row],[First-year, one-time Onboarding/Setup Fee %]],0))</f>
        <v/>
      </c>
      <c r="AW133" s="853"/>
      <c r="AX133" s="867"/>
      <c r="AY133" s="908"/>
      <c r="AZ133" s="909"/>
      <c r="BA133" s="910"/>
      <c r="BB133" s="871"/>
      <c r="BC133" s="871"/>
      <c r="BD133" s="871"/>
      <c r="BE133" s="871"/>
      <c r="BF133" s="871"/>
      <c r="BG133" s="871"/>
      <c r="BH133" s="872"/>
      <c r="BI133" s="874"/>
      <c r="BJ133" s="874"/>
      <c r="BK133" s="874"/>
      <c r="BL133" s="875"/>
      <c r="BM133" s="876"/>
      <c r="BN133" s="911"/>
      <c r="BO133" s="878"/>
      <c r="BP133" s="879"/>
      <c r="BQ133" s="880"/>
      <c r="BR133" s="881"/>
      <c r="BS133" s="882"/>
      <c r="BT133" s="883"/>
      <c r="BU133" s="884"/>
      <c r="BV133" s="884"/>
      <c r="BW133" s="884"/>
      <c r="BX133" s="884"/>
      <c r="BY133" s="884"/>
      <c r="BZ133" s="884"/>
      <c r="CA133" s="884"/>
      <c r="CB133" s="884"/>
      <c r="CC133" s="884"/>
      <c r="CD133" s="884"/>
      <c r="CE133" s="885"/>
      <c r="CF133" s="885" t="str">
        <f>IF($A133="","",IF(#REF!&lt;&gt;0,#REF!-SUM(BT133:CE133),""))</f>
        <v/>
      </c>
      <c r="CG133" s="898" t="str">
        <f>IF(ISBLANK($X133)=FALSE,"NextGenApp Advisory LLC","")</f>
        <v/>
      </c>
      <c r="CH133" s="899" t="str">
        <f>_xlfn.IFNA(INDEX([1]List!AC:AC,MATCH(X133,[1]List!Y:Y,0)),"")</f>
        <v/>
      </c>
      <c r="CI133" s="900"/>
      <c r="CJ133" s="900"/>
      <c r="CK133" s="900"/>
      <c r="CL133" s="900"/>
      <c r="CM133" s="901"/>
      <c r="CN133" s="902"/>
      <c r="CO133" s="903"/>
      <c r="CP133" s="904"/>
      <c r="CQ133" s="892"/>
    </row>
    <row r="134" spans="1:95" x14ac:dyDescent="0.2">
      <c r="A134" s="894"/>
      <c r="B134" s="895"/>
      <c r="C134" s="896"/>
      <c r="D134" s="897"/>
      <c r="E134" s="897"/>
      <c r="F134" s="897"/>
      <c r="G134" s="897"/>
      <c r="H134" s="897"/>
      <c r="I134" s="897"/>
      <c r="J134" s="897"/>
      <c r="K134" s="897"/>
      <c r="L134" s="897"/>
      <c r="M134" s="897"/>
      <c r="N134" s="897"/>
      <c r="O134" s="897"/>
      <c r="P134" s="897"/>
      <c r="Q134" s="897"/>
      <c r="R134" s="897"/>
      <c r="S134" s="897"/>
      <c r="T134" s="897"/>
      <c r="U134" s="895"/>
      <c r="V134" s="852"/>
      <c r="W134" s="853"/>
      <c r="X134" s="853"/>
      <c r="Y134" s="853"/>
      <c r="Z134" s="853"/>
      <c r="AA134" s="853"/>
      <c r="AB134" s="854">
        <f>_xlfn.XLOOKUP(Table17[[#This Row],[Project Delivery Lead]],[1]List!Y:Y,[1]List!AC:AC)</f>
        <v>0</v>
      </c>
      <c r="AC134" s="853" t="str">
        <f>IF($A134="","",'[1]Core Assumptions'!$D154)</f>
        <v/>
      </c>
      <c r="AD134" s="855"/>
      <c r="AE134" s="905"/>
      <c r="AF134" s="857"/>
      <c r="AG134" s="857"/>
      <c r="AH134" s="858"/>
      <c r="AI134" s="858"/>
      <c r="AJ134" s="858"/>
      <c r="AK134" s="858" t="str">
        <f>IF($A134="","",IF('[1]Pricing Summary'!$B$31="T&amp;M","Time and Material","Fixed Fee"))</f>
        <v/>
      </c>
      <c r="AL134" s="856"/>
      <c r="AM134" s="856"/>
      <c r="AN134" s="906" t="str">
        <f>IF($A134="","",'[1]Outputs Recap'!$C$12)</f>
        <v/>
      </c>
      <c r="AO134" s="861" t="str">
        <f>IF($A134="","",VLOOKUP('[1]Outputs Recap'!$C$11,[1]List!$I:$J,2,FALSE))</f>
        <v/>
      </c>
      <c r="AP134" s="856" t="str" cm="1">
        <f t="array" ref="AP134">IF($A134="","",_xlfn.IFS('[1]Pricing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4" s="862" t="str">
        <f>IF($A134="","",_xlfn.XLOOKUP('[1]Core Assumptions'!$D$20,'[1]Other Lookups'!$AH:$AH,'[1]Other Lookups'!$AI:$AI))</f>
        <v/>
      </c>
      <c r="AR134" s="863"/>
      <c r="AS134" s="864" t="str">
        <f>IF($A134="","",'[1]Outputs Recap'!$C$13)</f>
        <v/>
      </c>
      <c r="AT134" s="907"/>
      <c r="AU134" s="907"/>
      <c r="AV134" s="907" t="str">
        <f>IF($A134="","",IFERROR(+Table17[[#This Row],[Total Contract Amount]]*Table17[[#This Row],[First-year, one-time Onboarding/Setup Fee %]],0))</f>
        <v/>
      </c>
      <c r="AW134" s="853"/>
      <c r="AX134" s="867"/>
      <c r="AY134" s="908"/>
      <c r="AZ134" s="909"/>
      <c r="BA134" s="910"/>
      <c r="BB134" s="871"/>
      <c r="BC134" s="871"/>
      <c r="BD134" s="871"/>
      <c r="BE134" s="871"/>
      <c r="BF134" s="871"/>
      <c r="BG134" s="871"/>
      <c r="BH134" s="872"/>
      <c r="BI134" s="874"/>
      <c r="BJ134" s="874"/>
      <c r="BK134" s="874"/>
      <c r="BL134" s="875"/>
      <c r="BM134" s="876"/>
      <c r="BN134" s="911"/>
      <c r="BO134" s="878"/>
      <c r="BP134" s="879"/>
      <c r="BQ134" s="880"/>
      <c r="BR134" s="881"/>
      <c r="BS134" s="882"/>
      <c r="BT134" s="883"/>
      <c r="BU134" s="884"/>
      <c r="BV134" s="884"/>
      <c r="BW134" s="884"/>
      <c r="BX134" s="884"/>
      <c r="BY134" s="884"/>
      <c r="BZ134" s="884"/>
      <c r="CA134" s="884"/>
      <c r="CB134" s="884"/>
      <c r="CC134" s="884"/>
      <c r="CD134" s="884"/>
      <c r="CE134" s="885"/>
      <c r="CF134" s="885" t="str">
        <f>IF($A134="","",IF(#REF!&lt;&gt;0,#REF!-SUM(BT134:CE134),""))</f>
        <v/>
      </c>
      <c r="CG134" s="898" t="str">
        <f>IF(ISBLANK($X134)=FALSE,"NextGenApp Advisory LLC","")</f>
        <v/>
      </c>
      <c r="CH134" s="899" t="str">
        <f>_xlfn.IFNA(INDEX([1]List!AC:AC,MATCH(X134,[1]List!Y:Y,0)),"")</f>
        <v/>
      </c>
      <c r="CI134" s="900"/>
      <c r="CJ134" s="900"/>
      <c r="CK134" s="900"/>
      <c r="CL134" s="900"/>
      <c r="CM134" s="901"/>
      <c r="CN134" s="902"/>
      <c r="CO134" s="903"/>
      <c r="CP134" s="904"/>
      <c r="CQ134" s="892"/>
    </row>
    <row r="135" spans="1:95" x14ac:dyDescent="0.2">
      <c r="A135" s="894"/>
      <c r="B135" s="895"/>
      <c r="C135" s="896"/>
      <c r="D135" s="897"/>
      <c r="E135" s="897"/>
      <c r="F135" s="897"/>
      <c r="G135" s="897"/>
      <c r="H135" s="897"/>
      <c r="I135" s="897"/>
      <c r="J135" s="897"/>
      <c r="K135" s="897"/>
      <c r="L135" s="897"/>
      <c r="M135" s="897"/>
      <c r="N135" s="897"/>
      <c r="O135" s="897"/>
      <c r="P135" s="897"/>
      <c r="Q135" s="897"/>
      <c r="R135" s="897"/>
      <c r="S135" s="897"/>
      <c r="T135" s="897"/>
      <c r="U135" s="895"/>
      <c r="V135" s="852"/>
      <c r="W135" s="853"/>
      <c r="X135" s="853"/>
      <c r="Y135" s="853"/>
      <c r="Z135" s="853"/>
      <c r="AA135" s="853"/>
      <c r="AB135" s="854">
        <f>_xlfn.XLOOKUP(Table17[[#This Row],[Project Delivery Lead]],[1]List!Y:Y,[1]List!AC:AC)</f>
        <v>0</v>
      </c>
      <c r="AC135" s="853" t="str">
        <f>IF($A135="","",'[1]Core Assumptions'!$D155)</f>
        <v/>
      </c>
      <c r="AD135" s="855"/>
      <c r="AE135" s="905"/>
      <c r="AF135" s="857"/>
      <c r="AG135" s="857"/>
      <c r="AH135" s="858"/>
      <c r="AI135" s="858"/>
      <c r="AJ135" s="858"/>
      <c r="AK135" s="858" t="str">
        <f>IF($A135="","",IF('[1]Pricing Summary'!$B$31="T&amp;M","Time and Material","Fixed Fee"))</f>
        <v/>
      </c>
      <c r="AL135" s="856"/>
      <c r="AM135" s="856"/>
      <c r="AN135" s="906" t="str">
        <f>IF($A135="","",'[1]Outputs Recap'!$C$12)</f>
        <v/>
      </c>
      <c r="AO135" s="861" t="str">
        <f>IF($A135="","",VLOOKUP('[1]Outputs Recap'!$C$11,[1]List!$I:$J,2,FALSE))</f>
        <v/>
      </c>
      <c r="AP135" s="856" t="str" cm="1">
        <f t="array" ref="AP135">IF($A135="","",_xlfn.IFS('[1]Pricing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5" s="862" t="str">
        <f>IF($A135="","",_xlfn.XLOOKUP('[1]Core Assumptions'!$D$20,'[1]Other Lookups'!$AH:$AH,'[1]Other Lookups'!$AI:$AI))</f>
        <v/>
      </c>
      <c r="AR135" s="863"/>
      <c r="AS135" s="864" t="str">
        <f>IF($A135="","",'[1]Outputs Recap'!$C$13)</f>
        <v/>
      </c>
      <c r="AT135" s="907"/>
      <c r="AU135" s="907"/>
      <c r="AV135" s="907" t="str">
        <f>IF($A135="","",IFERROR(+Table17[[#This Row],[Total Contract Amount]]*Table17[[#This Row],[First-year, one-time Onboarding/Setup Fee %]],0))</f>
        <v/>
      </c>
      <c r="AW135" s="853"/>
      <c r="AX135" s="867"/>
      <c r="AY135" s="908"/>
      <c r="AZ135" s="909"/>
      <c r="BA135" s="910"/>
      <c r="BB135" s="871"/>
      <c r="BC135" s="871"/>
      <c r="BD135" s="871"/>
      <c r="BE135" s="871"/>
      <c r="BF135" s="871"/>
      <c r="BG135" s="871"/>
      <c r="BH135" s="872"/>
      <c r="BI135" s="874"/>
      <c r="BJ135" s="874"/>
      <c r="BK135" s="874"/>
      <c r="BL135" s="875"/>
      <c r="BM135" s="876"/>
      <c r="BN135" s="911"/>
      <c r="BO135" s="878"/>
      <c r="BP135" s="879"/>
      <c r="BQ135" s="880"/>
      <c r="BR135" s="881"/>
      <c r="BS135" s="882"/>
      <c r="BT135" s="883"/>
      <c r="BU135" s="884"/>
      <c r="BV135" s="884"/>
      <c r="BW135" s="884"/>
      <c r="BX135" s="884"/>
      <c r="BY135" s="884"/>
      <c r="BZ135" s="884"/>
      <c r="CA135" s="884"/>
      <c r="CB135" s="884"/>
      <c r="CC135" s="884"/>
      <c r="CD135" s="884"/>
      <c r="CE135" s="885"/>
      <c r="CF135" s="885" t="str">
        <f>IF($A135="","",IF(#REF!&lt;&gt;0,#REF!-SUM(BT135:CE135),""))</f>
        <v/>
      </c>
      <c r="CG135" s="898" t="str">
        <f>IF(ISBLANK($X135)=FALSE,"NextGenApp Advisory LLC","")</f>
        <v/>
      </c>
      <c r="CH135" s="899" t="str">
        <f>_xlfn.IFNA(INDEX([1]List!AC:AC,MATCH(X135,[1]List!Y:Y,0)),"")</f>
        <v/>
      </c>
      <c r="CI135" s="900"/>
      <c r="CJ135" s="900"/>
      <c r="CK135" s="900"/>
      <c r="CL135" s="900"/>
      <c r="CM135" s="901"/>
      <c r="CN135" s="902"/>
      <c r="CO135" s="903"/>
      <c r="CP135" s="904"/>
      <c r="CQ135" s="892"/>
    </row>
    <row r="136" spans="1:95" x14ac:dyDescent="0.2">
      <c r="A136" s="894"/>
      <c r="B136" s="895"/>
      <c r="C136" s="896"/>
      <c r="D136" s="897"/>
      <c r="E136" s="897"/>
      <c r="F136" s="897"/>
      <c r="G136" s="897"/>
      <c r="H136" s="897"/>
      <c r="I136" s="897"/>
      <c r="J136" s="897"/>
      <c r="K136" s="897"/>
      <c r="L136" s="897"/>
      <c r="M136" s="897"/>
      <c r="N136" s="897"/>
      <c r="O136" s="897"/>
      <c r="P136" s="897"/>
      <c r="Q136" s="897"/>
      <c r="R136" s="897"/>
      <c r="S136" s="897"/>
      <c r="T136" s="897"/>
      <c r="U136" s="895"/>
      <c r="V136" s="852"/>
      <c r="W136" s="853"/>
      <c r="X136" s="853"/>
      <c r="Y136" s="853"/>
      <c r="Z136" s="853"/>
      <c r="AA136" s="853"/>
      <c r="AB136" s="854">
        <f>_xlfn.XLOOKUP(Table17[[#This Row],[Project Delivery Lead]],[1]List!Y:Y,[1]List!AC:AC)</f>
        <v>0</v>
      </c>
      <c r="AC136" s="853" t="str">
        <f>IF($A136="","",'[1]Core Assumptions'!$D156)</f>
        <v/>
      </c>
      <c r="AD136" s="855"/>
      <c r="AE136" s="905"/>
      <c r="AF136" s="857"/>
      <c r="AG136" s="857"/>
      <c r="AH136" s="858"/>
      <c r="AI136" s="858"/>
      <c r="AJ136" s="858"/>
      <c r="AK136" s="858" t="str">
        <f>IF($A136="","",IF('[1]Pricing Summary'!$B$31="T&amp;M","Time and Material","Fixed Fee"))</f>
        <v/>
      </c>
      <c r="AL136" s="856"/>
      <c r="AM136" s="856"/>
      <c r="AN136" s="906" t="str">
        <f>IF($A136="","",'[1]Outputs Recap'!$C$12)</f>
        <v/>
      </c>
      <c r="AO136" s="861" t="str">
        <f>IF($A136="","",VLOOKUP('[1]Outputs Recap'!$C$11,[1]List!$I:$J,2,FALSE))</f>
        <v/>
      </c>
      <c r="AP136" s="856" t="str" cm="1">
        <f t="array" ref="AP136">IF($A136="","",_xlfn.IFS('[1]Pricing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6" s="862" t="str">
        <f>IF($A136="","",_xlfn.XLOOKUP('[1]Core Assumptions'!$D$20,'[1]Other Lookups'!$AH:$AH,'[1]Other Lookups'!$AI:$AI))</f>
        <v/>
      </c>
      <c r="AR136" s="863"/>
      <c r="AS136" s="864" t="str">
        <f>IF($A136="","",'[1]Outputs Recap'!$C$13)</f>
        <v/>
      </c>
      <c r="AT136" s="907"/>
      <c r="AU136" s="907"/>
      <c r="AV136" s="907" t="str">
        <f>IF($A136="","",IFERROR(+Table17[[#This Row],[Total Contract Amount]]*Table17[[#This Row],[First-year, one-time Onboarding/Setup Fee %]],0))</f>
        <v/>
      </c>
      <c r="AW136" s="853"/>
      <c r="AX136" s="867"/>
      <c r="AY136" s="908"/>
      <c r="AZ136" s="909"/>
      <c r="BA136" s="910"/>
      <c r="BB136" s="871"/>
      <c r="BC136" s="871"/>
      <c r="BD136" s="871"/>
      <c r="BE136" s="871"/>
      <c r="BF136" s="871"/>
      <c r="BG136" s="871"/>
      <c r="BH136" s="872"/>
      <c r="BI136" s="874"/>
      <c r="BJ136" s="874"/>
      <c r="BK136" s="874"/>
      <c r="BL136" s="875"/>
      <c r="BM136" s="876"/>
      <c r="BN136" s="911"/>
      <c r="BO136" s="878"/>
      <c r="BP136" s="879"/>
      <c r="BQ136" s="880"/>
      <c r="BR136" s="881"/>
      <c r="BS136" s="882"/>
      <c r="BT136" s="883"/>
      <c r="BU136" s="884"/>
      <c r="BV136" s="884"/>
      <c r="BW136" s="884"/>
      <c r="BX136" s="884"/>
      <c r="BY136" s="884"/>
      <c r="BZ136" s="884"/>
      <c r="CA136" s="884"/>
      <c r="CB136" s="884"/>
      <c r="CC136" s="884"/>
      <c r="CD136" s="884"/>
      <c r="CE136" s="885"/>
      <c r="CF136" s="885" t="str">
        <f>IF($A136="","",IF(#REF!&lt;&gt;0,#REF!-SUM(BT136:CE136),""))</f>
        <v/>
      </c>
      <c r="CG136" s="898" t="str">
        <f>IF(ISBLANK($X136)=FALSE,"NextGenApp Advisory LLC","")</f>
        <v/>
      </c>
      <c r="CH136" s="899" t="str">
        <f>_xlfn.IFNA(INDEX([1]List!AC:AC,MATCH(X136,[1]List!Y:Y,0)),"")</f>
        <v/>
      </c>
      <c r="CI136" s="900"/>
      <c r="CJ136" s="900"/>
      <c r="CK136" s="900"/>
      <c r="CL136" s="900"/>
      <c r="CM136" s="901"/>
      <c r="CN136" s="902"/>
      <c r="CO136" s="903"/>
      <c r="CP136" s="904"/>
      <c r="CQ136" s="892"/>
    </row>
    <row r="137" spans="1:95" x14ac:dyDescent="0.2">
      <c r="A137" s="894"/>
      <c r="B137" s="895"/>
      <c r="C137" s="896"/>
      <c r="D137" s="897"/>
      <c r="E137" s="897"/>
      <c r="F137" s="897"/>
      <c r="G137" s="897"/>
      <c r="H137" s="897"/>
      <c r="I137" s="897"/>
      <c r="J137" s="897"/>
      <c r="K137" s="897"/>
      <c r="L137" s="897"/>
      <c r="M137" s="897"/>
      <c r="N137" s="897"/>
      <c r="O137" s="897"/>
      <c r="P137" s="897"/>
      <c r="Q137" s="897"/>
      <c r="R137" s="897"/>
      <c r="S137" s="897"/>
      <c r="T137" s="897"/>
      <c r="U137" s="895"/>
      <c r="V137" s="852"/>
      <c r="W137" s="853"/>
      <c r="X137" s="853"/>
      <c r="Y137" s="853"/>
      <c r="Z137" s="853"/>
      <c r="AA137" s="853"/>
      <c r="AB137" s="854">
        <f>_xlfn.XLOOKUP(Table17[[#This Row],[Project Delivery Lead]],[1]List!Y:Y,[1]List!AC:AC)</f>
        <v>0</v>
      </c>
      <c r="AC137" s="853" t="str">
        <f>IF($A137="","",'[1]Core Assumptions'!$D157)</f>
        <v/>
      </c>
      <c r="AD137" s="855"/>
      <c r="AE137" s="905"/>
      <c r="AF137" s="857"/>
      <c r="AG137" s="857"/>
      <c r="AH137" s="858"/>
      <c r="AI137" s="858"/>
      <c r="AJ137" s="858"/>
      <c r="AK137" s="858" t="str">
        <f>IF($A137="","",IF('[1]Pricing Summary'!$B$31="T&amp;M","Time and Material","Fixed Fee"))</f>
        <v/>
      </c>
      <c r="AL137" s="856"/>
      <c r="AM137" s="856"/>
      <c r="AN137" s="906" t="str">
        <f>IF($A137="","",'[1]Outputs Recap'!$C$12)</f>
        <v/>
      </c>
      <c r="AO137" s="861" t="str">
        <f>IF($A137="","",VLOOKUP('[1]Outputs Recap'!$C$11,[1]List!$I:$J,2,FALSE))</f>
        <v/>
      </c>
      <c r="AP137" s="856" t="str" cm="1">
        <f t="array" ref="AP137">IF($A137="","",_xlfn.IFS('[1]Pricing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7" s="862" t="str">
        <f>IF($A137="","",_xlfn.XLOOKUP('[1]Core Assumptions'!$D$20,'[1]Other Lookups'!$AH:$AH,'[1]Other Lookups'!$AI:$AI))</f>
        <v/>
      </c>
      <c r="AR137" s="863"/>
      <c r="AS137" s="864" t="str">
        <f>IF($A137="","",'[1]Outputs Recap'!$C$13)</f>
        <v/>
      </c>
      <c r="AT137" s="907"/>
      <c r="AU137" s="907"/>
      <c r="AV137" s="907" t="str">
        <f>IF($A137="","",IFERROR(+Table17[[#This Row],[Total Contract Amount]]*Table17[[#This Row],[First-year, one-time Onboarding/Setup Fee %]],0))</f>
        <v/>
      </c>
      <c r="AW137" s="853"/>
      <c r="AX137" s="867"/>
      <c r="AY137" s="908"/>
      <c r="AZ137" s="909"/>
      <c r="BA137" s="910"/>
      <c r="BB137" s="871"/>
      <c r="BC137" s="871"/>
      <c r="BD137" s="871"/>
      <c r="BE137" s="871"/>
      <c r="BF137" s="871"/>
      <c r="BG137" s="871"/>
      <c r="BH137" s="872"/>
      <c r="BI137" s="874"/>
      <c r="BJ137" s="874"/>
      <c r="BK137" s="874"/>
      <c r="BL137" s="875"/>
      <c r="BM137" s="876"/>
      <c r="BN137" s="911"/>
      <c r="BO137" s="878"/>
      <c r="BP137" s="879"/>
      <c r="BQ137" s="880"/>
      <c r="BR137" s="881"/>
      <c r="BS137" s="882"/>
      <c r="BT137" s="883"/>
      <c r="BU137" s="884"/>
      <c r="BV137" s="884"/>
      <c r="BW137" s="884"/>
      <c r="BX137" s="884"/>
      <c r="BY137" s="884"/>
      <c r="BZ137" s="884"/>
      <c r="CA137" s="884"/>
      <c r="CB137" s="884"/>
      <c r="CC137" s="884"/>
      <c r="CD137" s="884"/>
      <c r="CE137" s="885"/>
      <c r="CF137" s="885" t="str">
        <f>IF($A137="","",IF(#REF!&lt;&gt;0,#REF!-SUM(BT137:CE137),""))</f>
        <v/>
      </c>
      <c r="CG137" s="898" t="str">
        <f>IF(ISBLANK($X137)=FALSE,"NextGenApp Advisory LLC","")</f>
        <v/>
      </c>
      <c r="CH137" s="899" t="str">
        <f>_xlfn.IFNA(INDEX([1]List!AC:AC,MATCH(X137,[1]List!Y:Y,0)),"")</f>
        <v/>
      </c>
      <c r="CI137" s="900"/>
      <c r="CJ137" s="900"/>
      <c r="CK137" s="900"/>
      <c r="CL137" s="900"/>
      <c r="CM137" s="901"/>
      <c r="CN137" s="902"/>
      <c r="CO137" s="903"/>
      <c r="CP137" s="904"/>
      <c r="CQ137" s="892"/>
    </row>
    <row r="138" spans="1:95" x14ac:dyDescent="0.2">
      <c r="A138" s="894"/>
      <c r="B138" s="895"/>
      <c r="C138" s="896"/>
      <c r="D138" s="897"/>
      <c r="E138" s="897"/>
      <c r="F138" s="897"/>
      <c r="G138" s="897"/>
      <c r="H138" s="897"/>
      <c r="I138" s="897"/>
      <c r="J138" s="897"/>
      <c r="K138" s="897"/>
      <c r="L138" s="897"/>
      <c r="M138" s="897"/>
      <c r="N138" s="897"/>
      <c r="O138" s="897"/>
      <c r="P138" s="897"/>
      <c r="Q138" s="897"/>
      <c r="R138" s="897"/>
      <c r="S138" s="897"/>
      <c r="T138" s="897"/>
      <c r="U138" s="895"/>
      <c r="V138" s="852"/>
      <c r="W138" s="853"/>
      <c r="X138" s="853"/>
      <c r="Y138" s="853"/>
      <c r="Z138" s="853"/>
      <c r="AA138" s="853"/>
      <c r="AB138" s="854">
        <f>_xlfn.XLOOKUP(Table17[[#This Row],[Project Delivery Lead]],[1]List!Y:Y,[1]List!AC:AC)</f>
        <v>0</v>
      </c>
      <c r="AC138" s="853" t="str">
        <f>IF($A138="","",'[1]Core Assumptions'!$D158)</f>
        <v/>
      </c>
      <c r="AD138" s="855"/>
      <c r="AE138" s="905"/>
      <c r="AF138" s="857"/>
      <c r="AG138" s="857"/>
      <c r="AH138" s="858"/>
      <c r="AI138" s="858"/>
      <c r="AJ138" s="858"/>
      <c r="AK138" s="858" t="str">
        <f>IF($A138="","",IF('[1]Pricing Summary'!$B$31="T&amp;M","Time and Material","Fixed Fee"))</f>
        <v/>
      </c>
      <c r="AL138" s="856"/>
      <c r="AM138" s="856"/>
      <c r="AN138" s="906" t="str">
        <f>IF($A138="","",'[1]Outputs Recap'!$C$12)</f>
        <v/>
      </c>
      <c r="AO138" s="861" t="str">
        <f>IF($A138="","",VLOOKUP('[1]Outputs Recap'!$C$11,[1]List!$I:$J,2,FALSE))</f>
        <v/>
      </c>
      <c r="AP138" s="856" t="str" cm="1">
        <f t="array" ref="AP138">IF($A138="","",_xlfn.IFS('[1]Pricing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8" s="862" t="str">
        <f>IF($A138="","",_xlfn.XLOOKUP('[1]Core Assumptions'!$D$20,'[1]Other Lookups'!$AH:$AH,'[1]Other Lookups'!$AI:$AI))</f>
        <v/>
      </c>
      <c r="AR138" s="863"/>
      <c r="AS138" s="864" t="str">
        <f>IF($A138="","",'[1]Outputs Recap'!$C$13)</f>
        <v/>
      </c>
      <c r="AT138" s="907"/>
      <c r="AU138" s="907"/>
      <c r="AV138" s="907" t="str">
        <f>IF($A138="","",IFERROR(+Table17[[#This Row],[Total Contract Amount]]*Table17[[#This Row],[First-year, one-time Onboarding/Setup Fee %]],0))</f>
        <v/>
      </c>
      <c r="AW138" s="853"/>
      <c r="AX138" s="867"/>
      <c r="AY138" s="908"/>
      <c r="AZ138" s="909"/>
      <c r="BA138" s="910"/>
      <c r="BB138" s="871"/>
      <c r="BC138" s="871"/>
      <c r="BD138" s="871"/>
      <c r="BE138" s="871"/>
      <c r="BF138" s="871"/>
      <c r="BG138" s="871"/>
      <c r="BH138" s="872"/>
      <c r="BI138" s="874"/>
      <c r="BJ138" s="874"/>
      <c r="BK138" s="874"/>
      <c r="BL138" s="875"/>
      <c r="BM138" s="876"/>
      <c r="BN138" s="911"/>
      <c r="BO138" s="878"/>
      <c r="BP138" s="879"/>
      <c r="BQ138" s="880"/>
      <c r="BR138" s="881"/>
      <c r="BS138" s="882"/>
      <c r="BT138" s="883"/>
      <c r="BU138" s="884"/>
      <c r="BV138" s="884"/>
      <c r="BW138" s="884"/>
      <c r="BX138" s="884"/>
      <c r="BY138" s="884"/>
      <c r="BZ138" s="884"/>
      <c r="CA138" s="884"/>
      <c r="CB138" s="884"/>
      <c r="CC138" s="884"/>
      <c r="CD138" s="884"/>
      <c r="CE138" s="885"/>
      <c r="CF138" s="885" t="str">
        <f>IF($A138="","",IF(#REF!&lt;&gt;0,#REF!-SUM(BT138:CE138),""))</f>
        <v/>
      </c>
      <c r="CG138" s="898" t="str">
        <f>IF(ISBLANK($X138)=FALSE,"NextGenApp Advisory LLC","")</f>
        <v/>
      </c>
      <c r="CH138" s="899" t="str">
        <f>_xlfn.IFNA(INDEX([1]List!AC:AC,MATCH(X138,[1]List!Y:Y,0)),"")</f>
        <v/>
      </c>
      <c r="CI138" s="900"/>
      <c r="CJ138" s="900"/>
      <c r="CK138" s="900"/>
      <c r="CL138" s="900"/>
      <c r="CM138" s="901"/>
      <c r="CN138" s="902"/>
      <c r="CO138" s="903"/>
      <c r="CP138" s="904"/>
      <c r="CQ138" s="892"/>
    </row>
    <row r="139" spans="1:95" x14ac:dyDescent="0.2">
      <c r="A139" s="894"/>
      <c r="B139" s="895"/>
      <c r="C139" s="896"/>
      <c r="D139" s="897"/>
      <c r="E139" s="897"/>
      <c r="F139" s="897"/>
      <c r="G139" s="897"/>
      <c r="H139" s="897"/>
      <c r="I139" s="897"/>
      <c r="J139" s="897"/>
      <c r="K139" s="897"/>
      <c r="L139" s="897"/>
      <c r="M139" s="897"/>
      <c r="N139" s="897"/>
      <c r="O139" s="897"/>
      <c r="P139" s="897"/>
      <c r="Q139" s="897"/>
      <c r="R139" s="897"/>
      <c r="S139" s="897"/>
      <c r="T139" s="897"/>
      <c r="U139" s="895"/>
      <c r="V139" s="852"/>
      <c r="W139" s="853"/>
      <c r="X139" s="853"/>
      <c r="Y139" s="853"/>
      <c r="Z139" s="853"/>
      <c r="AA139" s="853"/>
      <c r="AB139" s="854">
        <f>_xlfn.XLOOKUP(Table17[[#This Row],[Project Delivery Lead]],[1]List!Y:Y,[1]List!AC:AC)</f>
        <v>0</v>
      </c>
      <c r="AC139" s="853" t="str">
        <f>IF($A139="","",'[1]Core Assumptions'!$D159)</f>
        <v/>
      </c>
      <c r="AD139" s="855"/>
      <c r="AE139" s="905"/>
      <c r="AF139" s="857"/>
      <c r="AG139" s="857"/>
      <c r="AH139" s="858"/>
      <c r="AI139" s="858"/>
      <c r="AJ139" s="858"/>
      <c r="AK139" s="858" t="str">
        <f>IF($A139="","",IF('[1]Pricing Summary'!$B$31="T&amp;M","Time and Material","Fixed Fee"))</f>
        <v/>
      </c>
      <c r="AL139" s="856"/>
      <c r="AM139" s="856"/>
      <c r="AN139" s="906" t="str">
        <f>IF($A139="","",'[1]Outputs Recap'!$C$12)</f>
        <v/>
      </c>
      <c r="AO139" s="861" t="str">
        <f>IF($A139="","",VLOOKUP('[1]Outputs Recap'!$C$11,[1]List!$I:$J,2,FALSE))</f>
        <v/>
      </c>
      <c r="AP139" s="856" t="str" cm="1">
        <f t="array" ref="AP139">IF($A139="","",_xlfn.IFS('[1]Pricing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39" s="862" t="str">
        <f>IF($A139="","",_xlfn.XLOOKUP('[1]Core Assumptions'!$D$20,'[1]Other Lookups'!$AH:$AH,'[1]Other Lookups'!$AI:$AI))</f>
        <v/>
      </c>
      <c r="AR139" s="863"/>
      <c r="AS139" s="864" t="str">
        <f>IF($A139="","",'[1]Outputs Recap'!$C$13)</f>
        <v/>
      </c>
      <c r="AT139" s="907"/>
      <c r="AU139" s="907"/>
      <c r="AV139" s="907" t="str">
        <f>IF($A139="","",IFERROR(+Table17[[#This Row],[Total Contract Amount]]*Table17[[#This Row],[First-year, one-time Onboarding/Setup Fee %]],0))</f>
        <v/>
      </c>
      <c r="AW139" s="853"/>
      <c r="AX139" s="867"/>
      <c r="AY139" s="908"/>
      <c r="AZ139" s="909"/>
      <c r="BA139" s="910"/>
      <c r="BB139" s="871"/>
      <c r="BC139" s="871"/>
      <c r="BD139" s="871"/>
      <c r="BE139" s="871"/>
      <c r="BF139" s="871"/>
      <c r="BG139" s="871"/>
      <c r="BH139" s="872"/>
      <c r="BI139" s="874"/>
      <c r="BJ139" s="874"/>
      <c r="BK139" s="874"/>
      <c r="BL139" s="875"/>
      <c r="BM139" s="876"/>
      <c r="BN139" s="911"/>
      <c r="BO139" s="878"/>
      <c r="BP139" s="879"/>
      <c r="BQ139" s="880"/>
      <c r="BR139" s="881"/>
      <c r="BS139" s="882"/>
      <c r="BT139" s="883"/>
      <c r="BU139" s="884"/>
      <c r="BV139" s="884"/>
      <c r="BW139" s="884"/>
      <c r="BX139" s="884"/>
      <c r="BY139" s="884"/>
      <c r="BZ139" s="884"/>
      <c r="CA139" s="884"/>
      <c r="CB139" s="884"/>
      <c r="CC139" s="884"/>
      <c r="CD139" s="884"/>
      <c r="CE139" s="885"/>
      <c r="CF139" s="885" t="str">
        <f>IF($A139="","",IF(#REF!&lt;&gt;0,#REF!-SUM(BT139:CE139),""))</f>
        <v/>
      </c>
      <c r="CG139" s="898" t="str">
        <f>IF(ISBLANK($X139)=FALSE,"NextGenApp Advisory LLC","")</f>
        <v/>
      </c>
      <c r="CH139" s="899" t="str">
        <f>_xlfn.IFNA(INDEX([1]List!AC:AC,MATCH(X139,[1]List!Y:Y,0)),"")</f>
        <v/>
      </c>
      <c r="CI139" s="900"/>
      <c r="CJ139" s="900"/>
      <c r="CK139" s="900"/>
      <c r="CL139" s="900"/>
      <c r="CM139" s="901"/>
      <c r="CN139" s="902"/>
      <c r="CO139" s="903"/>
      <c r="CP139" s="904"/>
      <c r="CQ139" s="892"/>
    </row>
    <row r="140" spans="1:95" x14ac:dyDescent="0.2">
      <c r="A140" s="894"/>
      <c r="B140" s="895"/>
      <c r="C140" s="896"/>
      <c r="D140" s="897"/>
      <c r="E140" s="897"/>
      <c r="F140" s="897"/>
      <c r="G140" s="897"/>
      <c r="H140" s="897"/>
      <c r="I140" s="897"/>
      <c r="J140" s="897"/>
      <c r="K140" s="897"/>
      <c r="L140" s="897"/>
      <c r="M140" s="897"/>
      <c r="N140" s="897"/>
      <c r="O140" s="897"/>
      <c r="P140" s="897"/>
      <c r="Q140" s="897"/>
      <c r="R140" s="897"/>
      <c r="S140" s="897"/>
      <c r="T140" s="897"/>
      <c r="U140" s="895"/>
      <c r="V140" s="852"/>
      <c r="W140" s="853"/>
      <c r="X140" s="853"/>
      <c r="Y140" s="853"/>
      <c r="Z140" s="853"/>
      <c r="AA140" s="853"/>
      <c r="AB140" s="854">
        <f>_xlfn.XLOOKUP(Table17[[#This Row],[Project Delivery Lead]],[1]List!Y:Y,[1]List!AC:AC)</f>
        <v>0</v>
      </c>
      <c r="AC140" s="853" t="str">
        <f>IF($A140="","",'[1]Core Assumptions'!$D160)</f>
        <v/>
      </c>
      <c r="AD140" s="855"/>
      <c r="AE140" s="905"/>
      <c r="AF140" s="857"/>
      <c r="AG140" s="857"/>
      <c r="AH140" s="858"/>
      <c r="AI140" s="858"/>
      <c r="AJ140" s="858"/>
      <c r="AK140" s="858" t="str">
        <f>IF($A140="","",IF('[1]Pricing Summary'!$B$31="T&amp;M","Time and Material","Fixed Fee"))</f>
        <v/>
      </c>
      <c r="AL140" s="856"/>
      <c r="AM140" s="856"/>
      <c r="AN140" s="906" t="str">
        <f>IF($A140="","",'[1]Outputs Recap'!$C$12)</f>
        <v/>
      </c>
      <c r="AO140" s="861" t="str">
        <f>IF($A140="","",VLOOKUP('[1]Outputs Recap'!$C$11,[1]List!$I:$J,2,FALSE))</f>
        <v/>
      </c>
      <c r="AP140" s="856" t="str" cm="1">
        <f t="array" ref="AP140">IF($A140="","",_xlfn.IFS('[1]Pricing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0" s="862" t="str">
        <f>IF($A140="","",_xlfn.XLOOKUP('[1]Core Assumptions'!$D$20,'[1]Other Lookups'!$AH:$AH,'[1]Other Lookups'!$AI:$AI))</f>
        <v/>
      </c>
      <c r="AR140" s="863"/>
      <c r="AS140" s="864" t="str">
        <f>IF($A140="","",'[1]Outputs Recap'!$C$13)</f>
        <v/>
      </c>
      <c r="AT140" s="907"/>
      <c r="AU140" s="907"/>
      <c r="AV140" s="907" t="str">
        <f>IF($A140="","",IFERROR(+Table17[[#This Row],[Total Contract Amount]]*Table17[[#This Row],[First-year, one-time Onboarding/Setup Fee %]],0))</f>
        <v/>
      </c>
      <c r="AW140" s="853"/>
      <c r="AX140" s="867"/>
      <c r="AY140" s="908"/>
      <c r="AZ140" s="909"/>
      <c r="BA140" s="910"/>
      <c r="BB140" s="871"/>
      <c r="BC140" s="871"/>
      <c r="BD140" s="871"/>
      <c r="BE140" s="871"/>
      <c r="BF140" s="871"/>
      <c r="BG140" s="871"/>
      <c r="BH140" s="872"/>
      <c r="BI140" s="874"/>
      <c r="BJ140" s="874"/>
      <c r="BK140" s="874"/>
      <c r="BL140" s="875"/>
      <c r="BM140" s="876"/>
      <c r="BN140" s="911"/>
      <c r="BO140" s="878"/>
      <c r="BP140" s="879"/>
      <c r="BQ140" s="880"/>
      <c r="BR140" s="881"/>
      <c r="BS140" s="882"/>
      <c r="BT140" s="883"/>
      <c r="BU140" s="884"/>
      <c r="BV140" s="884"/>
      <c r="BW140" s="884"/>
      <c r="BX140" s="884"/>
      <c r="BY140" s="884"/>
      <c r="BZ140" s="884"/>
      <c r="CA140" s="884"/>
      <c r="CB140" s="884"/>
      <c r="CC140" s="884"/>
      <c r="CD140" s="884"/>
      <c r="CE140" s="885"/>
      <c r="CF140" s="885" t="str">
        <f>IF($A140="","",IF(#REF!&lt;&gt;0,#REF!-SUM(BT140:CE140),""))</f>
        <v/>
      </c>
      <c r="CG140" s="898" t="str">
        <f>IF(ISBLANK($X140)=FALSE,"NextGenApp Advisory LLC","")</f>
        <v/>
      </c>
      <c r="CH140" s="899" t="str">
        <f>_xlfn.IFNA(INDEX([1]List!AC:AC,MATCH(X140,[1]List!Y:Y,0)),"")</f>
        <v/>
      </c>
      <c r="CI140" s="900"/>
      <c r="CJ140" s="900"/>
      <c r="CK140" s="900"/>
      <c r="CL140" s="900"/>
      <c r="CM140" s="901"/>
      <c r="CN140" s="902"/>
      <c r="CO140" s="903"/>
      <c r="CP140" s="904"/>
      <c r="CQ140" s="892"/>
    </row>
    <row r="141" spans="1:95" x14ac:dyDescent="0.2">
      <c r="A141" s="894"/>
      <c r="B141" s="895"/>
      <c r="C141" s="896"/>
      <c r="D141" s="897"/>
      <c r="E141" s="897"/>
      <c r="F141" s="897"/>
      <c r="G141" s="897"/>
      <c r="H141" s="897"/>
      <c r="I141" s="897"/>
      <c r="J141" s="897"/>
      <c r="K141" s="897"/>
      <c r="L141" s="897"/>
      <c r="M141" s="897"/>
      <c r="N141" s="897"/>
      <c r="O141" s="897"/>
      <c r="P141" s="897"/>
      <c r="Q141" s="897"/>
      <c r="R141" s="897"/>
      <c r="S141" s="897"/>
      <c r="T141" s="897"/>
      <c r="U141" s="895"/>
      <c r="V141" s="852"/>
      <c r="W141" s="853"/>
      <c r="X141" s="853"/>
      <c r="Y141" s="853"/>
      <c r="Z141" s="853"/>
      <c r="AA141" s="853"/>
      <c r="AB141" s="854">
        <f>_xlfn.XLOOKUP(Table17[[#This Row],[Project Delivery Lead]],[1]List!Y:Y,[1]List!AC:AC)</f>
        <v>0</v>
      </c>
      <c r="AC141" s="853" t="str">
        <f>IF($A141="","",'[1]Core Assumptions'!$D161)</f>
        <v/>
      </c>
      <c r="AD141" s="855"/>
      <c r="AE141" s="905"/>
      <c r="AF141" s="857"/>
      <c r="AG141" s="857"/>
      <c r="AH141" s="858"/>
      <c r="AI141" s="858"/>
      <c r="AJ141" s="858"/>
      <c r="AK141" s="858" t="str">
        <f>IF($A141="","",IF('[1]Pricing Summary'!$B$31="T&amp;M","Time and Material","Fixed Fee"))</f>
        <v/>
      </c>
      <c r="AL141" s="856"/>
      <c r="AM141" s="856"/>
      <c r="AN141" s="906" t="str">
        <f>IF($A141="","",'[1]Outputs Recap'!$C$12)</f>
        <v/>
      </c>
      <c r="AO141" s="861" t="str">
        <f>IF($A141="","",VLOOKUP('[1]Outputs Recap'!$C$11,[1]List!$I:$J,2,FALSE))</f>
        <v/>
      </c>
      <c r="AP141" s="856" t="str" cm="1">
        <f t="array" ref="AP141">IF($A141="","",_xlfn.IFS('[1]Pricing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1" s="862" t="str">
        <f>IF($A141="","",_xlfn.XLOOKUP('[1]Core Assumptions'!$D$20,'[1]Other Lookups'!$AH:$AH,'[1]Other Lookups'!$AI:$AI))</f>
        <v/>
      </c>
      <c r="AR141" s="863"/>
      <c r="AS141" s="864" t="str">
        <f>IF($A141="","",'[1]Outputs Recap'!$C$13)</f>
        <v/>
      </c>
      <c r="AT141" s="907"/>
      <c r="AU141" s="907"/>
      <c r="AV141" s="907" t="str">
        <f>IF($A141="","",IFERROR(+Table17[[#This Row],[Total Contract Amount]]*Table17[[#This Row],[First-year, one-time Onboarding/Setup Fee %]],0))</f>
        <v/>
      </c>
      <c r="AW141" s="853"/>
      <c r="AX141" s="867"/>
      <c r="AY141" s="908"/>
      <c r="AZ141" s="909"/>
      <c r="BA141" s="910"/>
      <c r="BB141" s="871"/>
      <c r="BC141" s="871"/>
      <c r="BD141" s="871"/>
      <c r="BE141" s="871"/>
      <c r="BF141" s="871"/>
      <c r="BG141" s="871"/>
      <c r="BH141" s="872"/>
      <c r="BI141" s="874"/>
      <c r="BJ141" s="874"/>
      <c r="BK141" s="874"/>
      <c r="BL141" s="875"/>
      <c r="BM141" s="876"/>
      <c r="BN141" s="911"/>
      <c r="BO141" s="878"/>
      <c r="BP141" s="879"/>
      <c r="BQ141" s="880"/>
      <c r="BR141" s="881"/>
      <c r="BS141" s="882"/>
      <c r="BT141" s="883"/>
      <c r="BU141" s="884"/>
      <c r="BV141" s="884"/>
      <c r="BW141" s="884"/>
      <c r="BX141" s="884"/>
      <c r="BY141" s="884"/>
      <c r="BZ141" s="884"/>
      <c r="CA141" s="884"/>
      <c r="CB141" s="884"/>
      <c r="CC141" s="884"/>
      <c r="CD141" s="884"/>
      <c r="CE141" s="885"/>
      <c r="CF141" s="885" t="str">
        <f>IF($A141="","",IF(#REF!&lt;&gt;0,#REF!-SUM(BT141:CE141),""))</f>
        <v/>
      </c>
      <c r="CG141" s="898" t="str">
        <f>IF(ISBLANK($X141)=FALSE,"NextGenApp Advisory LLC","")</f>
        <v/>
      </c>
      <c r="CH141" s="899" t="str">
        <f>_xlfn.IFNA(INDEX([1]List!AC:AC,MATCH(X141,[1]List!Y:Y,0)),"")</f>
        <v/>
      </c>
      <c r="CI141" s="900"/>
      <c r="CJ141" s="900"/>
      <c r="CK141" s="900"/>
      <c r="CL141" s="900"/>
      <c r="CM141" s="901"/>
      <c r="CN141" s="902"/>
      <c r="CO141" s="903"/>
      <c r="CP141" s="904"/>
      <c r="CQ141" s="892"/>
    </row>
    <row r="142" spans="1:95" x14ac:dyDescent="0.2">
      <c r="A142" s="894"/>
      <c r="B142" s="895"/>
      <c r="C142" s="896"/>
      <c r="D142" s="897"/>
      <c r="E142" s="897"/>
      <c r="F142" s="897"/>
      <c r="G142" s="897"/>
      <c r="H142" s="897"/>
      <c r="I142" s="897"/>
      <c r="J142" s="897"/>
      <c r="K142" s="897"/>
      <c r="L142" s="897"/>
      <c r="M142" s="897"/>
      <c r="N142" s="897"/>
      <c r="O142" s="897"/>
      <c r="P142" s="897"/>
      <c r="Q142" s="897"/>
      <c r="R142" s="897"/>
      <c r="S142" s="897"/>
      <c r="T142" s="897"/>
      <c r="U142" s="895"/>
      <c r="V142" s="852"/>
      <c r="W142" s="853"/>
      <c r="X142" s="853"/>
      <c r="Y142" s="853"/>
      <c r="Z142" s="853"/>
      <c r="AA142" s="853"/>
      <c r="AB142" s="854">
        <f>_xlfn.XLOOKUP(Table17[[#This Row],[Project Delivery Lead]],[1]List!Y:Y,[1]List!AC:AC)</f>
        <v>0</v>
      </c>
      <c r="AC142" s="853" t="str">
        <f>IF($A142="","",'[1]Core Assumptions'!$D162)</f>
        <v/>
      </c>
      <c r="AD142" s="855"/>
      <c r="AE142" s="905"/>
      <c r="AF142" s="857"/>
      <c r="AG142" s="857"/>
      <c r="AH142" s="858"/>
      <c r="AI142" s="858"/>
      <c r="AJ142" s="858"/>
      <c r="AK142" s="858" t="str">
        <f>IF($A142="","",IF('[1]Pricing Summary'!$B$31="T&amp;M","Time and Material","Fixed Fee"))</f>
        <v/>
      </c>
      <c r="AL142" s="856"/>
      <c r="AM142" s="856"/>
      <c r="AN142" s="906" t="str">
        <f>IF($A142="","",'[1]Outputs Recap'!$C$12)</f>
        <v/>
      </c>
      <c r="AO142" s="861" t="str">
        <f>IF($A142="","",VLOOKUP('[1]Outputs Recap'!$C$11,[1]List!$I:$J,2,FALSE))</f>
        <v/>
      </c>
      <c r="AP142" s="856" t="str" cm="1">
        <f t="array" ref="AP142">IF($A142="","",_xlfn.IFS('[1]Pricing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2" s="862" t="str">
        <f>IF($A142="","",_xlfn.XLOOKUP('[1]Core Assumptions'!$D$20,'[1]Other Lookups'!$AH:$AH,'[1]Other Lookups'!$AI:$AI))</f>
        <v/>
      </c>
      <c r="AR142" s="863"/>
      <c r="AS142" s="864" t="str">
        <f>IF($A142="","",'[1]Outputs Recap'!$C$13)</f>
        <v/>
      </c>
      <c r="AT142" s="907"/>
      <c r="AU142" s="907"/>
      <c r="AV142" s="907" t="str">
        <f>IF($A142="","",IFERROR(+Table17[[#This Row],[Total Contract Amount]]*Table17[[#This Row],[First-year, one-time Onboarding/Setup Fee %]],0))</f>
        <v/>
      </c>
      <c r="AW142" s="853"/>
      <c r="AX142" s="867"/>
      <c r="AY142" s="908"/>
      <c r="AZ142" s="909"/>
      <c r="BA142" s="910"/>
      <c r="BB142" s="871"/>
      <c r="BC142" s="871"/>
      <c r="BD142" s="871"/>
      <c r="BE142" s="871"/>
      <c r="BF142" s="871"/>
      <c r="BG142" s="871"/>
      <c r="BH142" s="872"/>
      <c r="BI142" s="874"/>
      <c r="BJ142" s="874"/>
      <c r="BK142" s="874"/>
      <c r="BL142" s="875"/>
      <c r="BM142" s="876"/>
      <c r="BN142" s="911"/>
      <c r="BO142" s="878"/>
      <c r="BP142" s="879"/>
      <c r="BQ142" s="880"/>
      <c r="BR142" s="881"/>
      <c r="BS142" s="882"/>
      <c r="BT142" s="883"/>
      <c r="BU142" s="884"/>
      <c r="BV142" s="884"/>
      <c r="BW142" s="884"/>
      <c r="BX142" s="884"/>
      <c r="BY142" s="884"/>
      <c r="BZ142" s="884"/>
      <c r="CA142" s="884"/>
      <c r="CB142" s="884"/>
      <c r="CC142" s="884"/>
      <c r="CD142" s="884"/>
      <c r="CE142" s="885"/>
      <c r="CF142" s="885" t="str">
        <f>IF($A142="","",IF(#REF!&lt;&gt;0,#REF!-SUM(BT142:CE142),""))</f>
        <v/>
      </c>
      <c r="CG142" s="898" t="str">
        <f>IF(ISBLANK($X142)=FALSE,"NextGenApp Advisory LLC","")</f>
        <v/>
      </c>
      <c r="CH142" s="899" t="str">
        <f>_xlfn.IFNA(INDEX([1]List!AC:AC,MATCH(X142,[1]List!Y:Y,0)),"")</f>
        <v/>
      </c>
      <c r="CI142" s="900"/>
      <c r="CJ142" s="900"/>
      <c r="CK142" s="900"/>
      <c r="CL142" s="900"/>
      <c r="CM142" s="901"/>
      <c r="CN142" s="902"/>
      <c r="CO142" s="903"/>
      <c r="CP142" s="904"/>
      <c r="CQ142" s="892"/>
    </row>
    <row r="143" spans="1:95" x14ac:dyDescent="0.2">
      <c r="A143" s="894"/>
      <c r="B143" s="895"/>
      <c r="C143" s="896"/>
      <c r="D143" s="897"/>
      <c r="E143" s="897"/>
      <c r="F143" s="897"/>
      <c r="G143" s="897"/>
      <c r="H143" s="897"/>
      <c r="I143" s="897"/>
      <c r="J143" s="897"/>
      <c r="K143" s="897"/>
      <c r="L143" s="897"/>
      <c r="M143" s="897"/>
      <c r="N143" s="897"/>
      <c r="O143" s="897"/>
      <c r="P143" s="897"/>
      <c r="Q143" s="897"/>
      <c r="R143" s="897"/>
      <c r="S143" s="897"/>
      <c r="T143" s="897"/>
      <c r="U143" s="895"/>
      <c r="V143" s="852"/>
      <c r="W143" s="853"/>
      <c r="X143" s="853"/>
      <c r="Y143" s="853"/>
      <c r="Z143" s="853"/>
      <c r="AA143" s="853"/>
      <c r="AB143" s="854">
        <f>_xlfn.XLOOKUP(Table17[[#This Row],[Project Delivery Lead]],[1]List!Y:Y,[1]List!AC:AC)</f>
        <v>0</v>
      </c>
      <c r="AC143" s="853" t="str">
        <f>IF($A143="","",'[1]Core Assumptions'!$D163)</f>
        <v/>
      </c>
      <c r="AD143" s="855"/>
      <c r="AE143" s="905"/>
      <c r="AF143" s="857"/>
      <c r="AG143" s="857"/>
      <c r="AH143" s="858"/>
      <c r="AI143" s="858"/>
      <c r="AJ143" s="858"/>
      <c r="AK143" s="858" t="str">
        <f>IF($A143="","",IF('[1]Pricing Summary'!$B$31="T&amp;M","Time and Material","Fixed Fee"))</f>
        <v/>
      </c>
      <c r="AL143" s="856"/>
      <c r="AM143" s="856"/>
      <c r="AN143" s="906" t="str">
        <f>IF($A143="","",'[1]Outputs Recap'!$C$12)</f>
        <v/>
      </c>
      <c r="AO143" s="861" t="str">
        <f>IF($A143="","",VLOOKUP('[1]Outputs Recap'!$C$11,[1]List!$I:$J,2,FALSE))</f>
        <v/>
      </c>
      <c r="AP143" s="856" t="str" cm="1">
        <f t="array" ref="AP143">IF($A143="","",_xlfn.IFS('[1]Pricing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3" s="862" t="str">
        <f>IF($A143="","",_xlfn.XLOOKUP('[1]Core Assumptions'!$D$20,'[1]Other Lookups'!$AH:$AH,'[1]Other Lookups'!$AI:$AI))</f>
        <v/>
      </c>
      <c r="AR143" s="863"/>
      <c r="AS143" s="864" t="str">
        <f>IF($A143="","",'[1]Outputs Recap'!$C$13)</f>
        <v/>
      </c>
      <c r="AT143" s="907"/>
      <c r="AU143" s="907"/>
      <c r="AV143" s="907" t="str">
        <f>IF($A143="","",IFERROR(+Table17[[#This Row],[Total Contract Amount]]*Table17[[#This Row],[First-year, one-time Onboarding/Setup Fee %]],0))</f>
        <v/>
      </c>
      <c r="AW143" s="853"/>
      <c r="AX143" s="867"/>
      <c r="AY143" s="908"/>
      <c r="AZ143" s="909"/>
      <c r="BA143" s="910"/>
      <c r="BB143" s="871"/>
      <c r="BC143" s="871"/>
      <c r="BD143" s="871"/>
      <c r="BE143" s="871"/>
      <c r="BF143" s="871"/>
      <c r="BG143" s="871"/>
      <c r="BH143" s="872"/>
      <c r="BI143" s="874"/>
      <c r="BJ143" s="874"/>
      <c r="BK143" s="874"/>
      <c r="BL143" s="875"/>
      <c r="BM143" s="876"/>
      <c r="BN143" s="911"/>
      <c r="BO143" s="878"/>
      <c r="BP143" s="879"/>
      <c r="BQ143" s="880"/>
      <c r="BR143" s="881"/>
      <c r="BS143" s="882"/>
      <c r="BT143" s="883"/>
      <c r="BU143" s="884"/>
      <c r="BV143" s="884"/>
      <c r="BW143" s="884"/>
      <c r="BX143" s="884"/>
      <c r="BY143" s="884"/>
      <c r="BZ143" s="884"/>
      <c r="CA143" s="884"/>
      <c r="CB143" s="884"/>
      <c r="CC143" s="884"/>
      <c r="CD143" s="884"/>
      <c r="CE143" s="885"/>
      <c r="CF143" s="885" t="str">
        <f>IF($A143="","",IF(#REF!&lt;&gt;0,#REF!-SUM(BT143:CE143),""))</f>
        <v/>
      </c>
      <c r="CG143" s="898" t="str">
        <f>IF(ISBLANK($X143)=FALSE,"NextGenApp Advisory LLC","")</f>
        <v/>
      </c>
      <c r="CH143" s="899" t="str">
        <f>_xlfn.IFNA(INDEX([1]List!AC:AC,MATCH(X143,[1]List!Y:Y,0)),"")</f>
        <v/>
      </c>
      <c r="CI143" s="900"/>
      <c r="CJ143" s="900"/>
      <c r="CK143" s="900"/>
      <c r="CL143" s="900"/>
      <c r="CM143" s="901"/>
      <c r="CN143" s="902"/>
      <c r="CO143" s="903"/>
      <c r="CP143" s="904"/>
      <c r="CQ143" s="892"/>
    </row>
    <row r="144" spans="1:95" x14ac:dyDescent="0.2">
      <c r="A144" s="894"/>
      <c r="B144" s="895"/>
      <c r="C144" s="896"/>
      <c r="D144" s="897"/>
      <c r="E144" s="897"/>
      <c r="F144" s="897"/>
      <c r="G144" s="897"/>
      <c r="H144" s="897"/>
      <c r="I144" s="897"/>
      <c r="J144" s="897"/>
      <c r="K144" s="897"/>
      <c r="L144" s="897"/>
      <c r="M144" s="897"/>
      <c r="N144" s="897"/>
      <c r="O144" s="897"/>
      <c r="P144" s="897"/>
      <c r="Q144" s="897"/>
      <c r="R144" s="897"/>
      <c r="S144" s="897"/>
      <c r="T144" s="897"/>
      <c r="U144" s="895"/>
      <c r="V144" s="852"/>
      <c r="W144" s="853"/>
      <c r="X144" s="853"/>
      <c r="Y144" s="853"/>
      <c r="Z144" s="853"/>
      <c r="AA144" s="853"/>
      <c r="AB144" s="854">
        <f>_xlfn.XLOOKUP(Table17[[#This Row],[Project Delivery Lead]],[1]List!Y:Y,[1]List!AC:AC)</f>
        <v>0</v>
      </c>
      <c r="AC144" s="853" t="str">
        <f>IF($A144="","",'[1]Core Assumptions'!$D164)</f>
        <v/>
      </c>
      <c r="AD144" s="855"/>
      <c r="AE144" s="905"/>
      <c r="AF144" s="857"/>
      <c r="AG144" s="857"/>
      <c r="AH144" s="858"/>
      <c r="AI144" s="858"/>
      <c r="AJ144" s="858"/>
      <c r="AK144" s="858" t="str">
        <f>IF($A144="","",IF('[1]Pricing Summary'!$B$31="T&amp;M","Time and Material","Fixed Fee"))</f>
        <v/>
      </c>
      <c r="AL144" s="856"/>
      <c r="AM144" s="856"/>
      <c r="AN144" s="906" t="str">
        <f>IF($A144="","",'[1]Outputs Recap'!$C$12)</f>
        <v/>
      </c>
      <c r="AO144" s="861" t="str">
        <f>IF($A144="","",VLOOKUP('[1]Outputs Recap'!$C$11,[1]List!$I:$J,2,FALSE))</f>
        <v/>
      </c>
      <c r="AP144" s="856" t="str" cm="1">
        <f t="array" ref="AP144">IF($A144="","",_xlfn.IFS('[1]Pricing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4" s="862" t="str">
        <f>IF($A144="","",_xlfn.XLOOKUP('[1]Core Assumptions'!$D$20,'[1]Other Lookups'!$AH:$AH,'[1]Other Lookups'!$AI:$AI))</f>
        <v/>
      </c>
      <c r="AR144" s="863"/>
      <c r="AS144" s="864" t="str">
        <f>IF($A144="","",'[1]Outputs Recap'!$C$13)</f>
        <v/>
      </c>
      <c r="AT144" s="907"/>
      <c r="AU144" s="907"/>
      <c r="AV144" s="907" t="str">
        <f>IF($A144="","",IFERROR(+Table17[[#This Row],[Total Contract Amount]]*Table17[[#This Row],[First-year, one-time Onboarding/Setup Fee %]],0))</f>
        <v/>
      </c>
      <c r="AW144" s="853"/>
      <c r="AX144" s="867"/>
      <c r="AY144" s="908"/>
      <c r="AZ144" s="909"/>
      <c r="BA144" s="910"/>
      <c r="BB144" s="871"/>
      <c r="BC144" s="871"/>
      <c r="BD144" s="871"/>
      <c r="BE144" s="871"/>
      <c r="BF144" s="871"/>
      <c r="BG144" s="871"/>
      <c r="BH144" s="872"/>
      <c r="BI144" s="874"/>
      <c r="BJ144" s="874"/>
      <c r="BK144" s="874"/>
      <c r="BL144" s="875"/>
      <c r="BM144" s="876"/>
      <c r="BN144" s="911"/>
      <c r="BO144" s="878"/>
      <c r="BP144" s="879"/>
      <c r="BQ144" s="880"/>
      <c r="BR144" s="881"/>
      <c r="BS144" s="882"/>
      <c r="BT144" s="883"/>
      <c r="BU144" s="884"/>
      <c r="BV144" s="884"/>
      <c r="BW144" s="884"/>
      <c r="BX144" s="884"/>
      <c r="BY144" s="884"/>
      <c r="BZ144" s="884"/>
      <c r="CA144" s="884"/>
      <c r="CB144" s="884"/>
      <c r="CC144" s="884"/>
      <c r="CD144" s="884"/>
      <c r="CE144" s="885"/>
      <c r="CF144" s="885" t="str">
        <f>IF($A144="","",IF(#REF!&lt;&gt;0,#REF!-SUM(BT144:CE144),""))</f>
        <v/>
      </c>
      <c r="CG144" s="898" t="str">
        <f>IF(ISBLANK($X144)=FALSE,"NextGenApp Advisory LLC","")</f>
        <v/>
      </c>
      <c r="CH144" s="899" t="str">
        <f>_xlfn.IFNA(INDEX([1]List!AC:AC,MATCH(X144,[1]List!Y:Y,0)),"")</f>
        <v/>
      </c>
      <c r="CI144" s="900"/>
      <c r="CJ144" s="900"/>
      <c r="CK144" s="900"/>
      <c r="CL144" s="900"/>
      <c r="CM144" s="901"/>
      <c r="CN144" s="902"/>
      <c r="CO144" s="903"/>
      <c r="CP144" s="904"/>
      <c r="CQ144" s="892"/>
    </row>
    <row r="145" spans="1:95" x14ac:dyDescent="0.2">
      <c r="A145" s="894"/>
      <c r="B145" s="895"/>
      <c r="C145" s="896"/>
      <c r="D145" s="897"/>
      <c r="E145" s="897"/>
      <c r="F145" s="897"/>
      <c r="G145" s="897"/>
      <c r="H145" s="897"/>
      <c r="I145" s="897"/>
      <c r="J145" s="897"/>
      <c r="K145" s="897"/>
      <c r="L145" s="897"/>
      <c r="M145" s="897"/>
      <c r="N145" s="897"/>
      <c r="O145" s="897"/>
      <c r="P145" s="897"/>
      <c r="Q145" s="897"/>
      <c r="R145" s="897"/>
      <c r="S145" s="897"/>
      <c r="T145" s="897"/>
      <c r="U145" s="895"/>
      <c r="V145" s="852"/>
      <c r="W145" s="853"/>
      <c r="X145" s="853"/>
      <c r="Y145" s="853"/>
      <c r="Z145" s="853"/>
      <c r="AA145" s="853"/>
      <c r="AB145" s="854">
        <f>_xlfn.XLOOKUP(Table17[[#This Row],[Project Delivery Lead]],[1]List!Y:Y,[1]List!AC:AC)</f>
        <v>0</v>
      </c>
      <c r="AC145" s="853" t="str">
        <f>IF($A145="","",'[1]Core Assumptions'!$D165)</f>
        <v/>
      </c>
      <c r="AD145" s="855"/>
      <c r="AE145" s="905"/>
      <c r="AF145" s="857"/>
      <c r="AG145" s="857"/>
      <c r="AH145" s="858"/>
      <c r="AI145" s="858"/>
      <c r="AJ145" s="858"/>
      <c r="AK145" s="858" t="str">
        <f>IF($A145="","",IF('[1]Pricing Summary'!$B$31="T&amp;M","Time and Material","Fixed Fee"))</f>
        <v/>
      </c>
      <c r="AL145" s="856"/>
      <c r="AM145" s="856"/>
      <c r="AN145" s="906" t="str">
        <f>IF($A145="","",'[1]Outputs Recap'!$C$12)</f>
        <v/>
      </c>
      <c r="AO145" s="861" t="str">
        <f>IF($A145="","",VLOOKUP('[1]Outputs Recap'!$C$11,[1]List!$I:$J,2,FALSE))</f>
        <v/>
      </c>
      <c r="AP145" s="856" t="str" cm="1">
        <f t="array" ref="AP145">IF($A145="","",_xlfn.IFS('[1]Pricing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5" s="862" t="str">
        <f>IF($A145="","",_xlfn.XLOOKUP('[1]Core Assumptions'!$D$20,'[1]Other Lookups'!$AH:$AH,'[1]Other Lookups'!$AI:$AI))</f>
        <v/>
      </c>
      <c r="AR145" s="863"/>
      <c r="AS145" s="864" t="str">
        <f>IF($A145="","",'[1]Outputs Recap'!$C$13)</f>
        <v/>
      </c>
      <c r="AT145" s="907"/>
      <c r="AU145" s="907"/>
      <c r="AV145" s="907" t="str">
        <f>IF($A145="","",IFERROR(+Table17[[#This Row],[Total Contract Amount]]*Table17[[#This Row],[First-year, one-time Onboarding/Setup Fee %]],0))</f>
        <v/>
      </c>
      <c r="AW145" s="853"/>
      <c r="AX145" s="867"/>
      <c r="AY145" s="908"/>
      <c r="AZ145" s="909"/>
      <c r="BA145" s="910"/>
      <c r="BB145" s="871"/>
      <c r="BC145" s="871"/>
      <c r="BD145" s="871"/>
      <c r="BE145" s="871"/>
      <c r="BF145" s="871"/>
      <c r="BG145" s="871"/>
      <c r="BH145" s="872"/>
      <c r="BI145" s="874"/>
      <c r="BJ145" s="874"/>
      <c r="BK145" s="874"/>
      <c r="BL145" s="875"/>
      <c r="BM145" s="876"/>
      <c r="BN145" s="911"/>
      <c r="BO145" s="878"/>
      <c r="BP145" s="879"/>
      <c r="BQ145" s="880"/>
      <c r="BR145" s="881"/>
      <c r="BS145" s="882"/>
      <c r="BT145" s="883"/>
      <c r="BU145" s="884"/>
      <c r="BV145" s="884"/>
      <c r="BW145" s="884"/>
      <c r="BX145" s="884"/>
      <c r="BY145" s="884"/>
      <c r="BZ145" s="884"/>
      <c r="CA145" s="884"/>
      <c r="CB145" s="884"/>
      <c r="CC145" s="884"/>
      <c r="CD145" s="884"/>
      <c r="CE145" s="885"/>
      <c r="CF145" s="885" t="str">
        <f>IF($A145="","",IF(#REF!&lt;&gt;0,#REF!-SUM(BT145:CE145),""))</f>
        <v/>
      </c>
      <c r="CG145" s="898" t="str">
        <f>IF(ISBLANK($X145)=FALSE,"NextGenApp Advisory LLC","")</f>
        <v/>
      </c>
      <c r="CH145" s="899" t="str">
        <f>_xlfn.IFNA(INDEX([1]List!AC:AC,MATCH(X145,[1]List!Y:Y,0)),"")</f>
        <v/>
      </c>
      <c r="CI145" s="900"/>
      <c r="CJ145" s="900"/>
      <c r="CK145" s="900"/>
      <c r="CL145" s="900"/>
      <c r="CM145" s="901"/>
      <c r="CN145" s="902"/>
      <c r="CO145" s="903"/>
      <c r="CP145" s="904"/>
      <c r="CQ145" s="892"/>
    </row>
    <row r="146" spans="1:95" x14ac:dyDescent="0.2">
      <c r="A146" s="894"/>
      <c r="B146" s="895"/>
      <c r="C146" s="896"/>
      <c r="D146" s="897"/>
      <c r="E146" s="897"/>
      <c r="F146" s="897"/>
      <c r="G146" s="897"/>
      <c r="H146" s="897"/>
      <c r="I146" s="897"/>
      <c r="J146" s="897"/>
      <c r="K146" s="897"/>
      <c r="L146" s="897"/>
      <c r="M146" s="897"/>
      <c r="N146" s="897"/>
      <c r="O146" s="897"/>
      <c r="P146" s="897"/>
      <c r="Q146" s="897"/>
      <c r="R146" s="897"/>
      <c r="S146" s="897"/>
      <c r="T146" s="897"/>
      <c r="U146" s="895"/>
      <c r="V146" s="852"/>
      <c r="W146" s="853"/>
      <c r="X146" s="853"/>
      <c r="Y146" s="853"/>
      <c r="Z146" s="853"/>
      <c r="AA146" s="853"/>
      <c r="AB146" s="854">
        <f>_xlfn.XLOOKUP(Table17[[#This Row],[Project Delivery Lead]],[1]List!Y:Y,[1]List!AC:AC)</f>
        <v>0</v>
      </c>
      <c r="AC146" s="853" t="str">
        <f>IF($A146="","",'[1]Core Assumptions'!$D166)</f>
        <v/>
      </c>
      <c r="AD146" s="855"/>
      <c r="AE146" s="905"/>
      <c r="AF146" s="857"/>
      <c r="AG146" s="857"/>
      <c r="AH146" s="858"/>
      <c r="AI146" s="858"/>
      <c r="AJ146" s="858"/>
      <c r="AK146" s="858" t="str">
        <f>IF($A146="","",IF('[1]Pricing Summary'!$B$31="T&amp;M","Time and Material","Fixed Fee"))</f>
        <v/>
      </c>
      <c r="AL146" s="856"/>
      <c r="AM146" s="856"/>
      <c r="AN146" s="906" t="str">
        <f>IF($A146="","",'[1]Outputs Recap'!$C$12)</f>
        <v/>
      </c>
      <c r="AO146" s="861" t="str">
        <f>IF($A146="","",VLOOKUP('[1]Outputs Recap'!$C$11,[1]List!$I:$J,2,FALSE))</f>
        <v/>
      </c>
      <c r="AP146" s="856" t="str" cm="1">
        <f t="array" ref="AP146">IF($A146="","",_xlfn.IFS('[1]Pricing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6" s="862" t="str">
        <f>IF($A146="","",_xlfn.XLOOKUP('[1]Core Assumptions'!$D$20,'[1]Other Lookups'!$AH:$AH,'[1]Other Lookups'!$AI:$AI))</f>
        <v/>
      </c>
      <c r="AR146" s="863"/>
      <c r="AS146" s="864" t="str">
        <f>IF($A146="","",'[1]Outputs Recap'!$C$13)</f>
        <v/>
      </c>
      <c r="AT146" s="907"/>
      <c r="AU146" s="907"/>
      <c r="AV146" s="907" t="str">
        <f>IF($A146="","",IFERROR(+Table17[[#This Row],[Total Contract Amount]]*Table17[[#This Row],[First-year, one-time Onboarding/Setup Fee %]],0))</f>
        <v/>
      </c>
      <c r="AW146" s="853"/>
      <c r="AX146" s="867"/>
      <c r="AY146" s="908"/>
      <c r="AZ146" s="909"/>
      <c r="BA146" s="910"/>
      <c r="BB146" s="871"/>
      <c r="BC146" s="871"/>
      <c r="BD146" s="871"/>
      <c r="BE146" s="871"/>
      <c r="BF146" s="871"/>
      <c r="BG146" s="871"/>
      <c r="BH146" s="872"/>
      <c r="BI146" s="874"/>
      <c r="BJ146" s="874"/>
      <c r="BK146" s="874"/>
      <c r="BL146" s="875"/>
      <c r="BM146" s="876"/>
      <c r="BN146" s="911"/>
      <c r="BO146" s="878"/>
      <c r="BP146" s="879"/>
      <c r="BQ146" s="880"/>
      <c r="BR146" s="881"/>
      <c r="BS146" s="882"/>
      <c r="BT146" s="883"/>
      <c r="BU146" s="884"/>
      <c r="BV146" s="884"/>
      <c r="BW146" s="884"/>
      <c r="BX146" s="884"/>
      <c r="BY146" s="884"/>
      <c r="BZ146" s="884"/>
      <c r="CA146" s="884"/>
      <c r="CB146" s="884"/>
      <c r="CC146" s="884"/>
      <c r="CD146" s="884"/>
      <c r="CE146" s="885"/>
      <c r="CF146" s="885" t="str">
        <f>IF($A146="","",IF(#REF!&lt;&gt;0,#REF!-SUM(BT146:CE146),""))</f>
        <v/>
      </c>
      <c r="CG146" s="898" t="str">
        <f>IF(ISBLANK($X146)=FALSE,"NextGenApp Advisory LLC","")</f>
        <v/>
      </c>
      <c r="CH146" s="899" t="str">
        <f>_xlfn.IFNA(INDEX([1]List!AC:AC,MATCH(X146,[1]List!Y:Y,0)),"")</f>
        <v/>
      </c>
      <c r="CI146" s="900"/>
      <c r="CJ146" s="900"/>
      <c r="CK146" s="900"/>
      <c r="CL146" s="900"/>
      <c r="CM146" s="901"/>
      <c r="CN146" s="902"/>
      <c r="CO146" s="903"/>
      <c r="CP146" s="904"/>
      <c r="CQ146" s="892"/>
    </row>
    <row r="147" spans="1:95" x14ac:dyDescent="0.2">
      <c r="A147" s="894"/>
      <c r="B147" s="895"/>
      <c r="C147" s="896"/>
      <c r="D147" s="897"/>
      <c r="E147" s="897"/>
      <c r="F147" s="897"/>
      <c r="G147" s="897"/>
      <c r="H147" s="897"/>
      <c r="I147" s="897"/>
      <c r="J147" s="897"/>
      <c r="K147" s="897"/>
      <c r="L147" s="897"/>
      <c r="M147" s="897"/>
      <c r="N147" s="897"/>
      <c r="O147" s="897"/>
      <c r="P147" s="897"/>
      <c r="Q147" s="897"/>
      <c r="R147" s="897"/>
      <c r="S147" s="897"/>
      <c r="T147" s="897"/>
      <c r="U147" s="895"/>
      <c r="V147" s="852"/>
      <c r="W147" s="853"/>
      <c r="X147" s="853"/>
      <c r="Y147" s="853"/>
      <c r="Z147" s="853"/>
      <c r="AA147" s="853"/>
      <c r="AB147" s="854">
        <f>_xlfn.XLOOKUP(Table17[[#This Row],[Project Delivery Lead]],[1]List!Y:Y,[1]List!AC:AC)</f>
        <v>0</v>
      </c>
      <c r="AC147" s="853" t="str">
        <f>IF($A147="","",'[1]Core Assumptions'!$D167)</f>
        <v/>
      </c>
      <c r="AD147" s="855"/>
      <c r="AE147" s="905"/>
      <c r="AF147" s="857"/>
      <c r="AG147" s="857"/>
      <c r="AH147" s="858"/>
      <c r="AI147" s="858"/>
      <c r="AJ147" s="858"/>
      <c r="AK147" s="858" t="str">
        <f>IF($A147="","",IF('[1]Pricing Summary'!$B$31="T&amp;M","Time and Material","Fixed Fee"))</f>
        <v/>
      </c>
      <c r="AL147" s="856"/>
      <c r="AM147" s="856"/>
      <c r="AN147" s="906" t="str">
        <f>IF($A147="","",'[1]Outputs Recap'!$C$12)</f>
        <v/>
      </c>
      <c r="AO147" s="861" t="str">
        <f>IF($A147="","",VLOOKUP('[1]Outputs Recap'!$C$11,[1]List!$I:$J,2,FALSE))</f>
        <v/>
      </c>
      <c r="AP147" s="856" t="str" cm="1">
        <f t="array" ref="AP147">IF($A147="","",_xlfn.IFS('[1]Pricing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7" s="862" t="str">
        <f>IF($A147="","",_xlfn.XLOOKUP('[1]Core Assumptions'!$D$20,'[1]Other Lookups'!$AH:$AH,'[1]Other Lookups'!$AI:$AI))</f>
        <v/>
      </c>
      <c r="AR147" s="863"/>
      <c r="AS147" s="864" t="str">
        <f>IF($A147="","",'[1]Outputs Recap'!$C$13)</f>
        <v/>
      </c>
      <c r="AT147" s="907"/>
      <c r="AU147" s="907"/>
      <c r="AV147" s="907" t="str">
        <f>IF($A147="","",IFERROR(+Table17[[#This Row],[Total Contract Amount]]*Table17[[#This Row],[First-year, one-time Onboarding/Setup Fee %]],0))</f>
        <v/>
      </c>
      <c r="AW147" s="853"/>
      <c r="AX147" s="867"/>
      <c r="AY147" s="908"/>
      <c r="AZ147" s="909"/>
      <c r="BA147" s="910"/>
      <c r="BB147" s="871"/>
      <c r="BC147" s="871"/>
      <c r="BD147" s="871"/>
      <c r="BE147" s="871"/>
      <c r="BF147" s="871"/>
      <c r="BG147" s="871"/>
      <c r="BH147" s="872"/>
      <c r="BI147" s="874"/>
      <c r="BJ147" s="874"/>
      <c r="BK147" s="874"/>
      <c r="BL147" s="875"/>
      <c r="BM147" s="876"/>
      <c r="BN147" s="911"/>
      <c r="BO147" s="878"/>
      <c r="BP147" s="879"/>
      <c r="BQ147" s="880"/>
      <c r="BR147" s="881"/>
      <c r="BS147" s="882"/>
      <c r="BT147" s="883"/>
      <c r="BU147" s="884"/>
      <c r="BV147" s="884"/>
      <c r="BW147" s="884"/>
      <c r="BX147" s="884"/>
      <c r="BY147" s="884"/>
      <c r="BZ147" s="884"/>
      <c r="CA147" s="884"/>
      <c r="CB147" s="884"/>
      <c r="CC147" s="884"/>
      <c r="CD147" s="884"/>
      <c r="CE147" s="885"/>
      <c r="CF147" s="885" t="str">
        <f>IF($A147="","",IF(#REF!&lt;&gt;0,#REF!-SUM(BT147:CE147),""))</f>
        <v/>
      </c>
      <c r="CG147" s="898" t="str">
        <f>IF(ISBLANK($X147)=FALSE,"NextGenApp Advisory LLC","")</f>
        <v/>
      </c>
      <c r="CH147" s="899" t="str">
        <f>_xlfn.IFNA(INDEX([1]List!AC:AC,MATCH(X147,[1]List!Y:Y,0)),"")</f>
        <v/>
      </c>
      <c r="CI147" s="900"/>
      <c r="CJ147" s="900"/>
      <c r="CK147" s="900"/>
      <c r="CL147" s="900"/>
      <c r="CM147" s="901"/>
      <c r="CN147" s="902"/>
      <c r="CO147" s="903"/>
      <c r="CP147" s="904"/>
      <c r="CQ147" s="892"/>
    </row>
    <row r="148" spans="1:95" x14ac:dyDescent="0.2">
      <c r="A148" s="894"/>
      <c r="B148" s="895"/>
      <c r="C148" s="896"/>
      <c r="D148" s="897"/>
      <c r="E148" s="897"/>
      <c r="F148" s="897"/>
      <c r="G148" s="897"/>
      <c r="H148" s="897"/>
      <c r="I148" s="897"/>
      <c r="J148" s="897"/>
      <c r="K148" s="897"/>
      <c r="L148" s="897"/>
      <c r="M148" s="897"/>
      <c r="N148" s="897"/>
      <c r="O148" s="897"/>
      <c r="P148" s="897"/>
      <c r="Q148" s="897"/>
      <c r="R148" s="897"/>
      <c r="S148" s="897"/>
      <c r="T148" s="897"/>
      <c r="U148" s="895"/>
      <c r="V148" s="852"/>
      <c r="W148" s="853"/>
      <c r="X148" s="853"/>
      <c r="Y148" s="853"/>
      <c r="Z148" s="853"/>
      <c r="AA148" s="853"/>
      <c r="AB148" s="854">
        <f>_xlfn.XLOOKUP(Table17[[#This Row],[Project Delivery Lead]],[1]List!Y:Y,[1]List!AC:AC)</f>
        <v>0</v>
      </c>
      <c r="AC148" s="853" t="str">
        <f>IF($A148="","",'[1]Core Assumptions'!$D168)</f>
        <v/>
      </c>
      <c r="AD148" s="855"/>
      <c r="AE148" s="905"/>
      <c r="AF148" s="857"/>
      <c r="AG148" s="857"/>
      <c r="AH148" s="858"/>
      <c r="AI148" s="858"/>
      <c r="AJ148" s="858"/>
      <c r="AK148" s="858" t="str">
        <f>IF($A148="","",IF('[1]Pricing Summary'!$B$31="T&amp;M","Time and Material","Fixed Fee"))</f>
        <v/>
      </c>
      <c r="AL148" s="856"/>
      <c r="AM148" s="856"/>
      <c r="AN148" s="906" t="str">
        <f>IF($A148="","",'[1]Outputs Recap'!$C$12)</f>
        <v/>
      </c>
      <c r="AO148" s="861" t="str">
        <f>IF($A148="","",VLOOKUP('[1]Outputs Recap'!$C$11,[1]List!$I:$J,2,FALSE))</f>
        <v/>
      </c>
      <c r="AP148" s="856" t="str" cm="1">
        <f t="array" ref="AP148">IF($A148="","",_xlfn.IFS('[1]Pricing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8" s="862" t="str">
        <f>IF($A148="","",_xlfn.XLOOKUP('[1]Core Assumptions'!$D$20,'[1]Other Lookups'!$AH:$AH,'[1]Other Lookups'!$AI:$AI))</f>
        <v/>
      </c>
      <c r="AR148" s="863"/>
      <c r="AS148" s="864" t="str">
        <f>IF($A148="","",'[1]Outputs Recap'!$C$13)</f>
        <v/>
      </c>
      <c r="AT148" s="907"/>
      <c r="AU148" s="907"/>
      <c r="AV148" s="907" t="str">
        <f>IF($A148="","",IFERROR(+Table17[[#This Row],[Total Contract Amount]]*Table17[[#This Row],[First-year, one-time Onboarding/Setup Fee %]],0))</f>
        <v/>
      </c>
      <c r="AW148" s="853"/>
      <c r="AX148" s="867"/>
      <c r="AY148" s="908"/>
      <c r="AZ148" s="909"/>
      <c r="BA148" s="910"/>
      <c r="BB148" s="871"/>
      <c r="BC148" s="871"/>
      <c r="BD148" s="871"/>
      <c r="BE148" s="871"/>
      <c r="BF148" s="871"/>
      <c r="BG148" s="871"/>
      <c r="BH148" s="872"/>
      <c r="BI148" s="874"/>
      <c r="BJ148" s="874"/>
      <c r="BK148" s="874"/>
      <c r="BL148" s="875"/>
      <c r="BM148" s="876"/>
      <c r="BN148" s="911"/>
      <c r="BO148" s="878"/>
      <c r="BP148" s="879"/>
      <c r="BQ148" s="880"/>
      <c r="BR148" s="881"/>
      <c r="BS148" s="882"/>
      <c r="BT148" s="883"/>
      <c r="BU148" s="884"/>
      <c r="BV148" s="884"/>
      <c r="BW148" s="884"/>
      <c r="BX148" s="884"/>
      <c r="BY148" s="884"/>
      <c r="BZ148" s="884"/>
      <c r="CA148" s="884"/>
      <c r="CB148" s="884"/>
      <c r="CC148" s="884"/>
      <c r="CD148" s="884"/>
      <c r="CE148" s="885"/>
      <c r="CF148" s="885" t="str">
        <f>IF($A148="","",IF(#REF!&lt;&gt;0,#REF!-SUM(BT148:CE148),""))</f>
        <v/>
      </c>
      <c r="CG148" s="898" t="str">
        <f>IF(ISBLANK($X148)=FALSE,"NextGenApp Advisory LLC","")</f>
        <v/>
      </c>
      <c r="CH148" s="899" t="str">
        <f>_xlfn.IFNA(INDEX([1]List!AC:AC,MATCH(X148,[1]List!Y:Y,0)),"")</f>
        <v/>
      </c>
      <c r="CI148" s="900"/>
      <c r="CJ148" s="900"/>
      <c r="CK148" s="900"/>
      <c r="CL148" s="900"/>
      <c r="CM148" s="901"/>
      <c r="CN148" s="902"/>
      <c r="CO148" s="903"/>
      <c r="CP148" s="904"/>
      <c r="CQ148" s="892"/>
    </row>
    <row r="149" spans="1:95" x14ac:dyDescent="0.2">
      <c r="A149" s="894"/>
      <c r="B149" s="895"/>
      <c r="C149" s="896"/>
      <c r="D149" s="897"/>
      <c r="E149" s="897"/>
      <c r="F149" s="897"/>
      <c r="G149" s="897"/>
      <c r="H149" s="897"/>
      <c r="I149" s="897"/>
      <c r="J149" s="897"/>
      <c r="K149" s="897"/>
      <c r="L149" s="897"/>
      <c r="M149" s="897"/>
      <c r="N149" s="897"/>
      <c r="O149" s="897"/>
      <c r="P149" s="897"/>
      <c r="Q149" s="897"/>
      <c r="R149" s="897"/>
      <c r="S149" s="897"/>
      <c r="T149" s="897"/>
      <c r="U149" s="895"/>
      <c r="V149" s="852"/>
      <c r="W149" s="853"/>
      <c r="X149" s="853"/>
      <c r="Y149" s="853"/>
      <c r="Z149" s="853"/>
      <c r="AA149" s="853"/>
      <c r="AB149" s="854">
        <f>_xlfn.XLOOKUP(Table17[[#This Row],[Project Delivery Lead]],[1]List!Y:Y,[1]List!AC:AC)</f>
        <v>0</v>
      </c>
      <c r="AC149" s="853" t="str">
        <f>IF($A149="","",'[1]Core Assumptions'!$D169)</f>
        <v/>
      </c>
      <c r="AD149" s="855"/>
      <c r="AE149" s="905"/>
      <c r="AF149" s="857"/>
      <c r="AG149" s="857"/>
      <c r="AH149" s="858"/>
      <c r="AI149" s="858"/>
      <c r="AJ149" s="858"/>
      <c r="AK149" s="858" t="str">
        <f>IF($A149="","",IF('[1]Pricing Summary'!$B$31="T&amp;M","Time and Material","Fixed Fee"))</f>
        <v/>
      </c>
      <c r="AL149" s="856"/>
      <c r="AM149" s="856"/>
      <c r="AN149" s="906" t="str">
        <f>IF($A149="","",'[1]Outputs Recap'!$C$12)</f>
        <v/>
      </c>
      <c r="AO149" s="861" t="str">
        <f>IF($A149="","",VLOOKUP('[1]Outputs Recap'!$C$11,[1]List!$I:$J,2,FALSE))</f>
        <v/>
      </c>
      <c r="AP149" s="856" t="str" cm="1">
        <f t="array" ref="AP149">IF($A149="","",_xlfn.IFS('[1]Pricing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49" s="862" t="str">
        <f>IF($A149="","",_xlfn.XLOOKUP('[1]Core Assumptions'!$D$20,'[1]Other Lookups'!$AH:$AH,'[1]Other Lookups'!$AI:$AI))</f>
        <v/>
      </c>
      <c r="AR149" s="863"/>
      <c r="AS149" s="864" t="str">
        <f>IF($A149="","",'[1]Outputs Recap'!$C$13)</f>
        <v/>
      </c>
      <c r="AT149" s="907"/>
      <c r="AU149" s="907"/>
      <c r="AV149" s="907" t="str">
        <f>IF($A149="","",IFERROR(+Table17[[#This Row],[Total Contract Amount]]*Table17[[#This Row],[First-year, one-time Onboarding/Setup Fee %]],0))</f>
        <v/>
      </c>
      <c r="AW149" s="853"/>
      <c r="AX149" s="867"/>
      <c r="AY149" s="908"/>
      <c r="AZ149" s="909"/>
      <c r="BA149" s="910"/>
      <c r="BB149" s="871"/>
      <c r="BC149" s="871"/>
      <c r="BD149" s="871"/>
      <c r="BE149" s="871"/>
      <c r="BF149" s="871"/>
      <c r="BG149" s="871"/>
      <c r="BH149" s="872"/>
      <c r="BI149" s="874"/>
      <c r="BJ149" s="874"/>
      <c r="BK149" s="874"/>
      <c r="BL149" s="875"/>
      <c r="BM149" s="876"/>
      <c r="BN149" s="911"/>
      <c r="BO149" s="878"/>
      <c r="BP149" s="879"/>
      <c r="BQ149" s="880"/>
      <c r="BR149" s="881"/>
      <c r="BS149" s="882"/>
      <c r="BT149" s="883"/>
      <c r="BU149" s="884"/>
      <c r="BV149" s="884"/>
      <c r="BW149" s="884"/>
      <c r="BX149" s="884"/>
      <c r="BY149" s="884"/>
      <c r="BZ149" s="884"/>
      <c r="CA149" s="884"/>
      <c r="CB149" s="884"/>
      <c r="CC149" s="884"/>
      <c r="CD149" s="884"/>
      <c r="CE149" s="885"/>
      <c r="CF149" s="885" t="str">
        <f>IF($A149="","",IF(#REF!&lt;&gt;0,#REF!-SUM(BT149:CE149),""))</f>
        <v/>
      </c>
      <c r="CG149" s="898" t="str">
        <f>IF(ISBLANK($X149)=FALSE,"NextGenApp Advisory LLC","")</f>
        <v/>
      </c>
      <c r="CH149" s="899" t="str">
        <f>_xlfn.IFNA(INDEX([1]List!AC:AC,MATCH(X149,[1]List!Y:Y,0)),"")</f>
        <v/>
      </c>
      <c r="CI149" s="900"/>
      <c r="CJ149" s="900"/>
      <c r="CK149" s="900"/>
      <c r="CL149" s="900"/>
      <c r="CM149" s="901"/>
      <c r="CN149" s="902"/>
      <c r="CO149" s="903"/>
      <c r="CP149" s="904"/>
      <c r="CQ149" s="892"/>
    </row>
    <row r="150" spans="1:95" x14ac:dyDescent="0.2">
      <c r="A150" s="894"/>
      <c r="B150" s="895"/>
      <c r="C150" s="896"/>
      <c r="D150" s="897"/>
      <c r="E150" s="897"/>
      <c r="F150" s="897"/>
      <c r="G150" s="897"/>
      <c r="H150" s="897"/>
      <c r="I150" s="897"/>
      <c r="J150" s="897"/>
      <c r="K150" s="897"/>
      <c r="L150" s="897"/>
      <c r="M150" s="897"/>
      <c r="N150" s="897"/>
      <c r="O150" s="897"/>
      <c r="P150" s="897"/>
      <c r="Q150" s="897"/>
      <c r="R150" s="897"/>
      <c r="S150" s="897"/>
      <c r="T150" s="897"/>
      <c r="U150" s="895"/>
      <c r="V150" s="852"/>
      <c r="W150" s="853"/>
      <c r="X150" s="853"/>
      <c r="Y150" s="853"/>
      <c r="Z150" s="853"/>
      <c r="AA150" s="853"/>
      <c r="AB150" s="854">
        <f>_xlfn.XLOOKUP(Table17[[#This Row],[Project Delivery Lead]],[1]List!Y:Y,[1]List!AC:AC)</f>
        <v>0</v>
      </c>
      <c r="AC150" s="853" t="str">
        <f>IF($A150="","",'[1]Core Assumptions'!$D170)</f>
        <v/>
      </c>
      <c r="AD150" s="855"/>
      <c r="AE150" s="905"/>
      <c r="AF150" s="857"/>
      <c r="AG150" s="857"/>
      <c r="AH150" s="858"/>
      <c r="AI150" s="858"/>
      <c r="AJ150" s="858"/>
      <c r="AK150" s="858" t="str">
        <f>IF($A150="","",IF('[1]Pricing Summary'!$B$31="T&amp;M","Time and Material","Fixed Fee"))</f>
        <v/>
      </c>
      <c r="AL150" s="856"/>
      <c r="AM150" s="856"/>
      <c r="AN150" s="906" t="str">
        <f>IF($A150="","",'[1]Outputs Recap'!$C$12)</f>
        <v/>
      </c>
      <c r="AO150" s="861" t="str">
        <f>IF($A150="","",VLOOKUP('[1]Outputs Recap'!$C$11,[1]List!$I:$J,2,FALSE))</f>
        <v/>
      </c>
      <c r="AP150" s="856" t="str" cm="1">
        <f t="array" ref="AP150">IF($A150="","",_xlfn.IFS('[1]Pricing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0" s="862" t="str">
        <f>IF($A150="","",_xlfn.XLOOKUP('[1]Core Assumptions'!$D$20,'[1]Other Lookups'!$AH:$AH,'[1]Other Lookups'!$AI:$AI))</f>
        <v/>
      </c>
      <c r="AR150" s="863"/>
      <c r="AS150" s="864" t="str">
        <f>IF($A150="","",'[1]Outputs Recap'!$C$13)</f>
        <v/>
      </c>
      <c r="AT150" s="907"/>
      <c r="AU150" s="907"/>
      <c r="AV150" s="907" t="str">
        <f>IF($A150="","",IFERROR(+Table17[[#This Row],[Total Contract Amount]]*Table17[[#This Row],[First-year, one-time Onboarding/Setup Fee %]],0))</f>
        <v/>
      </c>
      <c r="AW150" s="853"/>
      <c r="AX150" s="867"/>
      <c r="AY150" s="908"/>
      <c r="AZ150" s="909"/>
      <c r="BA150" s="910"/>
      <c r="BB150" s="871"/>
      <c r="BC150" s="871"/>
      <c r="BD150" s="871"/>
      <c r="BE150" s="871"/>
      <c r="BF150" s="871"/>
      <c r="BG150" s="871"/>
      <c r="BH150" s="872"/>
      <c r="BI150" s="874"/>
      <c r="BJ150" s="874"/>
      <c r="BK150" s="874"/>
      <c r="BL150" s="875"/>
      <c r="BM150" s="876"/>
      <c r="BN150" s="911"/>
      <c r="BO150" s="878"/>
      <c r="BP150" s="879"/>
      <c r="BQ150" s="880"/>
      <c r="BR150" s="881"/>
      <c r="BS150" s="882"/>
      <c r="BT150" s="883"/>
      <c r="BU150" s="884"/>
      <c r="BV150" s="884"/>
      <c r="BW150" s="884"/>
      <c r="BX150" s="884"/>
      <c r="BY150" s="884"/>
      <c r="BZ150" s="884"/>
      <c r="CA150" s="884"/>
      <c r="CB150" s="884"/>
      <c r="CC150" s="884"/>
      <c r="CD150" s="884"/>
      <c r="CE150" s="885"/>
      <c r="CF150" s="885" t="str">
        <f>IF($A150="","",IF(#REF!&lt;&gt;0,#REF!-SUM(BT150:CE150),""))</f>
        <v/>
      </c>
      <c r="CG150" s="898" t="str">
        <f>IF(ISBLANK($X150)=FALSE,"NextGenApp Advisory LLC","")</f>
        <v/>
      </c>
      <c r="CH150" s="899" t="str">
        <f>_xlfn.IFNA(INDEX([1]List!AC:AC,MATCH(X150,[1]List!Y:Y,0)),"")</f>
        <v/>
      </c>
      <c r="CI150" s="900"/>
      <c r="CJ150" s="900"/>
      <c r="CK150" s="900"/>
      <c r="CL150" s="900"/>
      <c r="CM150" s="901"/>
      <c r="CN150" s="902"/>
      <c r="CO150" s="903"/>
      <c r="CP150" s="904"/>
      <c r="CQ150" s="892"/>
    </row>
    <row r="151" spans="1:95" x14ac:dyDescent="0.2">
      <c r="A151" s="894"/>
      <c r="B151" s="895"/>
      <c r="C151" s="896"/>
      <c r="D151" s="897"/>
      <c r="E151" s="897"/>
      <c r="F151" s="897"/>
      <c r="G151" s="897"/>
      <c r="H151" s="897"/>
      <c r="I151" s="897"/>
      <c r="J151" s="897"/>
      <c r="K151" s="897"/>
      <c r="L151" s="897"/>
      <c r="M151" s="897"/>
      <c r="N151" s="897"/>
      <c r="O151" s="897"/>
      <c r="P151" s="897"/>
      <c r="Q151" s="897"/>
      <c r="R151" s="897"/>
      <c r="S151" s="897"/>
      <c r="T151" s="897"/>
      <c r="U151" s="895"/>
      <c r="V151" s="852"/>
      <c r="W151" s="853"/>
      <c r="X151" s="853"/>
      <c r="Y151" s="853"/>
      <c r="Z151" s="853"/>
      <c r="AA151" s="853"/>
      <c r="AB151" s="854">
        <f>_xlfn.XLOOKUP(Table17[[#This Row],[Project Delivery Lead]],[1]List!Y:Y,[1]List!AC:AC)</f>
        <v>0</v>
      </c>
      <c r="AC151" s="853" t="str">
        <f>IF($A151="","",'[1]Core Assumptions'!$D171)</f>
        <v/>
      </c>
      <c r="AD151" s="855"/>
      <c r="AE151" s="905"/>
      <c r="AF151" s="857"/>
      <c r="AG151" s="857"/>
      <c r="AH151" s="858"/>
      <c r="AI151" s="858"/>
      <c r="AJ151" s="858"/>
      <c r="AK151" s="858" t="str">
        <f>IF($A151="","",IF('[1]Pricing Summary'!$B$31="T&amp;M","Time and Material","Fixed Fee"))</f>
        <v/>
      </c>
      <c r="AL151" s="856"/>
      <c r="AM151" s="856"/>
      <c r="AN151" s="906" t="str">
        <f>IF($A151="","",'[1]Outputs Recap'!$C$12)</f>
        <v/>
      </c>
      <c r="AO151" s="861" t="str">
        <f>IF($A151="","",VLOOKUP('[1]Outputs Recap'!$C$11,[1]List!$I:$J,2,FALSE))</f>
        <v/>
      </c>
      <c r="AP151" s="856" t="str" cm="1">
        <f t="array" ref="AP151">IF($A151="","",_xlfn.IFS('[1]Pricing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1" s="862" t="str">
        <f>IF($A151="","",_xlfn.XLOOKUP('[1]Core Assumptions'!$D$20,'[1]Other Lookups'!$AH:$AH,'[1]Other Lookups'!$AI:$AI))</f>
        <v/>
      </c>
      <c r="AR151" s="863"/>
      <c r="AS151" s="864" t="str">
        <f>IF($A151="","",'[1]Outputs Recap'!$C$13)</f>
        <v/>
      </c>
      <c r="AT151" s="907"/>
      <c r="AU151" s="907"/>
      <c r="AV151" s="907" t="str">
        <f>IF($A151="","",IFERROR(+Table17[[#This Row],[Total Contract Amount]]*Table17[[#This Row],[First-year, one-time Onboarding/Setup Fee %]],0))</f>
        <v/>
      </c>
      <c r="AW151" s="853"/>
      <c r="AX151" s="867"/>
      <c r="AY151" s="908"/>
      <c r="AZ151" s="909"/>
      <c r="BA151" s="910"/>
      <c r="BB151" s="871"/>
      <c r="BC151" s="871"/>
      <c r="BD151" s="871"/>
      <c r="BE151" s="871"/>
      <c r="BF151" s="871"/>
      <c r="BG151" s="871"/>
      <c r="BH151" s="872"/>
      <c r="BI151" s="874"/>
      <c r="BJ151" s="874"/>
      <c r="BK151" s="874"/>
      <c r="BL151" s="875"/>
      <c r="BM151" s="876"/>
      <c r="BN151" s="911"/>
      <c r="BO151" s="878"/>
      <c r="BP151" s="879"/>
      <c r="BQ151" s="880"/>
      <c r="BR151" s="881"/>
      <c r="BS151" s="882"/>
      <c r="BT151" s="883"/>
      <c r="BU151" s="884"/>
      <c r="BV151" s="884"/>
      <c r="BW151" s="884"/>
      <c r="BX151" s="884"/>
      <c r="BY151" s="884"/>
      <c r="BZ151" s="884"/>
      <c r="CA151" s="884"/>
      <c r="CB151" s="884"/>
      <c r="CC151" s="884"/>
      <c r="CD151" s="884"/>
      <c r="CE151" s="885"/>
      <c r="CF151" s="885" t="str">
        <f>IF($A151="","",IF(#REF!&lt;&gt;0,#REF!-SUM(BT151:CE151),""))</f>
        <v/>
      </c>
      <c r="CG151" s="898" t="str">
        <f>IF(ISBLANK($X151)=FALSE,"NextGenApp Advisory LLC","")</f>
        <v/>
      </c>
      <c r="CH151" s="899" t="str">
        <f>_xlfn.IFNA(INDEX([1]List!AC:AC,MATCH(X151,[1]List!Y:Y,0)),"")</f>
        <v/>
      </c>
      <c r="CI151" s="900"/>
      <c r="CJ151" s="900"/>
      <c r="CK151" s="900"/>
      <c r="CL151" s="900"/>
      <c r="CM151" s="901"/>
      <c r="CN151" s="902"/>
      <c r="CO151" s="903"/>
      <c r="CP151" s="904"/>
      <c r="CQ151" s="892"/>
    </row>
    <row r="152" spans="1:95" x14ac:dyDescent="0.2">
      <c r="A152" s="894"/>
      <c r="B152" s="895"/>
      <c r="C152" s="896"/>
      <c r="D152" s="897"/>
      <c r="E152" s="897"/>
      <c r="F152" s="897"/>
      <c r="G152" s="897"/>
      <c r="H152" s="897"/>
      <c r="I152" s="897"/>
      <c r="J152" s="897"/>
      <c r="K152" s="897"/>
      <c r="L152" s="897"/>
      <c r="M152" s="897"/>
      <c r="N152" s="897"/>
      <c r="O152" s="897"/>
      <c r="P152" s="897"/>
      <c r="Q152" s="897"/>
      <c r="R152" s="897"/>
      <c r="S152" s="897"/>
      <c r="T152" s="897"/>
      <c r="U152" s="895"/>
      <c r="V152" s="852"/>
      <c r="W152" s="853"/>
      <c r="X152" s="853"/>
      <c r="Y152" s="853"/>
      <c r="Z152" s="853"/>
      <c r="AA152" s="853"/>
      <c r="AB152" s="854">
        <f>_xlfn.XLOOKUP(Table17[[#This Row],[Project Delivery Lead]],[1]List!Y:Y,[1]List!AC:AC)</f>
        <v>0</v>
      </c>
      <c r="AC152" s="853" t="str">
        <f>IF($A152="","",'[1]Core Assumptions'!$D172)</f>
        <v/>
      </c>
      <c r="AD152" s="855"/>
      <c r="AE152" s="905"/>
      <c r="AF152" s="857"/>
      <c r="AG152" s="857"/>
      <c r="AH152" s="858"/>
      <c r="AI152" s="858"/>
      <c r="AJ152" s="858"/>
      <c r="AK152" s="858" t="str">
        <f>IF($A152="","",IF('[1]Pricing Summary'!$B$31="T&amp;M","Time and Material","Fixed Fee"))</f>
        <v/>
      </c>
      <c r="AL152" s="856"/>
      <c r="AM152" s="856"/>
      <c r="AN152" s="906" t="str">
        <f>IF($A152="","",'[1]Outputs Recap'!$C$12)</f>
        <v/>
      </c>
      <c r="AO152" s="861" t="str">
        <f>IF($A152="","",VLOOKUP('[1]Outputs Recap'!$C$11,[1]List!$I:$J,2,FALSE))</f>
        <v/>
      </c>
      <c r="AP152" s="856" t="str" cm="1">
        <f t="array" ref="AP152">IF($A152="","",_xlfn.IFS('[1]Pricing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2" s="862" t="str">
        <f>IF($A152="","",_xlfn.XLOOKUP('[1]Core Assumptions'!$D$20,'[1]Other Lookups'!$AH:$AH,'[1]Other Lookups'!$AI:$AI))</f>
        <v/>
      </c>
      <c r="AR152" s="863"/>
      <c r="AS152" s="864" t="str">
        <f>IF($A152="","",'[1]Outputs Recap'!$C$13)</f>
        <v/>
      </c>
      <c r="AT152" s="907"/>
      <c r="AU152" s="907"/>
      <c r="AV152" s="907" t="str">
        <f>IF($A152="","",IFERROR(+Table17[[#This Row],[Total Contract Amount]]*Table17[[#This Row],[First-year, one-time Onboarding/Setup Fee %]],0))</f>
        <v/>
      </c>
      <c r="AW152" s="853"/>
      <c r="AX152" s="867"/>
      <c r="AY152" s="908"/>
      <c r="AZ152" s="909"/>
      <c r="BA152" s="910"/>
      <c r="BB152" s="871"/>
      <c r="BC152" s="871"/>
      <c r="BD152" s="871"/>
      <c r="BE152" s="871"/>
      <c r="BF152" s="871"/>
      <c r="BG152" s="871"/>
      <c r="BH152" s="872"/>
      <c r="BI152" s="874"/>
      <c r="BJ152" s="874"/>
      <c r="BK152" s="874"/>
      <c r="BL152" s="875"/>
      <c r="BM152" s="876"/>
      <c r="BN152" s="911"/>
      <c r="BO152" s="878"/>
      <c r="BP152" s="879"/>
      <c r="BQ152" s="880"/>
      <c r="BR152" s="881"/>
      <c r="BS152" s="882"/>
      <c r="BT152" s="883"/>
      <c r="BU152" s="884"/>
      <c r="BV152" s="884"/>
      <c r="BW152" s="884"/>
      <c r="BX152" s="884"/>
      <c r="BY152" s="884"/>
      <c r="BZ152" s="884"/>
      <c r="CA152" s="884"/>
      <c r="CB152" s="884"/>
      <c r="CC152" s="884"/>
      <c r="CD152" s="884"/>
      <c r="CE152" s="885"/>
      <c r="CF152" s="885" t="str">
        <f>IF($A152="","",IF(#REF!&lt;&gt;0,#REF!-SUM(BT152:CE152),""))</f>
        <v/>
      </c>
      <c r="CG152" s="898" t="str">
        <f>IF(ISBLANK($X152)=FALSE,"NextGenApp Advisory LLC","")</f>
        <v/>
      </c>
      <c r="CH152" s="899" t="str">
        <f>_xlfn.IFNA(INDEX([1]List!AC:AC,MATCH(X152,[1]List!Y:Y,0)),"")</f>
        <v/>
      </c>
      <c r="CI152" s="900"/>
      <c r="CJ152" s="900"/>
      <c r="CK152" s="900"/>
      <c r="CL152" s="900"/>
      <c r="CM152" s="901"/>
      <c r="CN152" s="902"/>
      <c r="CO152" s="903"/>
      <c r="CP152" s="904"/>
      <c r="CQ152" s="892"/>
    </row>
    <row r="153" spans="1:95" x14ac:dyDescent="0.2">
      <c r="A153" s="894"/>
      <c r="B153" s="895"/>
      <c r="C153" s="896"/>
      <c r="D153" s="897"/>
      <c r="E153" s="897"/>
      <c r="F153" s="897"/>
      <c r="G153" s="897"/>
      <c r="H153" s="897"/>
      <c r="I153" s="897"/>
      <c r="J153" s="897"/>
      <c r="K153" s="897"/>
      <c r="L153" s="897"/>
      <c r="M153" s="897"/>
      <c r="N153" s="897"/>
      <c r="O153" s="897"/>
      <c r="P153" s="897"/>
      <c r="Q153" s="897"/>
      <c r="R153" s="897"/>
      <c r="S153" s="897"/>
      <c r="T153" s="897"/>
      <c r="U153" s="895"/>
      <c r="V153" s="852"/>
      <c r="W153" s="853"/>
      <c r="X153" s="853"/>
      <c r="Y153" s="853"/>
      <c r="Z153" s="853"/>
      <c r="AA153" s="853"/>
      <c r="AB153" s="854">
        <f>_xlfn.XLOOKUP(Table17[[#This Row],[Project Delivery Lead]],[1]List!Y:Y,[1]List!AC:AC)</f>
        <v>0</v>
      </c>
      <c r="AC153" s="853" t="str">
        <f>IF($A153="","",'[1]Core Assumptions'!$D173)</f>
        <v/>
      </c>
      <c r="AD153" s="855"/>
      <c r="AE153" s="905"/>
      <c r="AF153" s="857"/>
      <c r="AG153" s="857"/>
      <c r="AH153" s="858"/>
      <c r="AI153" s="858"/>
      <c r="AJ153" s="858"/>
      <c r="AK153" s="858" t="str">
        <f>IF($A153="","",IF('[1]Pricing Summary'!$B$31="T&amp;M","Time and Material","Fixed Fee"))</f>
        <v/>
      </c>
      <c r="AL153" s="856"/>
      <c r="AM153" s="856"/>
      <c r="AN153" s="906" t="str">
        <f>IF($A153="","",'[1]Outputs Recap'!$C$12)</f>
        <v/>
      </c>
      <c r="AO153" s="861" t="str">
        <f>IF($A153="","",VLOOKUP('[1]Outputs Recap'!$C$11,[1]List!$I:$J,2,FALSE))</f>
        <v/>
      </c>
      <c r="AP153" s="856" t="str" cm="1">
        <f t="array" ref="AP153">IF($A153="","",_xlfn.IFS('[1]Pricing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3" s="862" t="str">
        <f>IF($A153="","",_xlfn.XLOOKUP('[1]Core Assumptions'!$D$20,'[1]Other Lookups'!$AH:$AH,'[1]Other Lookups'!$AI:$AI))</f>
        <v/>
      </c>
      <c r="AR153" s="863"/>
      <c r="AS153" s="864" t="str">
        <f>IF($A153="","",'[1]Outputs Recap'!$C$13)</f>
        <v/>
      </c>
      <c r="AT153" s="907"/>
      <c r="AU153" s="907"/>
      <c r="AV153" s="907" t="str">
        <f>IF($A153="","",IFERROR(+Table17[[#This Row],[Total Contract Amount]]*Table17[[#This Row],[First-year, one-time Onboarding/Setup Fee %]],0))</f>
        <v/>
      </c>
      <c r="AW153" s="853"/>
      <c r="AX153" s="867"/>
      <c r="AY153" s="908"/>
      <c r="AZ153" s="909"/>
      <c r="BA153" s="910"/>
      <c r="BB153" s="871"/>
      <c r="BC153" s="871"/>
      <c r="BD153" s="871"/>
      <c r="BE153" s="871"/>
      <c r="BF153" s="871"/>
      <c r="BG153" s="871"/>
      <c r="BH153" s="872"/>
      <c r="BI153" s="874"/>
      <c r="BJ153" s="874"/>
      <c r="BK153" s="874"/>
      <c r="BL153" s="875"/>
      <c r="BM153" s="876"/>
      <c r="BN153" s="911"/>
      <c r="BO153" s="878"/>
      <c r="BP153" s="879"/>
      <c r="BQ153" s="880"/>
      <c r="BR153" s="881"/>
      <c r="BS153" s="882"/>
      <c r="BT153" s="883"/>
      <c r="BU153" s="884"/>
      <c r="BV153" s="884"/>
      <c r="BW153" s="884"/>
      <c r="BX153" s="884"/>
      <c r="BY153" s="884"/>
      <c r="BZ153" s="884"/>
      <c r="CA153" s="884"/>
      <c r="CB153" s="884"/>
      <c r="CC153" s="884"/>
      <c r="CD153" s="884"/>
      <c r="CE153" s="885"/>
      <c r="CF153" s="885" t="str">
        <f>IF($A153="","",IF(#REF!&lt;&gt;0,#REF!-SUM(BT153:CE153),""))</f>
        <v/>
      </c>
      <c r="CG153" s="898" t="str">
        <f>IF(ISBLANK($X153)=FALSE,"NextGenApp Advisory LLC","")</f>
        <v/>
      </c>
      <c r="CH153" s="899" t="str">
        <f>_xlfn.IFNA(INDEX([1]List!AC:AC,MATCH(X153,[1]List!Y:Y,0)),"")</f>
        <v/>
      </c>
      <c r="CI153" s="900"/>
      <c r="CJ153" s="900"/>
      <c r="CK153" s="900"/>
      <c r="CL153" s="900"/>
      <c r="CM153" s="901"/>
      <c r="CN153" s="902"/>
      <c r="CO153" s="903"/>
      <c r="CP153" s="904"/>
      <c r="CQ153" s="892"/>
    </row>
    <row r="154" spans="1:95" x14ac:dyDescent="0.2">
      <c r="A154" s="894"/>
      <c r="B154" s="895"/>
      <c r="C154" s="896"/>
      <c r="D154" s="897"/>
      <c r="E154" s="897"/>
      <c r="F154" s="897"/>
      <c r="G154" s="897"/>
      <c r="H154" s="897"/>
      <c r="I154" s="897"/>
      <c r="J154" s="897"/>
      <c r="K154" s="897"/>
      <c r="L154" s="897"/>
      <c r="M154" s="897"/>
      <c r="N154" s="897"/>
      <c r="O154" s="897"/>
      <c r="P154" s="897"/>
      <c r="Q154" s="897"/>
      <c r="R154" s="897"/>
      <c r="S154" s="897"/>
      <c r="T154" s="897"/>
      <c r="U154" s="895"/>
      <c r="V154" s="852"/>
      <c r="W154" s="853"/>
      <c r="X154" s="853"/>
      <c r="Y154" s="853"/>
      <c r="Z154" s="853"/>
      <c r="AA154" s="853"/>
      <c r="AB154" s="854">
        <f>_xlfn.XLOOKUP(Table17[[#This Row],[Project Delivery Lead]],[1]List!Y:Y,[1]List!AC:AC)</f>
        <v>0</v>
      </c>
      <c r="AC154" s="853" t="str">
        <f>IF($A154="","",'[1]Core Assumptions'!$D174)</f>
        <v/>
      </c>
      <c r="AD154" s="855"/>
      <c r="AE154" s="905"/>
      <c r="AF154" s="857"/>
      <c r="AG154" s="857"/>
      <c r="AH154" s="858"/>
      <c r="AI154" s="858"/>
      <c r="AJ154" s="858"/>
      <c r="AK154" s="858" t="str">
        <f>IF($A154="","",IF('[1]Pricing Summary'!$B$31="T&amp;M","Time and Material","Fixed Fee"))</f>
        <v/>
      </c>
      <c r="AL154" s="856"/>
      <c r="AM154" s="856"/>
      <c r="AN154" s="906" t="str">
        <f>IF($A154="","",'[1]Outputs Recap'!$C$12)</f>
        <v/>
      </c>
      <c r="AO154" s="861" t="str">
        <f>IF($A154="","",VLOOKUP('[1]Outputs Recap'!$C$11,[1]List!$I:$J,2,FALSE))</f>
        <v/>
      </c>
      <c r="AP154" s="856" t="str" cm="1">
        <f t="array" ref="AP154">IF($A154="","",_xlfn.IFS('[1]Pricing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4" s="862" t="str">
        <f>IF($A154="","",_xlfn.XLOOKUP('[1]Core Assumptions'!$D$20,'[1]Other Lookups'!$AH:$AH,'[1]Other Lookups'!$AI:$AI))</f>
        <v/>
      </c>
      <c r="AR154" s="863"/>
      <c r="AS154" s="864" t="str">
        <f>IF($A154="","",'[1]Outputs Recap'!$C$13)</f>
        <v/>
      </c>
      <c r="AT154" s="907"/>
      <c r="AU154" s="907"/>
      <c r="AV154" s="907" t="str">
        <f>IF($A154="","",IFERROR(+Table17[[#This Row],[Total Contract Amount]]*Table17[[#This Row],[First-year, one-time Onboarding/Setup Fee %]],0))</f>
        <v/>
      </c>
      <c r="AW154" s="853"/>
      <c r="AX154" s="867"/>
      <c r="AY154" s="908"/>
      <c r="AZ154" s="909"/>
      <c r="BA154" s="910"/>
      <c r="BB154" s="871"/>
      <c r="BC154" s="871"/>
      <c r="BD154" s="871"/>
      <c r="BE154" s="871"/>
      <c r="BF154" s="871"/>
      <c r="BG154" s="871"/>
      <c r="BH154" s="872"/>
      <c r="BI154" s="874"/>
      <c r="BJ154" s="874"/>
      <c r="BK154" s="874"/>
      <c r="BL154" s="875"/>
      <c r="BM154" s="876"/>
      <c r="BN154" s="911"/>
      <c r="BO154" s="878"/>
      <c r="BP154" s="879"/>
      <c r="BQ154" s="880"/>
      <c r="BR154" s="881"/>
      <c r="BS154" s="882"/>
      <c r="BT154" s="883"/>
      <c r="BU154" s="884"/>
      <c r="BV154" s="884"/>
      <c r="BW154" s="884"/>
      <c r="BX154" s="884"/>
      <c r="BY154" s="884"/>
      <c r="BZ154" s="884"/>
      <c r="CA154" s="884"/>
      <c r="CB154" s="884"/>
      <c r="CC154" s="884"/>
      <c r="CD154" s="884"/>
      <c r="CE154" s="885"/>
      <c r="CF154" s="885" t="str">
        <f>IF($A154="","",IF(#REF!&lt;&gt;0,#REF!-SUM(BT154:CE154),""))</f>
        <v/>
      </c>
      <c r="CG154" s="898" t="str">
        <f>IF(ISBLANK($X154)=FALSE,"NextGenApp Advisory LLC","")</f>
        <v/>
      </c>
      <c r="CH154" s="899" t="str">
        <f>_xlfn.IFNA(INDEX([1]List!AC:AC,MATCH(X154,[1]List!Y:Y,0)),"")</f>
        <v/>
      </c>
      <c r="CI154" s="900"/>
      <c r="CJ154" s="900"/>
      <c r="CK154" s="900"/>
      <c r="CL154" s="900"/>
      <c r="CM154" s="901"/>
      <c r="CN154" s="902"/>
      <c r="CO154" s="903"/>
      <c r="CP154" s="904"/>
      <c r="CQ154" s="892"/>
    </row>
    <row r="155" spans="1:95" x14ac:dyDescent="0.2">
      <c r="A155" s="894"/>
      <c r="B155" s="895"/>
      <c r="C155" s="896"/>
      <c r="D155" s="897"/>
      <c r="E155" s="897"/>
      <c r="F155" s="897"/>
      <c r="G155" s="897"/>
      <c r="H155" s="897"/>
      <c r="I155" s="897"/>
      <c r="J155" s="897"/>
      <c r="K155" s="897"/>
      <c r="L155" s="897"/>
      <c r="M155" s="897"/>
      <c r="N155" s="897"/>
      <c r="O155" s="897"/>
      <c r="P155" s="897"/>
      <c r="Q155" s="897"/>
      <c r="R155" s="897"/>
      <c r="S155" s="897"/>
      <c r="T155" s="897"/>
      <c r="U155" s="895"/>
      <c r="V155" s="852"/>
      <c r="W155" s="853"/>
      <c r="X155" s="853"/>
      <c r="Y155" s="853"/>
      <c r="Z155" s="853"/>
      <c r="AA155" s="853"/>
      <c r="AB155" s="854">
        <f>_xlfn.XLOOKUP(Table17[[#This Row],[Project Delivery Lead]],[1]List!Y:Y,[1]List!AC:AC)</f>
        <v>0</v>
      </c>
      <c r="AC155" s="853" t="str">
        <f>IF($A155="","",'[1]Core Assumptions'!$D175)</f>
        <v/>
      </c>
      <c r="AD155" s="855"/>
      <c r="AE155" s="905"/>
      <c r="AF155" s="857"/>
      <c r="AG155" s="857"/>
      <c r="AH155" s="858"/>
      <c r="AI155" s="858"/>
      <c r="AJ155" s="858"/>
      <c r="AK155" s="858" t="str">
        <f>IF($A155="","",IF('[1]Pricing Summary'!$B$31="T&amp;M","Time and Material","Fixed Fee"))</f>
        <v/>
      </c>
      <c r="AL155" s="856"/>
      <c r="AM155" s="856"/>
      <c r="AN155" s="906" t="str">
        <f>IF($A155="","",'[1]Outputs Recap'!$C$12)</f>
        <v/>
      </c>
      <c r="AO155" s="861" t="str">
        <f>IF($A155="","",VLOOKUP('[1]Outputs Recap'!$C$11,[1]List!$I:$J,2,FALSE))</f>
        <v/>
      </c>
      <c r="AP155" s="856" t="str" cm="1">
        <f t="array" ref="AP155">IF($A155="","",_xlfn.IFS('[1]Pricing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5" s="862" t="str">
        <f>IF($A155="","",_xlfn.XLOOKUP('[1]Core Assumptions'!$D$20,'[1]Other Lookups'!$AH:$AH,'[1]Other Lookups'!$AI:$AI))</f>
        <v/>
      </c>
      <c r="AR155" s="863"/>
      <c r="AS155" s="864" t="str">
        <f>IF($A155="","",'[1]Outputs Recap'!$C$13)</f>
        <v/>
      </c>
      <c r="AT155" s="907"/>
      <c r="AU155" s="907"/>
      <c r="AV155" s="907" t="str">
        <f>IF($A155="","",IFERROR(+Table17[[#This Row],[Total Contract Amount]]*Table17[[#This Row],[First-year, one-time Onboarding/Setup Fee %]],0))</f>
        <v/>
      </c>
      <c r="AW155" s="853"/>
      <c r="AX155" s="867"/>
      <c r="AY155" s="908"/>
      <c r="AZ155" s="909"/>
      <c r="BA155" s="910"/>
      <c r="BB155" s="871"/>
      <c r="BC155" s="871"/>
      <c r="BD155" s="871"/>
      <c r="BE155" s="871"/>
      <c r="BF155" s="871"/>
      <c r="BG155" s="871"/>
      <c r="BH155" s="872"/>
      <c r="BI155" s="874"/>
      <c r="BJ155" s="874"/>
      <c r="BK155" s="874"/>
      <c r="BL155" s="875"/>
      <c r="BM155" s="876"/>
      <c r="BN155" s="911"/>
      <c r="BO155" s="878"/>
      <c r="BP155" s="879"/>
      <c r="BQ155" s="880"/>
      <c r="BR155" s="881"/>
      <c r="BS155" s="882"/>
      <c r="BT155" s="883"/>
      <c r="BU155" s="884"/>
      <c r="BV155" s="884"/>
      <c r="BW155" s="884"/>
      <c r="BX155" s="884"/>
      <c r="BY155" s="884"/>
      <c r="BZ155" s="884"/>
      <c r="CA155" s="884"/>
      <c r="CB155" s="884"/>
      <c r="CC155" s="884"/>
      <c r="CD155" s="884"/>
      <c r="CE155" s="885"/>
      <c r="CF155" s="885" t="str">
        <f>IF($A155="","",IF(#REF!&lt;&gt;0,#REF!-SUM(BT155:CE155),""))</f>
        <v/>
      </c>
      <c r="CG155" s="898" t="str">
        <f>IF(ISBLANK($X155)=FALSE,"NextGenApp Advisory LLC","")</f>
        <v/>
      </c>
      <c r="CH155" s="899" t="str">
        <f>_xlfn.IFNA(INDEX([1]List!AC:AC,MATCH(X155,[1]List!Y:Y,0)),"")</f>
        <v/>
      </c>
      <c r="CI155" s="900"/>
      <c r="CJ155" s="900"/>
      <c r="CK155" s="900"/>
      <c r="CL155" s="900"/>
      <c r="CM155" s="901"/>
      <c r="CN155" s="902"/>
      <c r="CO155" s="903"/>
      <c r="CP155" s="904"/>
      <c r="CQ155" s="892"/>
    </row>
    <row r="156" spans="1:95" x14ac:dyDescent="0.2">
      <c r="A156" s="894"/>
      <c r="B156" s="895"/>
      <c r="C156" s="896"/>
      <c r="D156" s="897"/>
      <c r="E156" s="897"/>
      <c r="F156" s="897"/>
      <c r="G156" s="897"/>
      <c r="H156" s="897"/>
      <c r="I156" s="897"/>
      <c r="J156" s="897"/>
      <c r="K156" s="897"/>
      <c r="L156" s="897"/>
      <c r="M156" s="897"/>
      <c r="N156" s="897"/>
      <c r="O156" s="897"/>
      <c r="P156" s="897"/>
      <c r="Q156" s="897"/>
      <c r="R156" s="897"/>
      <c r="S156" s="897"/>
      <c r="T156" s="897"/>
      <c r="U156" s="895"/>
      <c r="V156" s="852"/>
      <c r="W156" s="853"/>
      <c r="X156" s="853"/>
      <c r="Y156" s="853"/>
      <c r="Z156" s="853"/>
      <c r="AA156" s="853"/>
      <c r="AB156" s="854">
        <f>_xlfn.XLOOKUP(Table17[[#This Row],[Project Delivery Lead]],[1]List!Y:Y,[1]List!AC:AC)</f>
        <v>0</v>
      </c>
      <c r="AC156" s="853" t="str">
        <f>IF($A156="","",'[1]Core Assumptions'!$D176)</f>
        <v/>
      </c>
      <c r="AD156" s="855"/>
      <c r="AE156" s="905"/>
      <c r="AF156" s="857"/>
      <c r="AG156" s="857"/>
      <c r="AH156" s="858"/>
      <c r="AI156" s="858"/>
      <c r="AJ156" s="858"/>
      <c r="AK156" s="858" t="str">
        <f>IF($A156="","",IF('[1]Pricing Summary'!$B$31="T&amp;M","Time and Material","Fixed Fee"))</f>
        <v/>
      </c>
      <c r="AL156" s="856"/>
      <c r="AM156" s="856"/>
      <c r="AN156" s="906" t="str">
        <f>IF($A156="","",'[1]Outputs Recap'!$C$12)</f>
        <v/>
      </c>
      <c r="AO156" s="861" t="str">
        <f>IF($A156="","",VLOOKUP('[1]Outputs Recap'!$C$11,[1]List!$I:$J,2,FALSE))</f>
        <v/>
      </c>
      <c r="AP156" s="856" t="str" cm="1">
        <f t="array" ref="AP156">IF($A156="","",_xlfn.IFS('[1]Pricing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6" s="862" t="str">
        <f>IF($A156="","",_xlfn.XLOOKUP('[1]Core Assumptions'!$D$20,'[1]Other Lookups'!$AH:$AH,'[1]Other Lookups'!$AI:$AI))</f>
        <v/>
      </c>
      <c r="AR156" s="863"/>
      <c r="AS156" s="864" t="str">
        <f>IF($A156="","",'[1]Outputs Recap'!$C$13)</f>
        <v/>
      </c>
      <c r="AT156" s="907"/>
      <c r="AU156" s="907"/>
      <c r="AV156" s="907" t="str">
        <f>IF($A156="","",IFERROR(+Table17[[#This Row],[Total Contract Amount]]*Table17[[#This Row],[First-year, one-time Onboarding/Setup Fee %]],0))</f>
        <v/>
      </c>
      <c r="AW156" s="853"/>
      <c r="AX156" s="867"/>
      <c r="AY156" s="908"/>
      <c r="AZ156" s="909"/>
      <c r="BA156" s="910"/>
      <c r="BB156" s="871"/>
      <c r="BC156" s="871"/>
      <c r="BD156" s="871"/>
      <c r="BE156" s="871"/>
      <c r="BF156" s="871"/>
      <c r="BG156" s="871"/>
      <c r="BH156" s="872"/>
      <c r="BI156" s="874"/>
      <c r="BJ156" s="874"/>
      <c r="BK156" s="874"/>
      <c r="BL156" s="875"/>
      <c r="BM156" s="876"/>
      <c r="BN156" s="911"/>
      <c r="BO156" s="878"/>
      <c r="BP156" s="879"/>
      <c r="BQ156" s="880"/>
      <c r="BR156" s="881"/>
      <c r="BS156" s="882"/>
      <c r="BT156" s="883"/>
      <c r="BU156" s="884"/>
      <c r="BV156" s="884"/>
      <c r="BW156" s="884"/>
      <c r="BX156" s="884"/>
      <c r="BY156" s="884"/>
      <c r="BZ156" s="884"/>
      <c r="CA156" s="884"/>
      <c r="CB156" s="884"/>
      <c r="CC156" s="884"/>
      <c r="CD156" s="884"/>
      <c r="CE156" s="885"/>
      <c r="CF156" s="885" t="str">
        <f>IF($A156="","",IF(#REF!&lt;&gt;0,#REF!-SUM(BT156:CE156),""))</f>
        <v/>
      </c>
      <c r="CG156" s="898" t="str">
        <f>IF(ISBLANK($X156)=FALSE,"NextGenApp Advisory LLC","")</f>
        <v/>
      </c>
      <c r="CH156" s="899" t="str">
        <f>_xlfn.IFNA(INDEX([1]List!AC:AC,MATCH(X156,[1]List!Y:Y,0)),"")</f>
        <v/>
      </c>
      <c r="CI156" s="900"/>
      <c r="CJ156" s="900"/>
      <c r="CK156" s="900"/>
      <c r="CL156" s="900"/>
      <c r="CM156" s="901"/>
      <c r="CN156" s="902"/>
      <c r="CO156" s="903"/>
      <c r="CP156" s="904"/>
      <c r="CQ156" s="892"/>
    </row>
    <row r="157" spans="1:95" x14ac:dyDescent="0.2">
      <c r="A157" s="894"/>
      <c r="B157" s="895"/>
      <c r="C157" s="896"/>
      <c r="D157" s="897"/>
      <c r="E157" s="897"/>
      <c r="F157" s="897"/>
      <c r="G157" s="897"/>
      <c r="H157" s="897"/>
      <c r="I157" s="897"/>
      <c r="J157" s="897"/>
      <c r="K157" s="897"/>
      <c r="L157" s="897"/>
      <c r="M157" s="897"/>
      <c r="N157" s="897"/>
      <c r="O157" s="897"/>
      <c r="P157" s="897"/>
      <c r="Q157" s="897"/>
      <c r="R157" s="897"/>
      <c r="S157" s="897"/>
      <c r="T157" s="897"/>
      <c r="U157" s="895"/>
      <c r="V157" s="852"/>
      <c r="W157" s="853"/>
      <c r="X157" s="853"/>
      <c r="Y157" s="853"/>
      <c r="Z157" s="853"/>
      <c r="AA157" s="853"/>
      <c r="AB157" s="854">
        <f>_xlfn.XLOOKUP(Table17[[#This Row],[Project Delivery Lead]],[1]List!Y:Y,[1]List!AC:AC)</f>
        <v>0</v>
      </c>
      <c r="AC157" s="853" t="str">
        <f>IF($A157="","",'[1]Core Assumptions'!$D177)</f>
        <v/>
      </c>
      <c r="AD157" s="855"/>
      <c r="AE157" s="905"/>
      <c r="AF157" s="857"/>
      <c r="AG157" s="857"/>
      <c r="AH157" s="858"/>
      <c r="AI157" s="858"/>
      <c r="AJ157" s="858"/>
      <c r="AK157" s="858" t="str">
        <f>IF($A157="","",IF('[1]Pricing Summary'!$B$31="T&amp;M","Time and Material","Fixed Fee"))</f>
        <v/>
      </c>
      <c r="AL157" s="856"/>
      <c r="AM157" s="856"/>
      <c r="AN157" s="906" t="str">
        <f>IF($A157="","",'[1]Outputs Recap'!$C$12)</f>
        <v/>
      </c>
      <c r="AO157" s="861" t="str">
        <f>IF($A157="","",VLOOKUP('[1]Outputs Recap'!$C$11,[1]List!$I:$J,2,FALSE))</f>
        <v/>
      </c>
      <c r="AP157" s="856" t="str" cm="1">
        <f t="array" ref="AP157">IF($A157="","",_xlfn.IFS('[1]Pricing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7" s="862" t="str">
        <f>IF($A157="","",_xlfn.XLOOKUP('[1]Core Assumptions'!$D$20,'[1]Other Lookups'!$AH:$AH,'[1]Other Lookups'!$AI:$AI))</f>
        <v/>
      </c>
      <c r="AR157" s="863"/>
      <c r="AS157" s="864" t="str">
        <f>IF($A157="","",'[1]Outputs Recap'!$C$13)</f>
        <v/>
      </c>
      <c r="AT157" s="907"/>
      <c r="AU157" s="907"/>
      <c r="AV157" s="907" t="str">
        <f>IF($A157="","",IFERROR(+Table17[[#This Row],[Total Contract Amount]]*Table17[[#This Row],[First-year, one-time Onboarding/Setup Fee %]],0))</f>
        <v/>
      </c>
      <c r="AW157" s="853"/>
      <c r="AX157" s="867"/>
      <c r="AY157" s="908"/>
      <c r="AZ157" s="909"/>
      <c r="BA157" s="910"/>
      <c r="BB157" s="871"/>
      <c r="BC157" s="871"/>
      <c r="BD157" s="871"/>
      <c r="BE157" s="871"/>
      <c r="BF157" s="871"/>
      <c r="BG157" s="871"/>
      <c r="BH157" s="872"/>
      <c r="BI157" s="874"/>
      <c r="BJ157" s="874"/>
      <c r="BK157" s="874"/>
      <c r="BL157" s="875"/>
      <c r="BM157" s="876"/>
      <c r="BN157" s="911"/>
      <c r="BO157" s="878"/>
      <c r="BP157" s="879"/>
      <c r="BQ157" s="880"/>
      <c r="BR157" s="881"/>
      <c r="BS157" s="882"/>
      <c r="BT157" s="883"/>
      <c r="BU157" s="884"/>
      <c r="BV157" s="884"/>
      <c r="BW157" s="884"/>
      <c r="BX157" s="884"/>
      <c r="BY157" s="884"/>
      <c r="BZ157" s="884"/>
      <c r="CA157" s="884"/>
      <c r="CB157" s="884"/>
      <c r="CC157" s="884"/>
      <c r="CD157" s="884"/>
      <c r="CE157" s="885"/>
      <c r="CF157" s="885" t="str">
        <f>IF($A157="","",IF(#REF!&lt;&gt;0,#REF!-SUM(BT157:CE157),""))</f>
        <v/>
      </c>
      <c r="CG157" s="898" t="str">
        <f>IF(ISBLANK($X157)=FALSE,"NextGenApp Advisory LLC","")</f>
        <v/>
      </c>
      <c r="CH157" s="899" t="str">
        <f>_xlfn.IFNA(INDEX([1]List!AC:AC,MATCH(X157,[1]List!Y:Y,0)),"")</f>
        <v/>
      </c>
      <c r="CI157" s="900"/>
      <c r="CJ157" s="900"/>
      <c r="CK157" s="900"/>
      <c r="CL157" s="900"/>
      <c r="CM157" s="901"/>
      <c r="CN157" s="902"/>
      <c r="CO157" s="903"/>
      <c r="CP157" s="904"/>
      <c r="CQ157" s="892"/>
    </row>
    <row r="158" spans="1:95" x14ac:dyDescent="0.2">
      <c r="A158" s="894"/>
      <c r="B158" s="895"/>
      <c r="C158" s="896"/>
      <c r="D158" s="897"/>
      <c r="E158" s="897"/>
      <c r="F158" s="897"/>
      <c r="G158" s="897"/>
      <c r="H158" s="897"/>
      <c r="I158" s="897"/>
      <c r="J158" s="897"/>
      <c r="K158" s="897"/>
      <c r="L158" s="897"/>
      <c r="M158" s="897"/>
      <c r="N158" s="897"/>
      <c r="O158" s="897"/>
      <c r="P158" s="897"/>
      <c r="Q158" s="897"/>
      <c r="R158" s="897"/>
      <c r="S158" s="897"/>
      <c r="T158" s="897"/>
      <c r="U158" s="895"/>
      <c r="V158" s="852"/>
      <c r="W158" s="853"/>
      <c r="X158" s="853"/>
      <c r="Y158" s="853"/>
      <c r="Z158" s="853"/>
      <c r="AA158" s="853"/>
      <c r="AB158" s="854">
        <f>_xlfn.XLOOKUP(Table17[[#This Row],[Project Delivery Lead]],[1]List!Y:Y,[1]List!AC:AC)</f>
        <v>0</v>
      </c>
      <c r="AC158" s="853" t="str">
        <f>IF($A158="","",'[1]Core Assumptions'!$D178)</f>
        <v/>
      </c>
      <c r="AD158" s="855"/>
      <c r="AE158" s="905"/>
      <c r="AF158" s="857"/>
      <c r="AG158" s="857"/>
      <c r="AH158" s="858"/>
      <c r="AI158" s="858"/>
      <c r="AJ158" s="858"/>
      <c r="AK158" s="858" t="str">
        <f>IF($A158="","",IF('[1]Pricing Summary'!$B$31="T&amp;M","Time and Material","Fixed Fee"))</f>
        <v/>
      </c>
      <c r="AL158" s="856"/>
      <c r="AM158" s="856"/>
      <c r="AN158" s="906" t="str">
        <f>IF($A158="","",'[1]Outputs Recap'!$C$12)</f>
        <v/>
      </c>
      <c r="AO158" s="861" t="str">
        <f>IF($A158="","",VLOOKUP('[1]Outputs Recap'!$C$11,[1]List!$I:$J,2,FALSE))</f>
        <v/>
      </c>
      <c r="AP158" s="856" t="str" cm="1">
        <f t="array" ref="AP158">IF($A158="","",_xlfn.IFS('[1]Pricing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8" s="862" t="str">
        <f>IF($A158="","",_xlfn.XLOOKUP('[1]Core Assumptions'!$D$20,'[1]Other Lookups'!$AH:$AH,'[1]Other Lookups'!$AI:$AI))</f>
        <v/>
      </c>
      <c r="AR158" s="863"/>
      <c r="AS158" s="864" t="str">
        <f>IF($A158="","",'[1]Outputs Recap'!$C$13)</f>
        <v/>
      </c>
      <c r="AT158" s="907"/>
      <c r="AU158" s="907"/>
      <c r="AV158" s="907" t="str">
        <f>IF($A158="","",IFERROR(+Table17[[#This Row],[Total Contract Amount]]*Table17[[#This Row],[First-year, one-time Onboarding/Setup Fee %]],0))</f>
        <v/>
      </c>
      <c r="AW158" s="853"/>
      <c r="AX158" s="867"/>
      <c r="AY158" s="908"/>
      <c r="AZ158" s="909"/>
      <c r="BA158" s="910"/>
      <c r="BB158" s="871"/>
      <c r="BC158" s="871"/>
      <c r="BD158" s="871"/>
      <c r="BE158" s="871"/>
      <c r="BF158" s="871"/>
      <c r="BG158" s="871"/>
      <c r="BH158" s="872"/>
      <c r="BI158" s="874"/>
      <c r="BJ158" s="874"/>
      <c r="BK158" s="874"/>
      <c r="BL158" s="875"/>
      <c r="BM158" s="876"/>
      <c r="BN158" s="911"/>
      <c r="BO158" s="878"/>
      <c r="BP158" s="879"/>
      <c r="BQ158" s="880"/>
      <c r="BR158" s="881"/>
      <c r="BS158" s="882"/>
      <c r="BT158" s="883"/>
      <c r="BU158" s="884"/>
      <c r="BV158" s="884"/>
      <c r="BW158" s="884"/>
      <c r="BX158" s="884"/>
      <c r="BY158" s="884"/>
      <c r="BZ158" s="884"/>
      <c r="CA158" s="884"/>
      <c r="CB158" s="884"/>
      <c r="CC158" s="884"/>
      <c r="CD158" s="884"/>
      <c r="CE158" s="885"/>
      <c r="CF158" s="885" t="str">
        <f>IF($A158="","",IF(#REF!&lt;&gt;0,#REF!-SUM(BT158:CE158),""))</f>
        <v/>
      </c>
      <c r="CG158" s="898" t="str">
        <f>IF(ISBLANK($X158)=FALSE,"NextGenApp Advisory LLC","")</f>
        <v/>
      </c>
      <c r="CH158" s="899" t="str">
        <f>_xlfn.IFNA(INDEX([1]List!AC:AC,MATCH(X158,[1]List!Y:Y,0)),"")</f>
        <v/>
      </c>
      <c r="CI158" s="900"/>
      <c r="CJ158" s="900"/>
      <c r="CK158" s="900"/>
      <c r="CL158" s="900"/>
      <c r="CM158" s="901"/>
      <c r="CN158" s="902"/>
      <c r="CO158" s="903"/>
      <c r="CP158" s="904"/>
      <c r="CQ158" s="892"/>
    </row>
    <row r="159" spans="1:95" x14ac:dyDescent="0.2">
      <c r="A159" s="894"/>
      <c r="B159" s="895"/>
      <c r="C159" s="896"/>
      <c r="D159" s="897"/>
      <c r="E159" s="897"/>
      <c r="F159" s="897"/>
      <c r="G159" s="897"/>
      <c r="H159" s="897"/>
      <c r="I159" s="897"/>
      <c r="J159" s="897"/>
      <c r="K159" s="897"/>
      <c r="L159" s="897"/>
      <c r="M159" s="897"/>
      <c r="N159" s="897"/>
      <c r="O159" s="897"/>
      <c r="P159" s="897"/>
      <c r="Q159" s="897"/>
      <c r="R159" s="897"/>
      <c r="S159" s="897"/>
      <c r="T159" s="897"/>
      <c r="U159" s="895"/>
      <c r="V159" s="852"/>
      <c r="W159" s="853"/>
      <c r="X159" s="853"/>
      <c r="Y159" s="853"/>
      <c r="Z159" s="853"/>
      <c r="AA159" s="853"/>
      <c r="AB159" s="854">
        <f>_xlfn.XLOOKUP(Table17[[#This Row],[Project Delivery Lead]],[1]List!Y:Y,[1]List!AC:AC)</f>
        <v>0</v>
      </c>
      <c r="AC159" s="853" t="str">
        <f>IF($A159="","",'[1]Core Assumptions'!$D179)</f>
        <v/>
      </c>
      <c r="AD159" s="855"/>
      <c r="AE159" s="905"/>
      <c r="AF159" s="857"/>
      <c r="AG159" s="857"/>
      <c r="AH159" s="858"/>
      <c r="AI159" s="858"/>
      <c r="AJ159" s="858"/>
      <c r="AK159" s="858" t="str">
        <f>IF($A159="","",IF('[1]Pricing Summary'!$B$31="T&amp;M","Time and Material","Fixed Fee"))</f>
        <v/>
      </c>
      <c r="AL159" s="856"/>
      <c r="AM159" s="856"/>
      <c r="AN159" s="906" t="str">
        <f>IF($A159="","",'[1]Outputs Recap'!$C$12)</f>
        <v/>
      </c>
      <c r="AO159" s="861" t="str">
        <f>IF($A159="","",VLOOKUP('[1]Outputs Recap'!$C$11,[1]List!$I:$J,2,FALSE))</f>
        <v/>
      </c>
      <c r="AP159" s="856" t="str" cm="1">
        <f t="array" ref="AP159">IF($A159="","",_xlfn.IFS('[1]Pricing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59" s="862" t="str">
        <f>IF($A159="","",_xlfn.XLOOKUP('[1]Core Assumptions'!$D$20,'[1]Other Lookups'!$AH:$AH,'[1]Other Lookups'!$AI:$AI))</f>
        <v/>
      </c>
      <c r="AR159" s="863"/>
      <c r="AS159" s="864" t="str">
        <f>IF($A159="","",'[1]Outputs Recap'!$C$13)</f>
        <v/>
      </c>
      <c r="AT159" s="907"/>
      <c r="AU159" s="907"/>
      <c r="AV159" s="907" t="str">
        <f>IF($A159="","",IFERROR(+Table17[[#This Row],[Total Contract Amount]]*Table17[[#This Row],[First-year, one-time Onboarding/Setup Fee %]],0))</f>
        <v/>
      </c>
      <c r="AW159" s="853"/>
      <c r="AX159" s="867"/>
      <c r="AY159" s="908"/>
      <c r="AZ159" s="909"/>
      <c r="BA159" s="910"/>
      <c r="BB159" s="871"/>
      <c r="BC159" s="871"/>
      <c r="BD159" s="871"/>
      <c r="BE159" s="871"/>
      <c r="BF159" s="871"/>
      <c r="BG159" s="871"/>
      <c r="BH159" s="872"/>
      <c r="BI159" s="874"/>
      <c r="BJ159" s="874"/>
      <c r="BK159" s="874"/>
      <c r="BL159" s="875"/>
      <c r="BM159" s="876"/>
      <c r="BN159" s="911"/>
      <c r="BO159" s="878"/>
      <c r="BP159" s="879"/>
      <c r="BQ159" s="880"/>
      <c r="BR159" s="881"/>
      <c r="BS159" s="882"/>
      <c r="BT159" s="883"/>
      <c r="BU159" s="884"/>
      <c r="BV159" s="884"/>
      <c r="BW159" s="884"/>
      <c r="BX159" s="884"/>
      <c r="BY159" s="884"/>
      <c r="BZ159" s="884"/>
      <c r="CA159" s="884"/>
      <c r="CB159" s="884"/>
      <c r="CC159" s="884"/>
      <c r="CD159" s="884"/>
      <c r="CE159" s="885"/>
      <c r="CF159" s="885" t="str">
        <f>IF($A159="","",IF(#REF!&lt;&gt;0,#REF!-SUM(BT159:CE159),""))</f>
        <v/>
      </c>
      <c r="CG159" s="898" t="str">
        <f>IF(ISBLANK($X159)=FALSE,"NextGenApp Advisory LLC","")</f>
        <v/>
      </c>
      <c r="CH159" s="899" t="str">
        <f>_xlfn.IFNA(INDEX([1]List!AC:AC,MATCH(X159,[1]List!Y:Y,0)),"")</f>
        <v/>
      </c>
      <c r="CI159" s="900"/>
      <c r="CJ159" s="900"/>
      <c r="CK159" s="900"/>
      <c r="CL159" s="900"/>
      <c r="CM159" s="901"/>
      <c r="CN159" s="902"/>
      <c r="CO159" s="903"/>
      <c r="CP159" s="904"/>
      <c r="CQ159" s="892"/>
    </row>
    <row r="160" spans="1:95" x14ac:dyDescent="0.2">
      <c r="A160" s="894"/>
      <c r="B160" s="895"/>
      <c r="C160" s="896"/>
      <c r="D160" s="897"/>
      <c r="E160" s="897"/>
      <c r="F160" s="897"/>
      <c r="G160" s="897"/>
      <c r="H160" s="897"/>
      <c r="I160" s="897"/>
      <c r="J160" s="897"/>
      <c r="K160" s="897"/>
      <c r="L160" s="897"/>
      <c r="M160" s="897"/>
      <c r="N160" s="897"/>
      <c r="O160" s="897"/>
      <c r="P160" s="897"/>
      <c r="Q160" s="897"/>
      <c r="R160" s="897"/>
      <c r="S160" s="897"/>
      <c r="T160" s="897"/>
      <c r="U160" s="895"/>
      <c r="V160" s="852"/>
      <c r="W160" s="853"/>
      <c r="X160" s="853"/>
      <c r="Y160" s="853"/>
      <c r="Z160" s="853"/>
      <c r="AA160" s="853"/>
      <c r="AB160" s="854">
        <f>_xlfn.XLOOKUP(Table17[[#This Row],[Project Delivery Lead]],[1]List!Y:Y,[1]List!AC:AC)</f>
        <v>0</v>
      </c>
      <c r="AC160" s="853" t="str">
        <f>IF($A160="","",'[1]Core Assumptions'!$D180)</f>
        <v/>
      </c>
      <c r="AD160" s="855"/>
      <c r="AE160" s="905"/>
      <c r="AF160" s="857"/>
      <c r="AG160" s="857"/>
      <c r="AH160" s="858"/>
      <c r="AI160" s="858"/>
      <c r="AJ160" s="858"/>
      <c r="AK160" s="858" t="str">
        <f>IF($A160="","",IF('[1]Pricing Summary'!$B$31="T&amp;M","Time and Material","Fixed Fee"))</f>
        <v/>
      </c>
      <c r="AL160" s="856"/>
      <c r="AM160" s="856"/>
      <c r="AN160" s="906" t="str">
        <f>IF($A160="","",'[1]Outputs Recap'!$C$12)</f>
        <v/>
      </c>
      <c r="AO160" s="861" t="str">
        <f>IF($A160="","",VLOOKUP('[1]Outputs Recap'!$C$11,[1]List!$I:$J,2,FALSE))</f>
        <v/>
      </c>
      <c r="AP160" s="856" t="str" cm="1">
        <f t="array" ref="AP160">IF($A160="","",_xlfn.IFS('[1]Pricing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0" s="862" t="str">
        <f>IF($A160="","",_xlfn.XLOOKUP('[1]Core Assumptions'!$D$20,'[1]Other Lookups'!$AH:$AH,'[1]Other Lookups'!$AI:$AI))</f>
        <v/>
      </c>
      <c r="AR160" s="863"/>
      <c r="AS160" s="864" t="str">
        <f>IF($A160="","",'[1]Outputs Recap'!$C$13)</f>
        <v/>
      </c>
      <c r="AT160" s="907"/>
      <c r="AU160" s="907"/>
      <c r="AV160" s="907" t="str">
        <f>IF($A160="","",IFERROR(+Table17[[#This Row],[Total Contract Amount]]*Table17[[#This Row],[First-year, one-time Onboarding/Setup Fee %]],0))</f>
        <v/>
      </c>
      <c r="AW160" s="853"/>
      <c r="AX160" s="867"/>
      <c r="AY160" s="908"/>
      <c r="AZ160" s="909"/>
      <c r="BA160" s="910"/>
      <c r="BB160" s="871"/>
      <c r="BC160" s="871"/>
      <c r="BD160" s="871"/>
      <c r="BE160" s="871"/>
      <c r="BF160" s="871"/>
      <c r="BG160" s="871"/>
      <c r="BH160" s="872"/>
      <c r="BI160" s="874"/>
      <c r="BJ160" s="874"/>
      <c r="BK160" s="874"/>
      <c r="BL160" s="875"/>
      <c r="BM160" s="876"/>
      <c r="BN160" s="911"/>
      <c r="BO160" s="878"/>
      <c r="BP160" s="879"/>
      <c r="BQ160" s="880"/>
      <c r="BR160" s="881"/>
      <c r="BS160" s="882"/>
      <c r="BT160" s="883"/>
      <c r="BU160" s="884"/>
      <c r="BV160" s="884"/>
      <c r="BW160" s="884"/>
      <c r="BX160" s="884"/>
      <c r="BY160" s="884"/>
      <c r="BZ160" s="884"/>
      <c r="CA160" s="884"/>
      <c r="CB160" s="884"/>
      <c r="CC160" s="884"/>
      <c r="CD160" s="884"/>
      <c r="CE160" s="885"/>
      <c r="CF160" s="885" t="str">
        <f>IF($A160="","",IF(#REF!&lt;&gt;0,#REF!-SUM(BT160:CE160),""))</f>
        <v/>
      </c>
      <c r="CG160" s="898" t="str">
        <f>IF(ISBLANK($X160)=FALSE,"NextGenApp Advisory LLC","")</f>
        <v/>
      </c>
      <c r="CH160" s="899" t="str">
        <f>_xlfn.IFNA(INDEX([1]List!AC:AC,MATCH(X160,[1]List!Y:Y,0)),"")</f>
        <v/>
      </c>
      <c r="CI160" s="900"/>
      <c r="CJ160" s="900"/>
      <c r="CK160" s="900"/>
      <c r="CL160" s="900"/>
      <c r="CM160" s="901"/>
      <c r="CN160" s="902"/>
      <c r="CO160" s="903"/>
      <c r="CP160" s="904"/>
      <c r="CQ160" s="892"/>
    </row>
    <row r="161" spans="1:95" x14ac:dyDescent="0.2">
      <c r="A161" s="894"/>
      <c r="B161" s="895"/>
      <c r="C161" s="896"/>
      <c r="D161" s="897"/>
      <c r="E161" s="897"/>
      <c r="F161" s="897"/>
      <c r="G161" s="897"/>
      <c r="H161" s="897"/>
      <c r="I161" s="897"/>
      <c r="J161" s="897"/>
      <c r="K161" s="897"/>
      <c r="L161" s="897"/>
      <c r="M161" s="897"/>
      <c r="N161" s="897"/>
      <c r="O161" s="897"/>
      <c r="P161" s="897"/>
      <c r="Q161" s="897"/>
      <c r="R161" s="897"/>
      <c r="S161" s="897"/>
      <c r="T161" s="897"/>
      <c r="U161" s="895"/>
      <c r="V161" s="852"/>
      <c r="W161" s="853"/>
      <c r="X161" s="853"/>
      <c r="Y161" s="853"/>
      <c r="Z161" s="853"/>
      <c r="AA161" s="853"/>
      <c r="AB161" s="854">
        <f>_xlfn.XLOOKUP(Table17[[#This Row],[Project Delivery Lead]],[1]List!Y:Y,[1]List!AC:AC)</f>
        <v>0</v>
      </c>
      <c r="AC161" s="853" t="str">
        <f>IF($A161="","",'[1]Core Assumptions'!$D181)</f>
        <v/>
      </c>
      <c r="AD161" s="855"/>
      <c r="AE161" s="905"/>
      <c r="AF161" s="857"/>
      <c r="AG161" s="857"/>
      <c r="AH161" s="858"/>
      <c r="AI161" s="858"/>
      <c r="AJ161" s="858"/>
      <c r="AK161" s="858" t="str">
        <f>IF($A161="","",IF('[1]Pricing Summary'!$B$31="T&amp;M","Time and Material","Fixed Fee"))</f>
        <v/>
      </c>
      <c r="AL161" s="856"/>
      <c r="AM161" s="856"/>
      <c r="AN161" s="906" t="str">
        <f>IF($A161="","",'[1]Outputs Recap'!$C$12)</f>
        <v/>
      </c>
      <c r="AO161" s="861" t="str">
        <f>IF($A161="","",VLOOKUP('[1]Outputs Recap'!$C$11,[1]List!$I:$J,2,FALSE))</f>
        <v/>
      </c>
      <c r="AP161" s="856" t="str" cm="1">
        <f t="array" ref="AP161">IF($A161="","",_xlfn.IFS('[1]Pricing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1" s="862" t="str">
        <f>IF($A161="","",_xlfn.XLOOKUP('[1]Core Assumptions'!$D$20,'[1]Other Lookups'!$AH:$AH,'[1]Other Lookups'!$AI:$AI))</f>
        <v/>
      </c>
      <c r="AR161" s="863"/>
      <c r="AS161" s="864" t="str">
        <f>IF($A161="","",'[1]Outputs Recap'!$C$13)</f>
        <v/>
      </c>
      <c r="AT161" s="907"/>
      <c r="AU161" s="907"/>
      <c r="AV161" s="907" t="str">
        <f>IF($A161="","",IFERROR(+Table17[[#This Row],[Total Contract Amount]]*Table17[[#This Row],[First-year, one-time Onboarding/Setup Fee %]],0))</f>
        <v/>
      </c>
      <c r="AW161" s="853"/>
      <c r="AX161" s="867"/>
      <c r="AY161" s="908"/>
      <c r="AZ161" s="909"/>
      <c r="BA161" s="910"/>
      <c r="BB161" s="871"/>
      <c r="BC161" s="871"/>
      <c r="BD161" s="871"/>
      <c r="BE161" s="871"/>
      <c r="BF161" s="871"/>
      <c r="BG161" s="871"/>
      <c r="BH161" s="872"/>
      <c r="BI161" s="874"/>
      <c r="BJ161" s="874"/>
      <c r="BK161" s="874"/>
      <c r="BL161" s="875"/>
      <c r="BM161" s="876"/>
      <c r="BN161" s="911"/>
      <c r="BO161" s="878"/>
      <c r="BP161" s="879"/>
      <c r="BQ161" s="880"/>
      <c r="BR161" s="881"/>
      <c r="BS161" s="882"/>
      <c r="BT161" s="883"/>
      <c r="BU161" s="884"/>
      <c r="BV161" s="884"/>
      <c r="BW161" s="884"/>
      <c r="BX161" s="884"/>
      <c r="BY161" s="884"/>
      <c r="BZ161" s="884"/>
      <c r="CA161" s="884"/>
      <c r="CB161" s="884"/>
      <c r="CC161" s="884"/>
      <c r="CD161" s="884"/>
      <c r="CE161" s="885"/>
      <c r="CF161" s="885" t="str">
        <f>IF($A161="","",IF(#REF!&lt;&gt;0,#REF!-SUM(BT161:CE161),""))</f>
        <v/>
      </c>
      <c r="CG161" s="898" t="str">
        <f>IF(ISBLANK($X161)=FALSE,"NextGenApp Advisory LLC","")</f>
        <v/>
      </c>
      <c r="CH161" s="899" t="str">
        <f>_xlfn.IFNA(INDEX([1]List!AC:AC,MATCH(X161,[1]List!Y:Y,0)),"")</f>
        <v/>
      </c>
      <c r="CI161" s="900"/>
      <c r="CJ161" s="900"/>
      <c r="CK161" s="900"/>
      <c r="CL161" s="900"/>
      <c r="CM161" s="901"/>
      <c r="CN161" s="902"/>
      <c r="CO161" s="903"/>
      <c r="CP161" s="904"/>
      <c r="CQ161" s="892"/>
    </row>
    <row r="162" spans="1:95" x14ac:dyDescent="0.2">
      <c r="A162" s="894"/>
      <c r="B162" s="895"/>
      <c r="C162" s="896"/>
      <c r="D162" s="897"/>
      <c r="E162" s="897"/>
      <c r="F162" s="897"/>
      <c r="G162" s="897"/>
      <c r="H162" s="897"/>
      <c r="I162" s="897"/>
      <c r="J162" s="897"/>
      <c r="K162" s="897"/>
      <c r="L162" s="897"/>
      <c r="M162" s="897"/>
      <c r="N162" s="897"/>
      <c r="O162" s="897"/>
      <c r="P162" s="897"/>
      <c r="Q162" s="897"/>
      <c r="R162" s="897"/>
      <c r="S162" s="897"/>
      <c r="T162" s="897"/>
      <c r="U162" s="895"/>
      <c r="V162" s="852"/>
      <c r="W162" s="853"/>
      <c r="X162" s="853"/>
      <c r="Y162" s="853"/>
      <c r="Z162" s="853"/>
      <c r="AA162" s="853"/>
      <c r="AB162" s="854">
        <f>_xlfn.XLOOKUP(Table17[[#This Row],[Project Delivery Lead]],[1]List!Y:Y,[1]List!AC:AC)</f>
        <v>0</v>
      </c>
      <c r="AC162" s="853" t="str">
        <f>IF($A162="","",'[1]Core Assumptions'!$D182)</f>
        <v/>
      </c>
      <c r="AD162" s="855"/>
      <c r="AE162" s="905"/>
      <c r="AF162" s="857"/>
      <c r="AG162" s="857"/>
      <c r="AH162" s="858"/>
      <c r="AI162" s="858"/>
      <c r="AJ162" s="858"/>
      <c r="AK162" s="858" t="str">
        <f>IF($A162="","",IF('[1]Pricing Summary'!$B$31="T&amp;M","Time and Material","Fixed Fee"))</f>
        <v/>
      </c>
      <c r="AL162" s="856"/>
      <c r="AM162" s="856"/>
      <c r="AN162" s="906" t="str">
        <f>IF($A162="","",'[1]Outputs Recap'!$C$12)</f>
        <v/>
      </c>
      <c r="AO162" s="861" t="str">
        <f>IF($A162="","",VLOOKUP('[1]Outputs Recap'!$C$11,[1]List!$I:$J,2,FALSE))</f>
        <v/>
      </c>
      <c r="AP162" s="856" t="str" cm="1">
        <f t="array" ref="AP162">IF($A162="","",_xlfn.IFS('[1]Pricing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2" s="862" t="str">
        <f>IF($A162="","",_xlfn.XLOOKUP('[1]Core Assumptions'!$D$20,'[1]Other Lookups'!$AH:$AH,'[1]Other Lookups'!$AI:$AI))</f>
        <v/>
      </c>
      <c r="AR162" s="863"/>
      <c r="AS162" s="864" t="str">
        <f>IF($A162="","",'[1]Outputs Recap'!$C$13)</f>
        <v/>
      </c>
      <c r="AT162" s="907"/>
      <c r="AU162" s="907"/>
      <c r="AV162" s="907" t="str">
        <f>IF($A162="","",IFERROR(+Table17[[#This Row],[Total Contract Amount]]*Table17[[#This Row],[First-year, one-time Onboarding/Setup Fee %]],0))</f>
        <v/>
      </c>
      <c r="AW162" s="853"/>
      <c r="AX162" s="867"/>
      <c r="AY162" s="908"/>
      <c r="AZ162" s="909"/>
      <c r="BA162" s="910"/>
      <c r="BB162" s="871"/>
      <c r="BC162" s="871"/>
      <c r="BD162" s="871"/>
      <c r="BE162" s="871"/>
      <c r="BF162" s="871"/>
      <c r="BG162" s="871"/>
      <c r="BH162" s="872"/>
      <c r="BI162" s="874"/>
      <c r="BJ162" s="874"/>
      <c r="BK162" s="874"/>
      <c r="BL162" s="875"/>
      <c r="BM162" s="876"/>
      <c r="BN162" s="911"/>
      <c r="BO162" s="878"/>
      <c r="BP162" s="879"/>
      <c r="BQ162" s="880"/>
      <c r="BR162" s="881"/>
      <c r="BS162" s="882"/>
      <c r="BT162" s="883"/>
      <c r="BU162" s="884"/>
      <c r="BV162" s="884"/>
      <c r="BW162" s="884"/>
      <c r="BX162" s="884"/>
      <c r="BY162" s="884"/>
      <c r="BZ162" s="884"/>
      <c r="CA162" s="884"/>
      <c r="CB162" s="884"/>
      <c r="CC162" s="884"/>
      <c r="CD162" s="884"/>
      <c r="CE162" s="885"/>
      <c r="CF162" s="885" t="str">
        <f>IF($A162="","",IF(#REF!&lt;&gt;0,#REF!-SUM(BT162:CE162),""))</f>
        <v/>
      </c>
      <c r="CG162" s="898" t="str">
        <f>IF(ISBLANK($X162)=FALSE,"NextGenApp Advisory LLC","")</f>
        <v/>
      </c>
      <c r="CH162" s="899" t="str">
        <f>_xlfn.IFNA(INDEX([1]List!AC:AC,MATCH(X162,[1]List!Y:Y,0)),"")</f>
        <v/>
      </c>
      <c r="CI162" s="900"/>
      <c r="CJ162" s="900"/>
      <c r="CK162" s="900"/>
      <c r="CL162" s="900"/>
      <c r="CM162" s="901"/>
      <c r="CN162" s="902"/>
      <c r="CO162" s="903"/>
      <c r="CP162" s="904"/>
      <c r="CQ162" s="892"/>
    </row>
    <row r="163" spans="1:95" x14ac:dyDescent="0.2">
      <c r="A163" s="894"/>
      <c r="B163" s="895"/>
      <c r="C163" s="896"/>
      <c r="D163" s="897"/>
      <c r="E163" s="897"/>
      <c r="F163" s="897"/>
      <c r="G163" s="897"/>
      <c r="H163" s="897"/>
      <c r="I163" s="897"/>
      <c r="J163" s="897"/>
      <c r="K163" s="897"/>
      <c r="L163" s="897"/>
      <c r="M163" s="897"/>
      <c r="N163" s="897"/>
      <c r="O163" s="897"/>
      <c r="P163" s="897"/>
      <c r="Q163" s="897"/>
      <c r="R163" s="897"/>
      <c r="S163" s="897"/>
      <c r="T163" s="897"/>
      <c r="U163" s="895"/>
      <c r="V163" s="852"/>
      <c r="W163" s="853"/>
      <c r="X163" s="853"/>
      <c r="Y163" s="853"/>
      <c r="Z163" s="853"/>
      <c r="AA163" s="853"/>
      <c r="AB163" s="854">
        <f>_xlfn.XLOOKUP(Table17[[#This Row],[Project Delivery Lead]],[1]List!Y:Y,[1]List!AC:AC)</f>
        <v>0</v>
      </c>
      <c r="AC163" s="853" t="str">
        <f>IF($A163="","",'[1]Core Assumptions'!$D183)</f>
        <v/>
      </c>
      <c r="AD163" s="855"/>
      <c r="AE163" s="905"/>
      <c r="AF163" s="857"/>
      <c r="AG163" s="857"/>
      <c r="AH163" s="858"/>
      <c r="AI163" s="858"/>
      <c r="AJ163" s="858"/>
      <c r="AK163" s="858" t="str">
        <f>IF($A163="","",IF('[1]Pricing Summary'!$B$31="T&amp;M","Time and Material","Fixed Fee"))</f>
        <v/>
      </c>
      <c r="AL163" s="856"/>
      <c r="AM163" s="856"/>
      <c r="AN163" s="906" t="str">
        <f>IF($A163="","",'[1]Outputs Recap'!$C$12)</f>
        <v/>
      </c>
      <c r="AO163" s="861" t="str">
        <f>IF($A163="","",VLOOKUP('[1]Outputs Recap'!$C$11,[1]List!$I:$J,2,FALSE))</f>
        <v/>
      </c>
      <c r="AP163" s="856" t="str" cm="1">
        <f t="array" ref="AP163">IF($A163="","",_xlfn.IFS('[1]Pricing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3" s="862" t="str">
        <f>IF($A163="","",_xlfn.XLOOKUP('[1]Core Assumptions'!$D$20,'[1]Other Lookups'!$AH:$AH,'[1]Other Lookups'!$AI:$AI))</f>
        <v/>
      </c>
      <c r="AR163" s="863"/>
      <c r="AS163" s="864" t="str">
        <f>IF($A163="","",'[1]Outputs Recap'!$C$13)</f>
        <v/>
      </c>
      <c r="AT163" s="907"/>
      <c r="AU163" s="907"/>
      <c r="AV163" s="907" t="str">
        <f>IF($A163="","",IFERROR(+Table17[[#This Row],[Total Contract Amount]]*Table17[[#This Row],[First-year, one-time Onboarding/Setup Fee %]],0))</f>
        <v/>
      </c>
      <c r="AW163" s="853"/>
      <c r="AX163" s="867"/>
      <c r="AY163" s="908"/>
      <c r="AZ163" s="909"/>
      <c r="BA163" s="910"/>
      <c r="BB163" s="871"/>
      <c r="BC163" s="871"/>
      <c r="BD163" s="871"/>
      <c r="BE163" s="871"/>
      <c r="BF163" s="871"/>
      <c r="BG163" s="871"/>
      <c r="BH163" s="872"/>
      <c r="BI163" s="874"/>
      <c r="BJ163" s="874"/>
      <c r="BK163" s="874"/>
      <c r="BL163" s="875"/>
      <c r="BM163" s="876"/>
      <c r="BN163" s="911"/>
      <c r="BO163" s="878"/>
      <c r="BP163" s="879"/>
      <c r="BQ163" s="880"/>
      <c r="BR163" s="881"/>
      <c r="BS163" s="882"/>
      <c r="BT163" s="883"/>
      <c r="BU163" s="884"/>
      <c r="BV163" s="884"/>
      <c r="BW163" s="884"/>
      <c r="BX163" s="884"/>
      <c r="BY163" s="884"/>
      <c r="BZ163" s="884"/>
      <c r="CA163" s="884"/>
      <c r="CB163" s="884"/>
      <c r="CC163" s="884"/>
      <c r="CD163" s="884"/>
      <c r="CE163" s="885"/>
      <c r="CF163" s="885" t="str">
        <f>IF($A163="","",IF(#REF!&lt;&gt;0,#REF!-SUM(BT163:CE163),""))</f>
        <v/>
      </c>
      <c r="CG163" s="898" t="str">
        <f>IF(ISBLANK($X163)=FALSE,"NextGenApp Advisory LLC","")</f>
        <v/>
      </c>
      <c r="CH163" s="899" t="str">
        <f>_xlfn.IFNA(INDEX([1]List!AC:AC,MATCH(X163,[1]List!Y:Y,0)),"")</f>
        <v/>
      </c>
      <c r="CI163" s="900"/>
      <c r="CJ163" s="900"/>
      <c r="CK163" s="900"/>
      <c r="CL163" s="900"/>
      <c r="CM163" s="901"/>
      <c r="CN163" s="902"/>
      <c r="CO163" s="903"/>
      <c r="CP163" s="904"/>
      <c r="CQ163" s="892"/>
    </row>
    <row r="164" spans="1:95" x14ac:dyDescent="0.2">
      <c r="A164" s="894"/>
      <c r="B164" s="895"/>
      <c r="C164" s="896"/>
      <c r="D164" s="897"/>
      <c r="E164" s="897"/>
      <c r="F164" s="897"/>
      <c r="G164" s="897"/>
      <c r="H164" s="897"/>
      <c r="I164" s="897"/>
      <c r="J164" s="897"/>
      <c r="K164" s="897"/>
      <c r="L164" s="897"/>
      <c r="M164" s="897"/>
      <c r="N164" s="897"/>
      <c r="O164" s="897"/>
      <c r="P164" s="897"/>
      <c r="Q164" s="897"/>
      <c r="R164" s="897"/>
      <c r="S164" s="897"/>
      <c r="T164" s="897"/>
      <c r="U164" s="895"/>
      <c r="V164" s="852"/>
      <c r="W164" s="853"/>
      <c r="X164" s="853"/>
      <c r="Y164" s="853"/>
      <c r="Z164" s="853"/>
      <c r="AA164" s="853"/>
      <c r="AB164" s="854">
        <f>_xlfn.XLOOKUP(Table17[[#This Row],[Project Delivery Lead]],[1]List!Y:Y,[1]List!AC:AC)</f>
        <v>0</v>
      </c>
      <c r="AC164" s="853" t="str">
        <f>IF($A164="","",'[1]Core Assumptions'!$D184)</f>
        <v/>
      </c>
      <c r="AD164" s="855"/>
      <c r="AE164" s="905"/>
      <c r="AF164" s="857"/>
      <c r="AG164" s="857"/>
      <c r="AH164" s="858"/>
      <c r="AI164" s="858"/>
      <c r="AJ164" s="858"/>
      <c r="AK164" s="858" t="str">
        <f>IF($A164="","",IF('[1]Pricing Summary'!$B$31="T&amp;M","Time and Material","Fixed Fee"))</f>
        <v/>
      </c>
      <c r="AL164" s="856"/>
      <c r="AM164" s="856"/>
      <c r="AN164" s="906" t="str">
        <f>IF($A164="","",'[1]Outputs Recap'!$C$12)</f>
        <v/>
      </c>
      <c r="AO164" s="861" t="str">
        <f>IF($A164="","",VLOOKUP('[1]Outputs Recap'!$C$11,[1]List!$I:$J,2,FALSE))</f>
        <v/>
      </c>
      <c r="AP164" s="856" t="str" cm="1">
        <f t="array" ref="AP164">IF($A164="","",_xlfn.IFS('[1]Pricing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4" s="862" t="str">
        <f>IF($A164="","",_xlfn.XLOOKUP('[1]Core Assumptions'!$D$20,'[1]Other Lookups'!$AH:$AH,'[1]Other Lookups'!$AI:$AI))</f>
        <v/>
      </c>
      <c r="AR164" s="863"/>
      <c r="AS164" s="864" t="str">
        <f>IF($A164="","",'[1]Outputs Recap'!$C$13)</f>
        <v/>
      </c>
      <c r="AT164" s="907"/>
      <c r="AU164" s="907"/>
      <c r="AV164" s="907" t="str">
        <f>IF($A164="","",IFERROR(+Table17[[#This Row],[Total Contract Amount]]*Table17[[#This Row],[First-year, one-time Onboarding/Setup Fee %]],0))</f>
        <v/>
      </c>
      <c r="AW164" s="853"/>
      <c r="AX164" s="867"/>
      <c r="AY164" s="908"/>
      <c r="AZ164" s="909"/>
      <c r="BA164" s="910"/>
      <c r="BB164" s="871"/>
      <c r="BC164" s="871"/>
      <c r="BD164" s="871"/>
      <c r="BE164" s="871"/>
      <c r="BF164" s="871"/>
      <c r="BG164" s="871"/>
      <c r="BH164" s="872"/>
      <c r="BI164" s="874"/>
      <c r="BJ164" s="874"/>
      <c r="BK164" s="874"/>
      <c r="BL164" s="875"/>
      <c r="BM164" s="876"/>
      <c r="BN164" s="911"/>
      <c r="BO164" s="878"/>
      <c r="BP164" s="879"/>
      <c r="BQ164" s="880"/>
      <c r="BR164" s="881"/>
      <c r="BS164" s="882"/>
      <c r="BT164" s="883"/>
      <c r="BU164" s="884"/>
      <c r="BV164" s="884"/>
      <c r="BW164" s="884"/>
      <c r="BX164" s="884"/>
      <c r="BY164" s="884"/>
      <c r="BZ164" s="884"/>
      <c r="CA164" s="884"/>
      <c r="CB164" s="884"/>
      <c r="CC164" s="884"/>
      <c r="CD164" s="884"/>
      <c r="CE164" s="885"/>
      <c r="CF164" s="885" t="str">
        <f>IF($A164="","",IF(#REF!&lt;&gt;0,#REF!-SUM(BT164:CE164),""))</f>
        <v/>
      </c>
      <c r="CG164" s="898" t="str">
        <f>IF(ISBLANK($X164)=FALSE,"NextGenApp Advisory LLC","")</f>
        <v/>
      </c>
      <c r="CH164" s="899" t="str">
        <f>_xlfn.IFNA(INDEX([1]List!AC:AC,MATCH(X164,[1]List!Y:Y,0)),"")</f>
        <v/>
      </c>
      <c r="CI164" s="900"/>
      <c r="CJ164" s="900"/>
      <c r="CK164" s="900"/>
      <c r="CL164" s="900"/>
      <c r="CM164" s="901"/>
      <c r="CN164" s="902"/>
      <c r="CO164" s="903"/>
      <c r="CP164" s="904"/>
      <c r="CQ164" s="892"/>
    </row>
    <row r="165" spans="1:95" x14ac:dyDescent="0.2">
      <c r="A165" s="894"/>
      <c r="B165" s="895"/>
      <c r="C165" s="896"/>
      <c r="D165" s="897"/>
      <c r="E165" s="897"/>
      <c r="F165" s="897"/>
      <c r="G165" s="897"/>
      <c r="H165" s="897"/>
      <c r="I165" s="897"/>
      <c r="J165" s="897"/>
      <c r="K165" s="897"/>
      <c r="L165" s="897"/>
      <c r="M165" s="897"/>
      <c r="N165" s="897"/>
      <c r="O165" s="897"/>
      <c r="P165" s="897"/>
      <c r="Q165" s="897"/>
      <c r="R165" s="897"/>
      <c r="S165" s="897"/>
      <c r="T165" s="897"/>
      <c r="U165" s="895"/>
      <c r="V165" s="852"/>
      <c r="W165" s="853"/>
      <c r="X165" s="853"/>
      <c r="Y165" s="853"/>
      <c r="Z165" s="853"/>
      <c r="AA165" s="853"/>
      <c r="AB165" s="854">
        <f>_xlfn.XLOOKUP(Table17[[#This Row],[Project Delivery Lead]],[1]List!Y:Y,[1]List!AC:AC)</f>
        <v>0</v>
      </c>
      <c r="AC165" s="853" t="str">
        <f>IF($A165="","",'[1]Core Assumptions'!$D185)</f>
        <v/>
      </c>
      <c r="AD165" s="855"/>
      <c r="AE165" s="905"/>
      <c r="AF165" s="857"/>
      <c r="AG165" s="857"/>
      <c r="AH165" s="858"/>
      <c r="AI165" s="858"/>
      <c r="AJ165" s="858"/>
      <c r="AK165" s="858" t="str">
        <f>IF($A165="","",IF('[1]Pricing Summary'!$B$31="T&amp;M","Time and Material","Fixed Fee"))</f>
        <v/>
      </c>
      <c r="AL165" s="856"/>
      <c r="AM165" s="856"/>
      <c r="AN165" s="906" t="str">
        <f>IF($A165="","",'[1]Outputs Recap'!$C$12)</f>
        <v/>
      </c>
      <c r="AO165" s="861" t="str">
        <f>IF($A165="","",VLOOKUP('[1]Outputs Recap'!$C$11,[1]List!$I:$J,2,FALSE))</f>
        <v/>
      </c>
      <c r="AP165" s="856" t="str" cm="1">
        <f t="array" ref="AP165">IF($A165="","",_xlfn.IFS('[1]Pricing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5" s="862" t="str">
        <f>IF($A165="","",_xlfn.XLOOKUP('[1]Core Assumptions'!$D$20,'[1]Other Lookups'!$AH:$AH,'[1]Other Lookups'!$AI:$AI))</f>
        <v/>
      </c>
      <c r="AR165" s="863"/>
      <c r="AS165" s="864" t="str">
        <f>IF($A165="","",'[1]Outputs Recap'!$C$13)</f>
        <v/>
      </c>
      <c r="AT165" s="907"/>
      <c r="AU165" s="907"/>
      <c r="AV165" s="907" t="str">
        <f>IF($A165="","",IFERROR(+Table17[[#This Row],[Total Contract Amount]]*Table17[[#This Row],[First-year, one-time Onboarding/Setup Fee %]],0))</f>
        <v/>
      </c>
      <c r="AW165" s="853"/>
      <c r="AX165" s="867"/>
      <c r="AY165" s="908"/>
      <c r="AZ165" s="909"/>
      <c r="BA165" s="910"/>
      <c r="BB165" s="871"/>
      <c r="BC165" s="871"/>
      <c r="BD165" s="871"/>
      <c r="BE165" s="871"/>
      <c r="BF165" s="871"/>
      <c r="BG165" s="871"/>
      <c r="BH165" s="872"/>
      <c r="BI165" s="874"/>
      <c r="BJ165" s="874"/>
      <c r="BK165" s="874"/>
      <c r="BL165" s="875"/>
      <c r="BM165" s="876"/>
      <c r="BN165" s="911"/>
      <c r="BO165" s="878"/>
      <c r="BP165" s="879"/>
      <c r="BQ165" s="880"/>
      <c r="BR165" s="881"/>
      <c r="BS165" s="882"/>
      <c r="BT165" s="883"/>
      <c r="BU165" s="884"/>
      <c r="BV165" s="884"/>
      <c r="BW165" s="884"/>
      <c r="BX165" s="884"/>
      <c r="BY165" s="884"/>
      <c r="BZ165" s="884"/>
      <c r="CA165" s="884"/>
      <c r="CB165" s="884"/>
      <c r="CC165" s="884"/>
      <c r="CD165" s="884"/>
      <c r="CE165" s="885"/>
      <c r="CF165" s="885" t="str">
        <f>IF($A165="","",IF(#REF!&lt;&gt;0,#REF!-SUM(BT165:CE165),""))</f>
        <v/>
      </c>
      <c r="CG165" s="898" t="str">
        <f>IF(ISBLANK($X165)=FALSE,"NextGenApp Advisory LLC","")</f>
        <v/>
      </c>
      <c r="CH165" s="899" t="str">
        <f>_xlfn.IFNA(INDEX([1]List!AC:AC,MATCH(X165,[1]List!Y:Y,0)),"")</f>
        <v/>
      </c>
      <c r="CI165" s="900"/>
      <c r="CJ165" s="900"/>
      <c r="CK165" s="900"/>
      <c r="CL165" s="900"/>
      <c r="CM165" s="901"/>
      <c r="CN165" s="902"/>
      <c r="CO165" s="903"/>
      <c r="CP165" s="904"/>
      <c r="CQ165" s="892"/>
    </row>
    <row r="166" spans="1:95" x14ac:dyDescent="0.2">
      <c r="A166" s="894"/>
      <c r="B166" s="895"/>
      <c r="C166" s="896"/>
      <c r="D166" s="897"/>
      <c r="E166" s="897"/>
      <c r="F166" s="897"/>
      <c r="G166" s="897"/>
      <c r="H166" s="897"/>
      <c r="I166" s="897"/>
      <c r="J166" s="897"/>
      <c r="K166" s="897"/>
      <c r="L166" s="897"/>
      <c r="M166" s="897"/>
      <c r="N166" s="897"/>
      <c r="O166" s="897"/>
      <c r="P166" s="897"/>
      <c r="Q166" s="897"/>
      <c r="R166" s="897"/>
      <c r="S166" s="897"/>
      <c r="T166" s="897"/>
      <c r="U166" s="895"/>
      <c r="V166" s="852"/>
      <c r="W166" s="853"/>
      <c r="X166" s="853"/>
      <c r="Y166" s="853"/>
      <c r="Z166" s="853"/>
      <c r="AA166" s="853"/>
      <c r="AB166" s="854">
        <f>_xlfn.XLOOKUP(Table17[[#This Row],[Project Delivery Lead]],[1]List!Y:Y,[1]List!AC:AC)</f>
        <v>0</v>
      </c>
      <c r="AC166" s="853" t="str">
        <f>IF($A166="","",'[1]Core Assumptions'!$D186)</f>
        <v/>
      </c>
      <c r="AD166" s="855"/>
      <c r="AE166" s="905"/>
      <c r="AF166" s="857"/>
      <c r="AG166" s="857"/>
      <c r="AH166" s="858"/>
      <c r="AI166" s="858"/>
      <c r="AJ166" s="858"/>
      <c r="AK166" s="858" t="str">
        <f>IF($A166="","",IF('[1]Pricing Summary'!$B$31="T&amp;M","Time and Material","Fixed Fee"))</f>
        <v/>
      </c>
      <c r="AL166" s="856"/>
      <c r="AM166" s="856"/>
      <c r="AN166" s="906" t="str">
        <f>IF($A166="","",'[1]Outputs Recap'!$C$12)</f>
        <v/>
      </c>
      <c r="AO166" s="861" t="str">
        <f>IF($A166="","",VLOOKUP('[1]Outputs Recap'!$C$11,[1]List!$I:$J,2,FALSE))</f>
        <v/>
      </c>
      <c r="AP166" s="856" t="str" cm="1">
        <f t="array" ref="AP166">IF($A166="","",_xlfn.IFS('[1]Pricing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6" s="862" t="str">
        <f>IF($A166="","",_xlfn.XLOOKUP('[1]Core Assumptions'!$D$20,'[1]Other Lookups'!$AH:$AH,'[1]Other Lookups'!$AI:$AI))</f>
        <v/>
      </c>
      <c r="AR166" s="863"/>
      <c r="AS166" s="864" t="str">
        <f>IF($A166="","",'[1]Outputs Recap'!$C$13)</f>
        <v/>
      </c>
      <c r="AT166" s="907"/>
      <c r="AU166" s="907"/>
      <c r="AV166" s="907" t="str">
        <f>IF($A166="","",IFERROR(+Table17[[#This Row],[Total Contract Amount]]*Table17[[#This Row],[First-year, one-time Onboarding/Setup Fee %]],0))</f>
        <v/>
      </c>
      <c r="AW166" s="853"/>
      <c r="AX166" s="867"/>
      <c r="AY166" s="908"/>
      <c r="AZ166" s="909"/>
      <c r="BA166" s="910"/>
      <c r="BB166" s="871"/>
      <c r="BC166" s="871"/>
      <c r="BD166" s="871"/>
      <c r="BE166" s="871"/>
      <c r="BF166" s="871"/>
      <c r="BG166" s="871"/>
      <c r="BH166" s="872"/>
      <c r="BI166" s="874"/>
      <c r="BJ166" s="874"/>
      <c r="BK166" s="874"/>
      <c r="BL166" s="875"/>
      <c r="BM166" s="876"/>
      <c r="BN166" s="911"/>
      <c r="BO166" s="878"/>
      <c r="BP166" s="879"/>
      <c r="BQ166" s="880"/>
      <c r="BR166" s="881"/>
      <c r="BS166" s="882"/>
      <c r="BT166" s="883"/>
      <c r="BU166" s="884"/>
      <c r="BV166" s="884"/>
      <c r="BW166" s="884"/>
      <c r="BX166" s="884"/>
      <c r="BY166" s="884"/>
      <c r="BZ166" s="884"/>
      <c r="CA166" s="884"/>
      <c r="CB166" s="884"/>
      <c r="CC166" s="884"/>
      <c r="CD166" s="884"/>
      <c r="CE166" s="885"/>
      <c r="CF166" s="885" t="str">
        <f>IF($A166="","",IF(#REF!&lt;&gt;0,#REF!-SUM(BT166:CE166),""))</f>
        <v/>
      </c>
      <c r="CG166" s="898" t="str">
        <f>IF(ISBLANK($X166)=FALSE,"NextGenApp Advisory LLC","")</f>
        <v/>
      </c>
      <c r="CH166" s="899" t="str">
        <f>_xlfn.IFNA(INDEX([1]List!AC:AC,MATCH(X166,[1]List!Y:Y,0)),"")</f>
        <v/>
      </c>
      <c r="CI166" s="900"/>
      <c r="CJ166" s="900"/>
      <c r="CK166" s="900"/>
      <c r="CL166" s="900"/>
      <c r="CM166" s="901"/>
      <c r="CN166" s="902"/>
      <c r="CO166" s="903"/>
      <c r="CP166" s="904"/>
      <c r="CQ166" s="892"/>
    </row>
    <row r="167" spans="1:95" x14ac:dyDescent="0.2">
      <c r="A167" s="894"/>
      <c r="B167" s="895"/>
      <c r="C167" s="896"/>
      <c r="D167" s="897"/>
      <c r="E167" s="897"/>
      <c r="F167" s="897"/>
      <c r="G167" s="897"/>
      <c r="H167" s="897"/>
      <c r="I167" s="897"/>
      <c r="J167" s="897"/>
      <c r="K167" s="897"/>
      <c r="L167" s="897"/>
      <c r="M167" s="897"/>
      <c r="N167" s="897"/>
      <c r="O167" s="897"/>
      <c r="P167" s="897"/>
      <c r="Q167" s="897"/>
      <c r="R167" s="897"/>
      <c r="S167" s="897"/>
      <c r="T167" s="897"/>
      <c r="U167" s="895"/>
      <c r="V167" s="852"/>
      <c r="W167" s="853"/>
      <c r="X167" s="853"/>
      <c r="Y167" s="853"/>
      <c r="Z167" s="853"/>
      <c r="AA167" s="853"/>
      <c r="AB167" s="854">
        <f>_xlfn.XLOOKUP(Table17[[#This Row],[Project Delivery Lead]],[1]List!Y:Y,[1]List!AC:AC)</f>
        <v>0</v>
      </c>
      <c r="AC167" s="853" t="str">
        <f>IF($A167="","",'[1]Core Assumptions'!$D187)</f>
        <v/>
      </c>
      <c r="AD167" s="855"/>
      <c r="AE167" s="905"/>
      <c r="AF167" s="857"/>
      <c r="AG167" s="857"/>
      <c r="AH167" s="858"/>
      <c r="AI167" s="858"/>
      <c r="AJ167" s="858"/>
      <c r="AK167" s="858" t="str">
        <f>IF($A167="","",IF('[1]Pricing Summary'!$B$31="T&amp;M","Time and Material","Fixed Fee"))</f>
        <v/>
      </c>
      <c r="AL167" s="856"/>
      <c r="AM167" s="856"/>
      <c r="AN167" s="906" t="str">
        <f>IF($A167="","",'[1]Outputs Recap'!$C$12)</f>
        <v/>
      </c>
      <c r="AO167" s="861" t="str">
        <f>IF($A167="","",VLOOKUP('[1]Outputs Recap'!$C$11,[1]List!$I:$J,2,FALSE))</f>
        <v/>
      </c>
      <c r="AP167" s="856" t="str" cm="1">
        <f t="array" ref="AP167">IF($A167="","",_xlfn.IFS('[1]Pricing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7" s="862" t="str">
        <f>IF($A167="","",_xlfn.XLOOKUP('[1]Core Assumptions'!$D$20,'[1]Other Lookups'!$AH:$AH,'[1]Other Lookups'!$AI:$AI))</f>
        <v/>
      </c>
      <c r="AR167" s="863"/>
      <c r="AS167" s="864" t="str">
        <f>IF($A167="","",'[1]Outputs Recap'!$C$13)</f>
        <v/>
      </c>
      <c r="AT167" s="907"/>
      <c r="AU167" s="907"/>
      <c r="AV167" s="907" t="str">
        <f>IF($A167="","",IFERROR(+Table17[[#This Row],[Total Contract Amount]]*Table17[[#This Row],[First-year, one-time Onboarding/Setup Fee %]],0))</f>
        <v/>
      </c>
      <c r="AW167" s="853"/>
      <c r="AX167" s="867"/>
      <c r="AY167" s="908"/>
      <c r="AZ167" s="909"/>
      <c r="BA167" s="910"/>
      <c r="BB167" s="871"/>
      <c r="BC167" s="871"/>
      <c r="BD167" s="871"/>
      <c r="BE167" s="871"/>
      <c r="BF167" s="871"/>
      <c r="BG167" s="871"/>
      <c r="BH167" s="872"/>
      <c r="BI167" s="874"/>
      <c r="BJ167" s="874"/>
      <c r="BK167" s="874"/>
      <c r="BL167" s="875"/>
      <c r="BM167" s="876"/>
      <c r="BN167" s="911"/>
      <c r="BO167" s="878"/>
      <c r="BP167" s="879"/>
      <c r="BQ167" s="880"/>
      <c r="BR167" s="881"/>
      <c r="BS167" s="882"/>
      <c r="BT167" s="883"/>
      <c r="BU167" s="884"/>
      <c r="BV167" s="884"/>
      <c r="BW167" s="884"/>
      <c r="BX167" s="884"/>
      <c r="BY167" s="884"/>
      <c r="BZ167" s="884"/>
      <c r="CA167" s="884"/>
      <c r="CB167" s="884"/>
      <c r="CC167" s="884"/>
      <c r="CD167" s="884"/>
      <c r="CE167" s="885"/>
      <c r="CF167" s="885" t="str">
        <f>IF($A167="","",IF(#REF!&lt;&gt;0,#REF!-SUM(BT167:CE167),""))</f>
        <v/>
      </c>
      <c r="CG167" s="898" t="str">
        <f>IF(ISBLANK($X167)=FALSE,"NextGenApp Advisory LLC","")</f>
        <v/>
      </c>
      <c r="CH167" s="899" t="str">
        <f>_xlfn.IFNA(INDEX([1]List!AC:AC,MATCH(X167,[1]List!Y:Y,0)),"")</f>
        <v/>
      </c>
      <c r="CI167" s="900"/>
      <c r="CJ167" s="900"/>
      <c r="CK167" s="900"/>
      <c r="CL167" s="900"/>
      <c r="CM167" s="901"/>
      <c r="CN167" s="902"/>
      <c r="CO167" s="903"/>
      <c r="CP167" s="904"/>
      <c r="CQ167" s="892"/>
    </row>
    <row r="168" spans="1:95" x14ac:dyDescent="0.2">
      <c r="A168" s="894"/>
      <c r="B168" s="895"/>
      <c r="C168" s="896"/>
      <c r="D168" s="897"/>
      <c r="E168" s="897"/>
      <c r="F168" s="897"/>
      <c r="G168" s="897"/>
      <c r="H168" s="897"/>
      <c r="I168" s="897"/>
      <c r="J168" s="897"/>
      <c r="K168" s="897"/>
      <c r="L168" s="897"/>
      <c r="M168" s="897"/>
      <c r="N168" s="897"/>
      <c r="O168" s="897"/>
      <c r="P168" s="897"/>
      <c r="Q168" s="897"/>
      <c r="R168" s="897"/>
      <c r="S168" s="897"/>
      <c r="T168" s="897"/>
      <c r="U168" s="895"/>
      <c r="V168" s="852"/>
      <c r="W168" s="853"/>
      <c r="X168" s="853"/>
      <c r="Y168" s="853"/>
      <c r="Z168" s="853"/>
      <c r="AA168" s="853"/>
      <c r="AB168" s="854">
        <f>_xlfn.XLOOKUP(Table17[[#This Row],[Project Delivery Lead]],[1]List!Y:Y,[1]List!AC:AC)</f>
        <v>0</v>
      </c>
      <c r="AC168" s="853" t="str">
        <f>IF($A168="","",'[1]Core Assumptions'!$D188)</f>
        <v/>
      </c>
      <c r="AD168" s="855"/>
      <c r="AE168" s="905"/>
      <c r="AF168" s="857"/>
      <c r="AG168" s="857"/>
      <c r="AH168" s="858"/>
      <c r="AI168" s="858"/>
      <c r="AJ168" s="858"/>
      <c r="AK168" s="858" t="str">
        <f>IF($A168="","",IF('[1]Pricing Summary'!$B$31="T&amp;M","Time and Material","Fixed Fee"))</f>
        <v/>
      </c>
      <c r="AL168" s="856"/>
      <c r="AM168" s="856"/>
      <c r="AN168" s="906" t="str">
        <f>IF($A168="","",'[1]Outputs Recap'!$C$12)</f>
        <v/>
      </c>
      <c r="AO168" s="861" t="str">
        <f>IF($A168="","",VLOOKUP('[1]Outputs Recap'!$C$11,[1]List!$I:$J,2,FALSE))</f>
        <v/>
      </c>
      <c r="AP168" s="856" t="str" cm="1">
        <f t="array" ref="AP168">IF($A168="","",_xlfn.IFS('[1]Pricing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8" s="862" t="str">
        <f>IF($A168="","",_xlfn.XLOOKUP('[1]Core Assumptions'!$D$20,'[1]Other Lookups'!$AH:$AH,'[1]Other Lookups'!$AI:$AI))</f>
        <v/>
      </c>
      <c r="AR168" s="863"/>
      <c r="AS168" s="864" t="str">
        <f>IF($A168="","",'[1]Outputs Recap'!$C$13)</f>
        <v/>
      </c>
      <c r="AT168" s="907"/>
      <c r="AU168" s="907"/>
      <c r="AV168" s="907" t="str">
        <f>IF($A168="","",IFERROR(+Table17[[#This Row],[Total Contract Amount]]*Table17[[#This Row],[First-year, one-time Onboarding/Setup Fee %]],0))</f>
        <v/>
      </c>
      <c r="AW168" s="853"/>
      <c r="AX168" s="867"/>
      <c r="AY168" s="908"/>
      <c r="AZ168" s="909"/>
      <c r="BA168" s="910"/>
      <c r="BB168" s="871"/>
      <c r="BC168" s="871"/>
      <c r="BD168" s="871"/>
      <c r="BE168" s="871"/>
      <c r="BF168" s="871"/>
      <c r="BG168" s="871"/>
      <c r="BH168" s="872"/>
      <c r="BI168" s="874"/>
      <c r="BJ168" s="874"/>
      <c r="BK168" s="874"/>
      <c r="BL168" s="875"/>
      <c r="BM168" s="876"/>
      <c r="BN168" s="911"/>
      <c r="BO168" s="878"/>
      <c r="BP168" s="879"/>
      <c r="BQ168" s="880"/>
      <c r="BR168" s="881"/>
      <c r="BS168" s="882"/>
      <c r="BT168" s="883"/>
      <c r="BU168" s="884"/>
      <c r="BV168" s="884"/>
      <c r="BW168" s="884"/>
      <c r="BX168" s="884"/>
      <c r="BY168" s="884"/>
      <c r="BZ168" s="884"/>
      <c r="CA168" s="884"/>
      <c r="CB168" s="884"/>
      <c r="CC168" s="884"/>
      <c r="CD168" s="884"/>
      <c r="CE168" s="885"/>
      <c r="CF168" s="885" t="str">
        <f>IF($A168="","",IF(#REF!&lt;&gt;0,#REF!-SUM(BT168:CE168),""))</f>
        <v/>
      </c>
      <c r="CG168" s="898" t="str">
        <f>IF(ISBLANK($X168)=FALSE,"NextGenApp Advisory LLC","")</f>
        <v/>
      </c>
      <c r="CH168" s="899" t="str">
        <f>_xlfn.IFNA(INDEX([1]List!AC:AC,MATCH(X168,[1]List!Y:Y,0)),"")</f>
        <v/>
      </c>
      <c r="CI168" s="900"/>
      <c r="CJ168" s="900"/>
      <c r="CK168" s="900"/>
      <c r="CL168" s="900"/>
      <c r="CM168" s="901"/>
      <c r="CN168" s="902"/>
      <c r="CO168" s="903"/>
      <c r="CP168" s="904"/>
      <c r="CQ168" s="892"/>
    </row>
    <row r="169" spans="1:95" x14ac:dyDescent="0.2">
      <c r="A169" s="894"/>
      <c r="B169" s="895"/>
      <c r="C169" s="896"/>
      <c r="D169" s="897"/>
      <c r="E169" s="897"/>
      <c r="F169" s="897"/>
      <c r="G169" s="897"/>
      <c r="H169" s="897"/>
      <c r="I169" s="897"/>
      <c r="J169" s="897"/>
      <c r="K169" s="897"/>
      <c r="L169" s="897"/>
      <c r="M169" s="897"/>
      <c r="N169" s="897"/>
      <c r="O169" s="897"/>
      <c r="P169" s="897"/>
      <c r="Q169" s="897"/>
      <c r="R169" s="897"/>
      <c r="S169" s="897"/>
      <c r="T169" s="897"/>
      <c r="U169" s="895"/>
      <c r="V169" s="852"/>
      <c r="W169" s="853"/>
      <c r="X169" s="853"/>
      <c r="Y169" s="853"/>
      <c r="Z169" s="853"/>
      <c r="AA169" s="853"/>
      <c r="AB169" s="854">
        <f>_xlfn.XLOOKUP(Table17[[#This Row],[Project Delivery Lead]],[1]List!Y:Y,[1]List!AC:AC)</f>
        <v>0</v>
      </c>
      <c r="AC169" s="853" t="str">
        <f>IF($A169="","",'[1]Core Assumptions'!$D189)</f>
        <v/>
      </c>
      <c r="AD169" s="855"/>
      <c r="AE169" s="905"/>
      <c r="AF169" s="857"/>
      <c r="AG169" s="857"/>
      <c r="AH169" s="858"/>
      <c r="AI169" s="858"/>
      <c r="AJ169" s="858"/>
      <c r="AK169" s="858" t="str">
        <f>IF($A169="","",IF('[1]Pricing Summary'!$B$31="T&amp;M","Time and Material","Fixed Fee"))</f>
        <v/>
      </c>
      <c r="AL169" s="856"/>
      <c r="AM169" s="856"/>
      <c r="AN169" s="906" t="str">
        <f>IF($A169="","",'[1]Outputs Recap'!$C$12)</f>
        <v/>
      </c>
      <c r="AO169" s="861" t="str">
        <f>IF($A169="","",VLOOKUP('[1]Outputs Recap'!$C$11,[1]List!$I:$J,2,FALSE))</f>
        <v/>
      </c>
      <c r="AP169" s="856" t="str" cm="1">
        <f t="array" ref="AP169">IF($A169="","",_xlfn.IFS('[1]Pricing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69" s="862" t="str">
        <f>IF($A169="","",_xlfn.XLOOKUP('[1]Core Assumptions'!$D$20,'[1]Other Lookups'!$AH:$AH,'[1]Other Lookups'!$AI:$AI))</f>
        <v/>
      </c>
      <c r="AR169" s="863"/>
      <c r="AS169" s="864" t="str">
        <f>IF($A169="","",'[1]Outputs Recap'!$C$13)</f>
        <v/>
      </c>
      <c r="AT169" s="907"/>
      <c r="AU169" s="907"/>
      <c r="AV169" s="907" t="str">
        <f>IF($A169="","",IFERROR(+Table17[[#This Row],[Total Contract Amount]]*Table17[[#This Row],[First-year, one-time Onboarding/Setup Fee %]],0))</f>
        <v/>
      </c>
      <c r="AW169" s="853"/>
      <c r="AX169" s="867"/>
      <c r="AY169" s="908"/>
      <c r="AZ169" s="909"/>
      <c r="BA169" s="910"/>
      <c r="BB169" s="871"/>
      <c r="BC169" s="871"/>
      <c r="BD169" s="871"/>
      <c r="BE169" s="871"/>
      <c r="BF169" s="871"/>
      <c r="BG169" s="871"/>
      <c r="BH169" s="872"/>
      <c r="BI169" s="874"/>
      <c r="BJ169" s="874"/>
      <c r="BK169" s="874"/>
      <c r="BL169" s="875"/>
      <c r="BM169" s="876"/>
      <c r="BN169" s="911"/>
      <c r="BO169" s="878"/>
      <c r="BP169" s="879"/>
      <c r="BQ169" s="880"/>
      <c r="BR169" s="881"/>
      <c r="BS169" s="882"/>
      <c r="BT169" s="883"/>
      <c r="BU169" s="884"/>
      <c r="BV169" s="884"/>
      <c r="BW169" s="884"/>
      <c r="BX169" s="884"/>
      <c r="BY169" s="884"/>
      <c r="BZ169" s="884"/>
      <c r="CA169" s="884"/>
      <c r="CB169" s="884"/>
      <c r="CC169" s="884"/>
      <c r="CD169" s="884"/>
      <c r="CE169" s="885"/>
      <c r="CF169" s="885" t="str">
        <f>IF($A169="","",IF(#REF!&lt;&gt;0,#REF!-SUM(BT169:CE169),""))</f>
        <v/>
      </c>
      <c r="CG169" s="898" t="str">
        <f>IF(ISBLANK($X169)=FALSE,"NextGenApp Advisory LLC","")</f>
        <v/>
      </c>
      <c r="CH169" s="899" t="str">
        <f>_xlfn.IFNA(INDEX([1]List!AC:AC,MATCH(X169,[1]List!Y:Y,0)),"")</f>
        <v/>
      </c>
      <c r="CI169" s="900"/>
      <c r="CJ169" s="900"/>
      <c r="CK169" s="900"/>
      <c r="CL169" s="900"/>
      <c r="CM169" s="901"/>
      <c r="CN169" s="902"/>
      <c r="CO169" s="903"/>
      <c r="CP169" s="904"/>
      <c r="CQ169" s="892"/>
    </row>
    <row r="170" spans="1:95" x14ac:dyDescent="0.2">
      <c r="A170" s="894"/>
      <c r="B170" s="895"/>
      <c r="C170" s="896"/>
      <c r="D170" s="897"/>
      <c r="E170" s="897"/>
      <c r="F170" s="897"/>
      <c r="G170" s="897"/>
      <c r="H170" s="897"/>
      <c r="I170" s="897"/>
      <c r="J170" s="897"/>
      <c r="K170" s="897"/>
      <c r="L170" s="897"/>
      <c r="M170" s="897"/>
      <c r="N170" s="897"/>
      <c r="O170" s="897"/>
      <c r="P170" s="897"/>
      <c r="Q170" s="897"/>
      <c r="R170" s="897"/>
      <c r="S170" s="897"/>
      <c r="T170" s="897"/>
      <c r="U170" s="895"/>
      <c r="V170" s="852"/>
      <c r="W170" s="853"/>
      <c r="X170" s="853"/>
      <c r="Y170" s="853"/>
      <c r="Z170" s="853"/>
      <c r="AA170" s="853"/>
      <c r="AB170" s="854">
        <f>_xlfn.XLOOKUP(Table17[[#This Row],[Project Delivery Lead]],[1]List!Y:Y,[1]List!AC:AC)</f>
        <v>0</v>
      </c>
      <c r="AC170" s="853" t="str">
        <f>IF($A170="","",'[1]Core Assumptions'!$D190)</f>
        <v/>
      </c>
      <c r="AD170" s="855"/>
      <c r="AE170" s="905"/>
      <c r="AF170" s="857"/>
      <c r="AG170" s="857"/>
      <c r="AH170" s="858"/>
      <c r="AI170" s="858"/>
      <c r="AJ170" s="858"/>
      <c r="AK170" s="858" t="str">
        <f>IF($A170="","",IF('[1]Pricing Summary'!$B$31="T&amp;M","Time and Material","Fixed Fee"))</f>
        <v/>
      </c>
      <c r="AL170" s="856"/>
      <c r="AM170" s="856"/>
      <c r="AN170" s="906" t="str">
        <f>IF($A170="","",'[1]Outputs Recap'!$C$12)</f>
        <v/>
      </c>
      <c r="AO170" s="861" t="str">
        <f>IF($A170="","",VLOOKUP('[1]Outputs Recap'!$C$11,[1]List!$I:$J,2,FALSE))</f>
        <v/>
      </c>
      <c r="AP170" s="856" t="str" cm="1">
        <f t="array" ref="AP170">IF($A170="","",_xlfn.IFS('[1]Pricing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0" s="862" t="str">
        <f>IF($A170="","",_xlfn.XLOOKUP('[1]Core Assumptions'!$D$20,'[1]Other Lookups'!$AH:$AH,'[1]Other Lookups'!$AI:$AI))</f>
        <v/>
      </c>
      <c r="AR170" s="863"/>
      <c r="AS170" s="864" t="str">
        <f>IF($A170="","",'[1]Outputs Recap'!$C$13)</f>
        <v/>
      </c>
      <c r="AT170" s="907"/>
      <c r="AU170" s="907"/>
      <c r="AV170" s="907" t="str">
        <f>IF($A170="","",IFERROR(+Table17[[#This Row],[Total Contract Amount]]*Table17[[#This Row],[First-year, one-time Onboarding/Setup Fee %]],0))</f>
        <v/>
      </c>
      <c r="AW170" s="853"/>
      <c r="AX170" s="867"/>
      <c r="AY170" s="908"/>
      <c r="AZ170" s="909"/>
      <c r="BA170" s="910"/>
      <c r="BB170" s="871"/>
      <c r="BC170" s="871"/>
      <c r="BD170" s="871"/>
      <c r="BE170" s="871"/>
      <c r="BF170" s="871"/>
      <c r="BG170" s="871"/>
      <c r="BH170" s="872"/>
      <c r="BI170" s="874"/>
      <c r="BJ170" s="874"/>
      <c r="BK170" s="874"/>
      <c r="BL170" s="875"/>
      <c r="BM170" s="876"/>
      <c r="BN170" s="911"/>
      <c r="BO170" s="878"/>
      <c r="BP170" s="879"/>
      <c r="BQ170" s="880"/>
      <c r="BR170" s="881"/>
      <c r="BS170" s="882"/>
      <c r="BT170" s="883"/>
      <c r="BU170" s="884"/>
      <c r="BV170" s="884"/>
      <c r="BW170" s="884"/>
      <c r="BX170" s="884"/>
      <c r="BY170" s="884"/>
      <c r="BZ170" s="884"/>
      <c r="CA170" s="884"/>
      <c r="CB170" s="884"/>
      <c r="CC170" s="884"/>
      <c r="CD170" s="884"/>
      <c r="CE170" s="885"/>
      <c r="CF170" s="885" t="str">
        <f>IF($A170="","",IF(#REF!&lt;&gt;0,#REF!-SUM(BT170:CE170),""))</f>
        <v/>
      </c>
      <c r="CG170" s="898" t="str">
        <f>IF(ISBLANK($X170)=FALSE,"NextGenApp Advisory LLC","")</f>
        <v/>
      </c>
      <c r="CH170" s="899" t="str">
        <f>_xlfn.IFNA(INDEX([1]List!AC:AC,MATCH(X170,[1]List!Y:Y,0)),"")</f>
        <v/>
      </c>
      <c r="CI170" s="900"/>
      <c r="CJ170" s="900"/>
      <c r="CK170" s="900"/>
      <c r="CL170" s="900"/>
      <c r="CM170" s="901"/>
      <c r="CN170" s="902"/>
      <c r="CO170" s="903"/>
      <c r="CP170" s="904"/>
      <c r="CQ170" s="892"/>
    </row>
    <row r="171" spans="1:95" x14ac:dyDescent="0.2">
      <c r="A171" s="894"/>
      <c r="B171" s="895"/>
      <c r="C171" s="896"/>
      <c r="D171" s="897"/>
      <c r="E171" s="897"/>
      <c r="F171" s="897"/>
      <c r="G171" s="897"/>
      <c r="H171" s="897"/>
      <c r="I171" s="897"/>
      <c r="J171" s="897"/>
      <c r="K171" s="897"/>
      <c r="L171" s="897"/>
      <c r="M171" s="897"/>
      <c r="N171" s="897"/>
      <c r="O171" s="897"/>
      <c r="P171" s="897"/>
      <c r="Q171" s="897"/>
      <c r="R171" s="897"/>
      <c r="S171" s="897"/>
      <c r="T171" s="897"/>
      <c r="U171" s="895"/>
      <c r="V171" s="852"/>
      <c r="W171" s="853"/>
      <c r="X171" s="853"/>
      <c r="Y171" s="853"/>
      <c r="Z171" s="853"/>
      <c r="AA171" s="853"/>
      <c r="AB171" s="854">
        <f>_xlfn.XLOOKUP(Table17[[#This Row],[Project Delivery Lead]],[1]List!Y:Y,[1]List!AC:AC)</f>
        <v>0</v>
      </c>
      <c r="AC171" s="853" t="str">
        <f>IF($A171="","",'[1]Core Assumptions'!$D191)</f>
        <v/>
      </c>
      <c r="AD171" s="855"/>
      <c r="AE171" s="905"/>
      <c r="AF171" s="857"/>
      <c r="AG171" s="857"/>
      <c r="AH171" s="858"/>
      <c r="AI171" s="858"/>
      <c r="AJ171" s="858"/>
      <c r="AK171" s="858" t="str">
        <f>IF($A171="","",IF('[1]Pricing Summary'!$B$31="T&amp;M","Time and Material","Fixed Fee"))</f>
        <v/>
      </c>
      <c r="AL171" s="856"/>
      <c r="AM171" s="856"/>
      <c r="AN171" s="906" t="str">
        <f>IF($A171="","",'[1]Outputs Recap'!$C$12)</f>
        <v/>
      </c>
      <c r="AO171" s="861" t="str">
        <f>IF($A171="","",VLOOKUP('[1]Outputs Recap'!$C$11,[1]List!$I:$J,2,FALSE))</f>
        <v/>
      </c>
      <c r="AP171" s="856" t="str" cm="1">
        <f t="array" ref="AP171">IF($A171="","",_xlfn.IFS('[1]Pricing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1" s="862" t="str">
        <f>IF($A171="","",_xlfn.XLOOKUP('[1]Core Assumptions'!$D$20,'[1]Other Lookups'!$AH:$AH,'[1]Other Lookups'!$AI:$AI))</f>
        <v/>
      </c>
      <c r="AR171" s="863"/>
      <c r="AS171" s="864" t="str">
        <f>IF($A171="","",'[1]Outputs Recap'!$C$13)</f>
        <v/>
      </c>
      <c r="AT171" s="907"/>
      <c r="AU171" s="907"/>
      <c r="AV171" s="907" t="str">
        <f>IF($A171="","",IFERROR(+Table17[[#This Row],[Total Contract Amount]]*Table17[[#This Row],[First-year, one-time Onboarding/Setup Fee %]],0))</f>
        <v/>
      </c>
      <c r="AW171" s="853"/>
      <c r="AX171" s="867"/>
      <c r="AY171" s="908"/>
      <c r="AZ171" s="909"/>
      <c r="BA171" s="910"/>
      <c r="BB171" s="871"/>
      <c r="BC171" s="871"/>
      <c r="BD171" s="871"/>
      <c r="BE171" s="871"/>
      <c r="BF171" s="871"/>
      <c r="BG171" s="871"/>
      <c r="BH171" s="872"/>
      <c r="BI171" s="874"/>
      <c r="BJ171" s="874"/>
      <c r="BK171" s="874"/>
      <c r="BL171" s="875"/>
      <c r="BM171" s="876"/>
      <c r="BN171" s="911"/>
      <c r="BO171" s="878"/>
      <c r="BP171" s="879"/>
      <c r="BQ171" s="880"/>
      <c r="BR171" s="881"/>
      <c r="BS171" s="882"/>
      <c r="BT171" s="883"/>
      <c r="BU171" s="884"/>
      <c r="BV171" s="884"/>
      <c r="BW171" s="884"/>
      <c r="BX171" s="884"/>
      <c r="BY171" s="884"/>
      <c r="BZ171" s="884"/>
      <c r="CA171" s="884"/>
      <c r="CB171" s="884"/>
      <c r="CC171" s="884"/>
      <c r="CD171" s="884"/>
      <c r="CE171" s="885"/>
      <c r="CF171" s="885" t="str">
        <f>IF($A171="","",IF(#REF!&lt;&gt;0,#REF!-SUM(BT171:CE171),""))</f>
        <v/>
      </c>
      <c r="CG171" s="898" t="str">
        <f>IF(ISBLANK($X171)=FALSE,"NextGenApp Advisory LLC","")</f>
        <v/>
      </c>
      <c r="CH171" s="899" t="str">
        <f>_xlfn.IFNA(INDEX([1]List!AC:AC,MATCH(X171,[1]List!Y:Y,0)),"")</f>
        <v/>
      </c>
      <c r="CI171" s="900"/>
      <c r="CJ171" s="900"/>
      <c r="CK171" s="900"/>
      <c r="CL171" s="900"/>
      <c r="CM171" s="901"/>
      <c r="CN171" s="902"/>
      <c r="CO171" s="903"/>
      <c r="CP171" s="904"/>
      <c r="CQ171" s="892"/>
    </row>
    <row r="172" spans="1:95" x14ac:dyDescent="0.2">
      <c r="A172" s="894"/>
      <c r="B172" s="895"/>
      <c r="C172" s="896"/>
      <c r="D172" s="897"/>
      <c r="E172" s="897"/>
      <c r="F172" s="897"/>
      <c r="G172" s="897"/>
      <c r="H172" s="897"/>
      <c r="I172" s="897"/>
      <c r="J172" s="897"/>
      <c r="K172" s="897"/>
      <c r="L172" s="897"/>
      <c r="M172" s="897"/>
      <c r="N172" s="897"/>
      <c r="O172" s="897"/>
      <c r="P172" s="897"/>
      <c r="Q172" s="897"/>
      <c r="R172" s="897"/>
      <c r="S172" s="897"/>
      <c r="T172" s="897"/>
      <c r="U172" s="895"/>
      <c r="V172" s="852"/>
      <c r="W172" s="853"/>
      <c r="X172" s="853"/>
      <c r="Y172" s="853"/>
      <c r="Z172" s="853"/>
      <c r="AA172" s="853"/>
      <c r="AB172" s="854">
        <f>_xlfn.XLOOKUP(Table17[[#This Row],[Project Delivery Lead]],[1]List!Y:Y,[1]List!AC:AC)</f>
        <v>0</v>
      </c>
      <c r="AC172" s="853" t="str">
        <f>IF($A172="","",'[1]Core Assumptions'!$D192)</f>
        <v/>
      </c>
      <c r="AD172" s="855"/>
      <c r="AE172" s="905"/>
      <c r="AF172" s="857"/>
      <c r="AG172" s="857"/>
      <c r="AH172" s="858"/>
      <c r="AI172" s="858"/>
      <c r="AJ172" s="858"/>
      <c r="AK172" s="858" t="str">
        <f>IF($A172="","",IF('[1]Pricing Summary'!$B$31="T&amp;M","Time and Material","Fixed Fee"))</f>
        <v/>
      </c>
      <c r="AL172" s="856"/>
      <c r="AM172" s="856"/>
      <c r="AN172" s="906" t="str">
        <f>IF($A172="","",'[1]Outputs Recap'!$C$12)</f>
        <v/>
      </c>
      <c r="AO172" s="861" t="str">
        <f>IF($A172="","",VLOOKUP('[1]Outputs Recap'!$C$11,[1]List!$I:$J,2,FALSE))</f>
        <v/>
      </c>
      <c r="AP172" s="856" t="str" cm="1">
        <f t="array" ref="AP172">IF($A172="","",_xlfn.IFS('[1]Pricing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2" s="862" t="str">
        <f>IF($A172="","",_xlfn.XLOOKUP('[1]Core Assumptions'!$D$20,'[1]Other Lookups'!$AH:$AH,'[1]Other Lookups'!$AI:$AI))</f>
        <v/>
      </c>
      <c r="AR172" s="863"/>
      <c r="AS172" s="864" t="str">
        <f>IF($A172="","",'[1]Outputs Recap'!$C$13)</f>
        <v/>
      </c>
      <c r="AT172" s="907"/>
      <c r="AU172" s="907"/>
      <c r="AV172" s="907" t="str">
        <f>IF($A172="","",IFERROR(+Table17[[#This Row],[Total Contract Amount]]*Table17[[#This Row],[First-year, one-time Onboarding/Setup Fee %]],0))</f>
        <v/>
      </c>
      <c r="AW172" s="853"/>
      <c r="AX172" s="867"/>
      <c r="AY172" s="908"/>
      <c r="AZ172" s="909"/>
      <c r="BA172" s="910"/>
      <c r="BB172" s="871"/>
      <c r="BC172" s="871"/>
      <c r="BD172" s="871"/>
      <c r="BE172" s="871"/>
      <c r="BF172" s="871"/>
      <c r="BG172" s="871"/>
      <c r="BH172" s="872"/>
      <c r="BI172" s="874"/>
      <c r="BJ172" s="874"/>
      <c r="BK172" s="874"/>
      <c r="BL172" s="875"/>
      <c r="BM172" s="876"/>
      <c r="BN172" s="911"/>
      <c r="BO172" s="878"/>
      <c r="BP172" s="879"/>
      <c r="BQ172" s="880"/>
      <c r="BR172" s="881"/>
      <c r="BS172" s="882"/>
      <c r="BT172" s="883"/>
      <c r="BU172" s="884"/>
      <c r="BV172" s="884"/>
      <c r="BW172" s="884"/>
      <c r="BX172" s="884"/>
      <c r="BY172" s="884"/>
      <c r="BZ172" s="884"/>
      <c r="CA172" s="884"/>
      <c r="CB172" s="884"/>
      <c r="CC172" s="884"/>
      <c r="CD172" s="884"/>
      <c r="CE172" s="885"/>
      <c r="CF172" s="885" t="str">
        <f>IF($A172="","",IF(#REF!&lt;&gt;0,#REF!-SUM(BT172:CE172),""))</f>
        <v/>
      </c>
      <c r="CG172" s="898" t="str">
        <f>IF(ISBLANK($X172)=FALSE,"NextGenApp Advisory LLC","")</f>
        <v/>
      </c>
      <c r="CH172" s="899" t="str">
        <f>_xlfn.IFNA(INDEX([1]List!AC:AC,MATCH(X172,[1]List!Y:Y,0)),"")</f>
        <v/>
      </c>
      <c r="CI172" s="900"/>
      <c r="CJ172" s="900"/>
      <c r="CK172" s="900"/>
      <c r="CL172" s="900"/>
      <c r="CM172" s="901"/>
      <c r="CN172" s="902"/>
      <c r="CO172" s="903"/>
      <c r="CP172" s="904"/>
      <c r="CQ172" s="892"/>
    </row>
    <row r="173" spans="1:95" x14ac:dyDescent="0.2">
      <c r="A173" s="894"/>
      <c r="B173" s="895"/>
      <c r="C173" s="896"/>
      <c r="D173" s="897"/>
      <c r="E173" s="897"/>
      <c r="F173" s="897"/>
      <c r="G173" s="897"/>
      <c r="H173" s="897"/>
      <c r="I173" s="897"/>
      <c r="J173" s="897"/>
      <c r="K173" s="897"/>
      <c r="L173" s="897"/>
      <c r="M173" s="897"/>
      <c r="N173" s="897"/>
      <c r="O173" s="897"/>
      <c r="P173" s="897"/>
      <c r="Q173" s="897"/>
      <c r="R173" s="897"/>
      <c r="S173" s="897"/>
      <c r="T173" s="897"/>
      <c r="U173" s="895"/>
      <c r="V173" s="852"/>
      <c r="W173" s="853"/>
      <c r="X173" s="853"/>
      <c r="Y173" s="853"/>
      <c r="Z173" s="853"/>
      <c r="AA173" s="853"/>
      <c r="AB173" s="854">
        <f>_xlfn.XLOOKUP(Table17[[#This Row],[Project Delivery Lead]],[1]List!Y:Y,[1]List!AC:AC)</f>
        <v>0</v>
      </c>
      <c r="AC173" s="853" t="str">
        <f>IF($A173="","",'[1]Core Assumptions'!$D193)</f>
        <v/>
      </c>
      <c r="AD173" s="855"/>
      <c r="AE173" s="905"/>
      <c r="AF173" s="857"/>
      <c r="AG173" s="857"/>
      <c r="AH173" s="858"/>
      <c r="AI173" s="858"/>
      <c r="AJ173" s="858"/>
      <c r="AK173" s="858" t="str">
        <f>IF($A173="","",IF('[1]Pricing Summary'!$B$31="T&amp;M","Time and Material","Fixed Fee"))</f>
        <v/>
      </c>
      <c r="AL173" s="856"/>
      <c r="AM173" s="856"/>
      <c r="AN173" s="906" t="str">
        <f>IF($A173="","",'[1]Outputs Recap'!$C$12)</f>
        <v/>
      </c>
      <c r="AO173" s="861" t="str">
        <f>IF($A173="","",VLOOKUP('[1]Outputs Recap'!$C$11,[1]List!$I:$J,2,FALSE))</f>
        <v/>
      </c>
      <c r="AP173" s="856" t="str" cm="1">
        <f t="array" ref="AP173">IF($A173="","",_xlfn.IFS('[1]Pricing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3" s="862" t="str">
        <f>IF($A173="","",_xlfn.XLOOKUP('[1]Core Assumptions'!$D$20,'[1]Other Lookups'!$AH:$AH,'[1]Other Lookups'!$AI:$AI))</f>
        <v/>
      </c>
      <c r="AR173" s="863"/>
      <c r="AS173" s="864" t="str">
        <f>IF($A173="","",'[1]Outputs Recap'!$C$13)</f>
        <v/>
      </c>
      <c r="AT173" s="907"/>
      <c r="AU173" s="907"/>
      <c r="AV173" s="907" t="str">
        <f>IF($A173="","",IFERROR(+Table17[[#This Row],[Total Contract Amount]]*Table17[[#This Row],[First-year, one-time Onboarding/Setup Fee %]],0))</f>
        <v/>
      </c>
      <c r="AW173" s="853"/>
      <c r="AX173" s="867"/>
      <c r="AY173" s="908"/>
      <c r="AZ173" s="909"/>
      <c r="BA173" s="910"/>
      <c r="BB173" s="871"/>
      <c r="BC173" s="871"/>
      <c r="BD173" s="871"/>
      <c r="BE173" s="871"/>
      <c r="BF173" s="871"/>
      <c r="BG173" s="871"/>
      <c r="BH173" s="872"/>
      <c r="BI173" s="874"/>
      <c r="BJ173" s="874"/>
      <c r="BK173" s="874"/>
      <c r="BL173" s="875"/>
      <c r="BM173" s="876"/>
      <c r="BN173" s="911"/>
      <c r="BO173" s="878"/>
      <c r="BP173" s="879"/>
      <c r="BQ173" s="880"/>
      <c r="BR173" s="881"/>
      <c r="BS173" s="882"/>
      <c r="BT173" s="883"/>
      <c r="BU173" s="884"/>
      <c r="BV173" s="884"/>
      <c r="BW173" s="884"/>
      <c r="BX173" s="884"/>
      <c r="BY173" s="884"/>
      <c r="BZ173" s="884"/>
      <c r="CA173" s="884"/>
      <c r="CB173" s="884"/>
      <c r="CC173" s="884"/>
      <c r="CD173" s="884"/>
      <c r="CE173" s="885"/>
      <c r="CF173" s="885" t="str">
        <f>IF($A173="","",IF(#REF!&lt;&gt;0,#REF!-SUM(BT173:CE173),""))</f>
        <v/>
      </c>
      <c r="CG173" s="898" t="str">
        <f>IF(ISBLANK($X173)=FALSE,"NextGenApp Advisory LLC","")</f>
        <v/>
      </c>
      <c r="CH173" s="899" t="str">
        <f>_xlfn.IFNA(INDEX([1]List!AC:AC,MATCH(X173,[1]List!Y:Y,0)),"")</f>
        <v/>
      </c>
      <c r="CI173" s="900"/>
      <c r="CJ173" s="900"/>
      <c r="CK173" s="900"/>
      <c r="CL173" s="900"/>
      <c r="CM173" s="901"/>
      <c r="CN173" s="902"/>
      <c r="CO173" s="903"/>
      <c r="CP173" s="904"/>
      <c r="CQ173" s="892"/>
    </row>
    <row r="174" spans="1:95" x14ac:dyDescent="0.2">
      <c r="A174" s="894"/>
      <c r="B174" s="895"/>
      <c r="C174" s="896"/>
      <c r="D174" s="897"/>
      <c r="E174" s="897"/>
      <c r="F174" s="897"/>
      <c r="G174" s="897"/>
      <c r="H174" s="897"/>
      <c r="I174" s="897"/>
      <c r="J174" s="897"/>
      <c r="K174" s="897"/>
      <c r="L174" s="897"/>
      <c r="M174" s="897"/>
      <c r="N174" s="897"/>
      <c r="O174" s="897"/>
      <c r="P174" s="897"/>
      <c r="Q174" s="897"/>
      <c r="R174" s="897"/>
      <c r="S174" s="897"/>
      <c r="T174" s="897"/>
      <c r="U174" s="895"/>
      <c r="V174" s="852"/>
      <c r="W174" s="853"/>
      <c r="X174" s="853"/>
      <c r="Y174" s="853"/>
      <c r="Z174" s="853"/>
      <c r="AA174" s="853"/>
      <c r="AB174" s="854">
        <f>_xlfn.XLOOKUP(Table17[[#This Row],[Project Delivery Lead]],[1]List!Y:Y,[1]List!AC:AC)</f>
        <v>0</v>
      </c>
      <c r="AC174" s="853" t="str">
        <f>IF($A174="","",'[1]Core Assumptions'!$D194)</f>
        <v/>
      </c>
      <c r="AD174" s="855"/>
      <c r="AE174" s="905"/>
      <c r="AF174" s="857"/>
      <c r="AG174" s="857"/>
      <c r="AH174" s="858"/>
      <c r="AI174" s="858"/>
      <c r="AJ174" s="858"/>
      <c r="AK174" s="858" t="str">
        <f>IF($A174="","",IF('[1]Pricing Summary'!$B$31="T&amp;M","Time and Material","Fixed Fee"))</f>
        <v/>
      </c>
      <c r="AL174" s="856"/>
      <c r="AM174" s="856"/>
      <c r="AN174" s="906" t="str">
        <f>IF($A174="","",'[1]Outputs Recap'!$C$12)</f>
        <v/>
      </c>
      <c r="AO174" s="861" t="str">
        <f>IF($A174="","",VLOOKUP('[1]Outputs Recap'!$C$11,[1]List!$I:$J,2,FALSE))</f>
        <v/>
      </c>
      <c r="AP174" s="856" t="str" cm="1">
        <f t="array" ref="AP174">IF($A174="","",_xlfn.IFS('[1]Pricing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4" s="862" t="str">
        <f>IF($A174="","",_xlfn.XLOOKUP('[1]Core Assumptions'!$D$20,'[1]Other Lookups'!$AH:$AH,'[1]Other Lookups'!$AI:$AI))</f>
        <v/>
      </c>
      <c r="AR174" s="863"/>
      <c r="AS174" s="864" t="str">
        <f>IF($A174="","",'[1]Outputs Recap'!$C$13)</f>
        <v/>
      </c>
      <c r="AT174" s="907"/>
      <c r="AU174" s="907"/>
      <c r="AV174" s="907" t="str">
        <f>IF($A174="","",IFERROR(+Table17[[#This Row],[Total Contract Amount]]*Table17[[#This Row],[First-year, one-time Onboarding/Setup Fee %]],0))</f>
        <v/>
      </c>
      <c r="AW174" s="853"/>
      <c r="AX174" s="867"/>
      <c r="AY174" s="908"/>
      <c r="AZ174" s="909"/>
      <c r="BA174" s="910"/>
      <c r="BB174" s="871"/>
      <c r="BC174" s="871"/>
      <c r="BD174" s="871"/>
      <c r="BE174" s="871"/>
      <c r="BF174" s="871"/>
      <c r="BG174" s="871"/>
      <c r="BH174" s="872"/>
      <c r="BI174" s="874"/>
      <c r="BJ174" s="874"/>
      <c r="BK174" s="874"/>
      <c r="BL174" s="875"/>
      <c r="BM174" s="876"/>
      <c r="BN174" s="911"/>
      <c r="BO174" s="878"/>
      <c r="BP174" s="879"/>
      <c r="BQ174" s="880"/>
      <c r="BR174" s="881"/>
      <c r="BS174" s="882"/>
      <c r="BT174" s="883"/>
      <c r="BU174" s="884"/>
      <c r="BV174" s="884"/>
      <c r="BW174" s="884"/>
      <c r="BX174" s="884"/>
      <c r="BY174" s="884"/>
      <c r="BZ174" s="884"/>
      <c r="CA174" s="884"/>
      <c r="CB174" s="884"/>
      <c r="CC174" s="884"/>
      <c r="CD174" s="884"/>
      <c r="CE174" s="885"/>
      <c r="CF174" s="885" t="str">
        <f>IF($A174="","",IF(#REF!&lt;&gt;0,#REF!-SUM(BT174:CE174),""))</f>
        <v/>
      </c>
      <c r="CG174" s="898" t="str">
        <f>IF(ISBLANK($X174)=FALSE,"NextGenApp Advisory LLC","")</f>
        <v/>
      </c>
      <c r="CH174" s="899" t="str">
        <f>_xlfn.IFNA(INDEX([1]List!AC:AC,MATCH(X174,[1]List!Y:Y,0)),"")</f>
        <v/>
      </c>
      <c r="CI174" s="900"/>
      <c r="CJ174" s="900"/>
      <c r="CK174" s="900"/>
      <c r="CL174" s="900"/>
      <c r="CM174" s="901"/>
      <c r="CN174" s="902"/>
      <c r="CO174" s="903"/>
      <c r="CP174" s="904"/>
      <c r="CQ174" s="892"/>
    </row>
    <row r="175" spans="1:95" x14ac:dyDescent="0.2">
      <c r="A175" s="894"/>
      <c r="B175" s="895"/>
      <c r="C175" s="896"/>
      <c r="D175" s="897"/>
      <c r="E175" s="897"/>
      <c r="F175" s="897"/>
      <c r="G175" s="897"/>
      <c r="H175" s="897"/>
      <c r="I175" s="897"/>
      <c r="J175" s="897"/>
      <c r="K175" s="897"/>
      <c r="L175" s="897"/>
      <c r="M175" s="897"/>
      <c r="N175" s="897"/>
      <c r="O175" s="897"/>
      <c r="P175" s="897"/>
      <c r="Q175" s="897"/>
      <c r="R175" s="897"/>
      <c r="S175" s="897"/>
      <c r="T175" s="897"/>
      <c r="U175" s="895"/>
      <c r="V175" s="852"/>
      <c r="W175" s="853"/>
      <c r="X175" s="853"/>
      <c r="Y175" s="853"/>
      <c r="Z175" s="853"/>
      <c r="AA175" s="853"/>
      <c r="AB175" s="854">
        <f>_xlfn.XLOOKUP(Table17[[#This Row],[Project Delivery Lead]],[1]List!Y:Y,[1]List!AC:AC)</f>
        <v>0</v>
      </c>
      <c r="AC175" s="853" t="str">
        <f>IF($A175="","",'[1]Core Assumptions'!$D195)</f>
        <v/>
      </c>
      <c r="AD175" s="855"/>
      <c r="AE175" s="905"/>
      <c r="AF175" s="857"/>
      <c r="AG175" s="857"/>
      <c r="AH175" s="858"/>
      <c r="AI175" s="858"/>
      <c r="AJ175" s="858"/>
      <c r="AK175" s="858" t="str">
        <f>IF($A175="","",IF('[1]Pricing Summary'!$B$31="T&amp;M","Time and Material","Fixed Fee"))</f>
        <v/>
      </c>
      <c r="AL175" s="856"/>
      <c r="AM175" s="856"/>
      <c r="AN175" s="906" t="str">
        <f>IF($A175="","",'[1]Outputs Recap'!$C$12)</f>
        <v/>
      </c>
      <c r="AO175" s="861" t="str">
        <f>IF($A175="","",VLOOKUP('[1]Outputs Recap'!$C$11,[1]List!$I:$J,2,FALSE))</f>
        <v/>
      </c>
      <c r="AP175" s="856" t="str" cm="1">
        <f t="array" ref="AP175">IF($A175="","",_xlfn.IFS('[1]Pricing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5" s="862" t="str">
        <f>IF($A175="","",_xlfn.XLOOKUP('[1]Core Assumptions'!$D$20,'[1]Other Lookups'!$AH:$AH,'[1]Other Lookups'!$AI:$AI))</f>
        <v/>
      </c>
      <c r="AR175" s="863"/>
      <c r="AS175" s="864" t="str">
        <f>IF($A175="","",'[1]Outputs Recap'!$C$13)</f>
        <v/>
      </c>
      <c r="AT175" s="907"/>
      <c r="AU175" s="907"/>
      <c r="AV175" s="907" t="str">
        <f>IF($A175="","",IFERROR(+Table17[[#This Row],[Total Contract Amount]]*Table17[[#This Row],[First-year, one-time Onboarding/Setup Fee %]],0))</f>
        <v/>
      </c>
      <c r="AW175" s="853"/>
      <c r="AX175" s="867"/>
      <c r="AY175" s="908"/>
      <c r="AZ175" s="909"/>
      <c r="BA175" s="910"/>
      <c r="BB175" s="871"/>
      <c r="BC175" s="871"/>
      <c r="BD175" s="871"/>
      <c r="BE175" s="871"/>
      <c r="BF175" s="871"/>
      <c r="BG175" s="871"/>
      <c r="BH175" s="872"/>
      <c r="BI175" s="874"/>
      <c r="BJ175" s="874"/>
      <c r="BK175" s="874"/>
      <c r="BL175" s="875"/>
      <c r="BM175" s="876"/>
      <c r="BN175" s="911"/>
      <c r="BO175" s="878"/>
      <c r="BP175" s="879"/>
      <c r="BQ175" s="880"/>
      <c r="BR175" s="881"/>
      <c r="BS175" s="882"/>
      <c r="BT175" s="883"/>
      <c r="BU175" s="884"/>
      <c r="BV175" s="884"/>
      <c r="BW175" s="884"/>
      <c r="BX175" s="884"/>
      <c r="BY175" s="884"/>
      <c r="BZ175" s="884"/>
      <c r="CA175" s="884"/>
      <c r="CB175" s="884"/>
      <c r="CC175" s="884"/>
      <c r="CD175" s="884"/>
      <c r="CE175" s="885"/>
      <c r="CF175" s="885" t="str">
        <f>IF($A175="","",IF(#REF!&lt;&gt;0,#REF!-SUM(BT175:CE175),""))</f>
        <v/>
      </c>
      <c r="CG175" s="898" t="str">
        <f>IF(ISBLANK($X175)=FALSE,"NextGenApp Advisory LLC","")</f>
        <v/>
      </c>
      <c r="CH175" s="899" t="str">
        <f>_xlfn.IFNA(INDEX([1]List!AC:AC,MATCH(X175,[1]List!Y:Y,0)),"")</f>
        <v/>
      </c>
      <c r="CI175" s="900"/>
      <c r="CJ175" s="900"/>
      <c r="CK175" s="900"/>
      <c r="CL175" s="900"/>
      <c r="CM175" s="901"/>
      <c r="CN175" s="902"/>
      <c r="CO175" s="903"/>
      <c r="CP175" s="904"/>
      <c r="CQ175" s="892"/>
    </row>
    <row r="176" spans="1:95" x14ac:dyDescent="0.2">
      <c r="A176" s="894"/>
      <c r="B176" s="895"/>
      <c r="C176" s="896"/>
      <c r="D176" s="897"/>
      <c r="E176" s="897"/>
      <c r="F176" s="897"/>
      <c r="G176" s="897"/>
      <c r="H176" s="897"/>
      <c r="I176" s="897"/>
      <c r="J176" s="897"/>
      <c r="K176" s="897"/>
      <c r="L176" s="897"/>
      <c r="M176" s="897"/>
      <c r="N176" s="897"/>
      <c r="O176" s="897"/>
      <c r="P176" s="897"/>
      <c r="Q176" s="897"/>
      <c r="R176" s="897"/>
      <c r="S176" s="897"/>
      <c r="T176" s="897"/>
      <c r="U176" s="895"/>
      <c r="V176" s="852"/>
      <c r="W176" s="853"/>
      <c r="X176" s="853"/>
      <c r="Y176" s="853"/>
      <c r="Z176" s="853"/>
      <c r="AA176" s="853"/>
      <c r="AB176" s="854">
        <f>_xlfn.XLOOKUP(Table17[[#This Row],[Project Delivery Lead]],[1]List!Y:Y,[1]List!AC:AC)</f>
        <v>0</v>
      </c>
      <c r="AC176" s="853" t="str">
        <f>IF($A176="","",'[1]Core Assumptions'!$D196)</f>
        <v/>
      </c>
      <c r="AD176" s="855"/>
      <c r="AE176" s="905"/>
      <c r="AF176" s="857"/>
      <c r="AG176" s="857"/>
      <c r="AH176" s="858"/>
      <c r="AI176" s="858"/>
      <c r="AJ176" s="858"/>
      <c r="AK176" s="858" t="str">
        <f>IF($A176="","",IF('[1]Pricing Summary'!$B$31="T&amp;M","Time and Material","Fixed Fee"))</f>
        <v/>
      </c>
      <c r="AL176" s="856"/>
      <c r="AM176" s="856"/>
      <c r="AN176" s="906" t="str">
        <f>IF($A176="","",'[1]Outputs Recap'!$C$12)</f>
        <v/>
      </c>
      <c r="AO176" s="861" t="str">
        <f>IF($A176="","",VLOOKUP('[1]Outputs Recap'!$C$11,[1]List!$I:$J,2,FALSE))</f>
        <v/>
      </c>
      <c r="AP176" s="856" t="str" cm="1">
        <f t="array" ref="AP176">IF($A176="","",_xlfn.IFS('[1]Pricing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6" s="862" t="str">
        <f>IF($A176="","",_xlfn.XLOOKUP('[1]Core Assumptions'!$D$20,'[1]Other Lookups'!$AH:$AH,'[1]Other Lookups'!$AI:$AI))</f>
        <v/>
      </c>
      <c r="AR176" s="863"/>
      <c r="AS176" s="864" t="str">
        <f>IF($A176="","",'[1]Outputs Recap'!$C$13)</f>
        <v/>
      </c>
      <c r="AT176" s="907"/>
      <c r="AU176" s="907"/>
      <c r="AV176" s="907" t="str">
        <f>IF($A176="","",IFERROR(+Table17[[#This Row],[Total Contract Amount]]*Table17[[#This Row],[First-year, one-time Onboarding/Setup Fee %]],0))</f>
        <v/>
      </c>
      <c r="AW176" s="853"/>
      <c r="AX176" s="867"/>
      <c r="AY176" s="908"/>
      <c r="AZ176" s="909"/>
      <c r="BA176" s="910"/>
      <c r="BB176" s="871"/>
      <c r="BC176" s="871"/>
      <c r="BD176" s="871"/>
      <c r="BE176" s="871"/>
      <c r="BF176" s="871"/>
      <c r="BG176" s="871"/>
      <c r="BH176" s="872"/>
      <c r="BI176" s="874"/>
      <c r="BJ176" s="874"/>
      <c r="BK176" s="874"/>
      <c r="BL176" s="875"/>
      <c r="BM176" s="876"/>
      <c r="BN176" s="911"/>
      <c r="BO176" s="878"/>
      <c r="BP176" s="879"/>
      <c r="BQ176" s="880"/>
      <c r="BR176" s="881"/>
      <c r="BS176" s="882"/>
      <c r="BT176" s="883"/>
      <c r="BU176" s="884"/>
      <c r="BV176" s="884"/>
      <c r="BW176" s="884"/>
      <c r="BX176" s="884"/>
      <c r="BY176" s="884"/>
      <c r="BZ176" s="884"/>
      <c r="CA176" s="884"/>
      <c r="CB176" s="884"/>
      <c r="CC176" s="884"/>
      <c r="CD176" s="884"/>
      <c r="CE176" s="885"/>
      <c r="CF176" s="885" t="str">
        <f>IF($A176="","",IF(#REF!&lt;&gt;0,#REF!-SUM(BT176:CE176),""))</f>
        <v/>
      </c>
      <c r="CG176" s="898" t="str">
        <f>IF(ISBLANK($X176)=FALSE,"NextGenApp Advisory LLC","")</f>
        <v/>
      </c>
      <c r="CH176" s="899" t="str">
        <f>_xlfn.IFNA(INDEX([1]List!AC:AC,MATCH(X176,[1]List!Y:Y,0)),"")</f>
        <v/>
      </c>
      <c r="CI176" s="900"/>
      <c r="CJ176" s="900"/>
      <c r="CK176" s="900"/>
      <c r="CL176" s="900"/>
      <c r="CM176" s="901"/>
      <c r="CN176" s="902"/>
      <c r="CO176" s="903"/>
      <c r="CP176" s="904"/>
      <c r="CQ176" s="892"/>
    </row>
    <row r="177" spans="1:95" x14ac:dyDescent="0.2">
      <c r="A177" s="894"/>
      <c r="B177" s="895"/>
      <c r="C177" s="896"/>
      <c r="D177" s="897"/>
      <c r="E177" s="897"/>
      <c r="F177" s="897"/>
      <c r="G177" s="897"/>
      <c r="H177" s="897"/>
      <c r="I177" s="897"/>
      <c r="J177" s="897"/>
      <c r="K177" s="897"/>
      <c r="L177" s="897"/>
      <c r="M177" s="897"/>
      <c r="N177" s="897"/>
      <c r="O177" s="897"/>
      <c r="P177" s="897"/>
      <c r="Q177" s="897"/>
      <c r="R177" s="897"/>
      <c r="S177" s="897"/>
      <c r="T177" s="897"/>
      <c r="U177" s="895"/>
      <c r="V177" s="852"/>
      <c r="W177" s="853"/>
      <c r="X177" s="853"/>
      <c r="Y177" s="853"/>
      <c r="Z177" s="853"/>
      <c r="AA177" s="853"/>
      <c r="AB177" s="854">
        <f>_xlfn.XLOOKUP(Table17[[#This Row],[Project Delivery Lead]],[1]List!Y:Y,[1]List!AC:AC)</f>
        <v>0</v>
      </c>
      <c r="AC177" s="853" t="str">
        <f>IF($A177="","",'[1]Core Assumptions'!$D197)</f>
        <v/>
      </c>
      <c r="AD177" s="855"/>
      <c r="AE177" s="905"/>
      <c r="AF177" s="857"/>
      <c r="AG177" s="857"/>
      <c r="AH177" s="858"/>
      <c r="AI177" s="858"/>
      <c r="AJ177" s="858"/>
      <c r="AK177" s="858" t="str">
        <f>IF($A177="","",IF('[1]Pricing Summary'!$B$31="T&amp;M","Time and Material","Fixed Fee"))</f>
        <v/>
      </c>
      <c r="AL177" s="856"/>
      <c r="AM177" s="856"/>
      <c r="AN177" s="906" t="str">
        <f>IF($A177="","",'[1]Outputs Recap'!$C$12)</f>
        <v/>
      </c>
      <c r="AO177" s="861" t="str">
        <f>IF($A177="","",VLOOKUP('[1]Outputs Recap'!$C$11,[1]List!$I:$J,2,FALSE))</f>
        <v/>
      </c>
      <c r="AP177" s="856" t="str" cm="1">
        <f t="array" ref="AP177">IF($A177="","",_xlfn.IFS('[1]Pricing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7" s="862" t="str">
        <f>IF($A177="","",_xlfn.XLOOKUP('[1]Core Assumptions'!$D$20,'[1]Other Lookups'!$AH:$AH,'[1]Other Lookups'!$AI:$AI))</f>
        <v/>
      </c>
      <c r="AR177" s="863"/>
      <c r="AS177" s="864" t="str">
        <f>IF($A177="","",'[1]Outputs Recap'!$C$13)</f>
        <v/>
      </c>
      <c r="AT177" s="907"/>
      <c r="AU177" s="907"/>
      <c r="AV177" s="907" t="str">
        <f>IF($A177="","",IFERROR(+Table17[[#This Row],[Total Contract Amount]]*Table17[[#This Row],[First-year, one-time Onboarding/Setup Fee %]],0))</f>
        <v/>
      </c>
      <c r="AW177" s="853"/>
      <c r="AX177" s="867"/>
      <c r="AY177" s="908"/>
      <c r="AZ177" s="909"/>
      <c r="BA177" s="910"/>
      <c r="BB177" s="871"/>
      <c r="BC177" s="871"/>
      <c r="BD177" s="871"/>
      <c r="BE177" s="871"/>
      <c r="BF177" s="871"/>
      <c r="BG177" s="871"/>
      <c r="BH177" s="872"/>
      <c r="BI177" s="874"/>
      <c r="BJ177" s="874"/>
      <c r="BK177" s="874"/>
      <c r="BL177" s="875"/>
      <c r="BM177" s="876"/>
      <c r="BN177" s="911"/>
      <c r="BO177" s="878"/>
      <c r="BP177" s="879"/>
      <c r="BQ177" s="880"/>
      <c r="BR177" s="881"/>
      <c r="BS177" s="882"/>
      <c r="BT177" s="883"/>
      <c r="BU177" s="884"/>
      <c r="BV177" s="884"/>
      <c r="BW177" s="884"/>
      <c r="BX177" s="884"/>
      <c r="BY177" s="884"/>
      <c r="BZ177" s="884"/>
      <c r="CA177" s="884"/>
      <c r="CB177" s="884"/>
      <c r="CC177" s="884"/>
      <c r="CD177" s="884"/>
      <c r="CE177" s="885"/>
      <c r="CF177" s="885" t="str">
        <f>IF($A177="","",IF(#REF!&lt;&gt;0,#REF!-SUM(BT177:CE177),""))</f>
        <v/>
      </c>
      <c r="CG177" s="898" t="str">
        <f>IF(ISBLANK($X177)=FALSE,"NextGenApp Advisory LLC","")</f>
        <v/>
      </c>
      <c r="CH177" s="899" t="str">
        <f>_xlfn.IFNA(INDEX([1]List!AC:AC,MATCH(X177,[1]List!Y:Y,0)),"")</f>
        <v/>
      </c>
      <c r="CI177" s="900"/>
      <c r="CJ177" s="900"/>
      <c r="CK177" s="900"/>
      <c r="CL177" s="900"/>
      <c r="CM177" s="901"/>
      <c r="CN177" s="902"/>
      <c r="CO177" s="903"/>
      <c r="CP177" s="904"/>
      <c r="CQ177" s="892"/>
    </row>
    <row r="178" spans="1:95" x14ac:dyDescent="0.2">
      <c r="A178" s="894"/>
      <c r="B178" s="895"/>
      <c r="C178" s="896"/>
      <c r="D178" s="897"/>
      <c r="E178" s="897"/>
      <c r="F178" s="897"/>
      <c r="G178" s="897"/>
      <c r="H178" s="897"/>
      <c r="I178" s="897"/>
      <c r="J178" s="897"/>
      <c r="K178" s="897"/>
      <c r="L178" s="897"/>
      <c r="M178" s="897"/>
      <c r="N178" s="897"/>
      <c r="O178" s="897"/>
      <c r="P178" s="897"/>
      <c r="Q178" s="897"/>
      <c r="R178" s="897"/>
      <c r="S178" s="897"/>
      <c r="T178" s="897"/>
      <c r="U178" s="895"/>
      <c r="V178" s="852"/>
      <c r="W178" s="853"/>
      <c r="X178" s="853"/>
      <c r="Y178" s="853"/>
      <c r="Z178" s="853"/>
      <c r="AA178" s="853"/>
      <c r="AB178" s="854">
        <f>_xlfn.XLOOKUP(Table17[[#This Row],[Project Delivery Lead]],[1]List!Y:Y,[1]List!AC:AC)</f>
        <v>0</v>
      </c>
      <c r="AC178" s="853" t="str">
        <f>IF($A178="","",'[1]Core Assumptions'!$D198)</f>
        <v/>
      </c>
      <c r="AD178" s="855"/>
      <c r="AE178" s="905"/>
      <c r="AF178" s="857"/>
      <c r="AG178" s="857"/>
      <c r="AH178" s="858"/>
      <c r="AI178" s="858"/>
      <c r="AJ178" s="858"/>
      <c r="AK178" s="858" t="str">
        <f>IF($A178="","",IF('[1]Pricing Summary'!$B$31="T&amp;M","Time and Material","Fixed Fee"))</f>
        <v/>
      </c>
      <c r="AL178" s="856"/>
      <c r="AM178" s="856"/>
      <c r="AN178" s="906" t="str">
        <f>IF($A178="","",'[1]Outputs Recap'!$C$12)</f>
        <v/>
      </c>
      <c r="AO178" s="861" t="str">
        <f>IF($A178="","",VLOOKUP('[1]Outputs Recap'!$C$11,[1]List!$I:$J,2,FALSE))</f>
        <v/>
      </c>
      <c r="AP178" s="856" t="str" cm="1">
        <f t="array" ref="AP178">IF($A178="","",_xlfn.IFS('[1]Pricing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8" s="862" t="str">
        <f>IF($A178="","",_xlfn.XLOOKUP('[1]Core Assumptions'!$D$20,'[1]Other Lookups'!$AH:$AH,'[1]Other Lookups'!$AI:$AI))</f>
        <v/>
      </c>
      <c r="AR178" s="863"/>
      <c r="AS178" s="864" t="str">
        <f>IF($A178="","",'[1]Outputs Recap'!$C$13)</f>
        <v/>
      </c>
      <c r="AT178" s="907"/>
      <c r="AU178" s="907"/>
      <c r="AV178" s="907" t="str">
        <f>IF($A178="","",IFERROR(+Table17[[#This Row],[Total Contract Amount]]*Table17[[#This Row],[First-year, one-time Onboarding/Setup Fee %]],0))</f>
        <v/>
      </c>
      <c r="AW178" s="853"/>
      <c r="AX178" s="867"/>
      <c r="AY178" s="908"/>
      <c r="AZ178" s="909"/>
      <c r="BA178" s="910"/>
      <c r="BB178" s="871"/>
      <c r="BC178" s="871"/>
      <c r="BD178" s="871"/>
      <c r="BE178" s="871"/>
      <c r="BF178" s="871"/>
      <c r="BG178" s="871"/>
      <c r="BH178" s="872"/>
      <c r="BI178" s="874"/>
      <c r="BJ178" s="874"/>
      <c r="BK178" s="874"/>
      <c r="BL178" s="875"/>
      <c r="BM178" s="876"/>
      <c r="BN178" s="911"/>
      <c r="BO178" s="878"/>
      <c r="BP178" s="879"/>
      <c r="BQ178" s="880"/>
      <c r="BR178" s="881"/>
      <c r="BS178" s="882"/>
      <c r="BT178" s="883"/>
      <c r="BU178" s="884"/>
      <c r="BV178" s="884"/>
      <c r="BW178" s="884"/>
      <c r="BX178" s="884"/>
      <c r="BY178" s="884"/>
      <c r="BZ178" s="884"/>
      <c r="CA178" s="884"/>
      <c r="CB178" s="884"/>
      <c r="CC178" s="884"/>
      <c r="CD178" s="884"/>
      <c r="CE178" s="885"/>
      <c r="CF178" s="885" t="str">
        <f>IF($A178="","",IF(#REF!&lt;&gt;0,#REF!-SUM(BT178:CE178),""))</f>
        <v/>
      </c>
      <c r="CG178" s="898" t="str">
        <f>IF(ISBLANK($X178)=FALSE,"NextGenApp Advisory LLC","")</f>
        <v/>
      </c>
      <c r="CH178" s="899" t="str">
        <f>_xlfn.IFNA(INDEX([1]List!AC:AC,MATCH(X178,[1]List!Y:Y,0)),"")</f>
        <v/>
      </c>
      <c r="CI178" s="900"/>
      <c r="CJ178" s="900"/>
      <c r="CK178" s="900"/>
      <c r="CL178" s="900"/>
      <c r="CM178" s="901"/>
      <c r="CN178" s="902"/>
      <c r="CO178" s="903"/>
      <c r="CP178" s="904"/>
      <c r="CQ178" s="892"/>
    </row>
    <row r="179" spans="1:95" x14ac:dyDescent="0.2">
      <c r="A179" s="894"/>
      <c r="B179" s="895"/>
      <c r="C179" s="896"/>
      <c r="D179" s="897"/>
      <c r="E179" s="897"/>
      <c r="F179" s="897"/>
      <c r="G179" s="897"/>
      <c r="H179" s="897"/>
      <c r="I179" s="897"/>
      <c r="J179" s="897"/>
      <c r="K179" s="897"/>
      <c r="L179" s="897"/>
      <c r="M179" s="897"/>
      <c r="N179" s="897"/>
      <c r="O179" s="897"/>
      <c r="P179" s="897"/>
      <c r="Q179" s="897"/>
      <c r="R179" s="897"/>
      <c r="S179" s="897"/>
      <c r="T179" s="897"/>
      <c r="U179" s="895"/>
      <c r="V179" s="852"/>
      <c r="W179" s="853"/>
      <c r="X179" s="853"/>
      <c r="Y179" s="853"/>
      <c r="Z179" s="853"/>
      <c r="AA179" s="853"/>
      <c r="AB179" s="854">
        <f>_xlfn.XLOOKUP(Table17[[#This Row],[Project Delivery Lead]],[1]List!Y:Y,[1]List!AC:AC)</f>
        <v>0</v>
      </c>
      <c r="AC179" s="853" t="str">
        <f>IF($A179="","",'[1]Core Assumptions'!$D199)</f>
        <v/>
      </c>
      <c r="AD179" s="855"/>
      <c r="AE179" s="905"/>
      <c r="AF179" s="857"/>
      <c r="AG179" s="857"/>
      <c r="AH179" s="858"/>
      <c r="AI179" s="858"/>
      <c r="AJ179" s="858"/>
      <c r="AK179" s="858" t="str">
        <f>IF($A179="","",IF('[1]Pricing Summary'!$B$31="T&amp;M","Time and Material","Fixed Fee"))</f>
        <v/>
      </c>
      <c r="AL179" s="856"/>
      <c r="AM179" s="856"/>
      <c r="AN179" s="906" t="str">
        <f>IF($A179="","",'[1]Outputs Recap'!$C$12)</f>
        <v/>
      </c>
      <c r="AO179" s="861" t="str">
        <f>IF($A179="","",VLOOKUP('[1]Outputs Recap'!$C$11,[1]List!$I:$J,2,FALSE))</f>
        <v/>
      </c>
      <c r="AP179" s="856" t="str" cm="1">
        <f t="array" ref="AP179">IF($A179="","",_xlfn.IFS('[1]Pricing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79" s="862" t="str">
        <f>IF($A179="","",_xlfn.XLOOKUP('[1]Core Assumptions'!$D$20,'[1]Other Lookups'!$AH:$AH,'[1]Other Lookups'!$AI:$AI))</f>
        <v/>
      </c>
      <c r="AR179" s="863"/>
      <c r="AS179" s="864" t="str">
        <f>IF($A179="","",'[1]Outputs Recap'!$C$13)</f>
        <v/>
      </c>
      <c r="AT179" s="907"/>
      <c r="AU179" s="907"/>
      <c r="AV179" s="907" t="str">
        <f>IF($A179="","",IFERROR(+Table17[[#This Row],[Total Contract Amount]]*Table17[[#This Row],[First-year, one-time Onboarding/Setup Fee %]],0))</f>
        <v/>
      </c>
      <c r="AW179" s="853"/>
      <c r="AX179" s="867"/>
      <c r="AY179" s="908"/>
      <c r="AZ179" s="909"/>
      <c r="BA179" s="910"/>
      <c r="BB179" s="871"/>
      <c r="BC179" s="871"/>
      <c r="BD179" s="871"/>
      <c r="BE179" s="871"/>
      <c r="BF179" s="871"/>
      <c r="BG179" s="871"/>
      <c r="BH179" s="872"/>
      <c r="BI179" s="874"/>
      <c r="BJ179" s="874"/>
      <c r="BK179" s="874"/>
      <c r="BL179" s="875"/>
      <c r="BM179" s="876"/>
      <c r="BN179" s="911"/>
      <c r="BO179" s="878"/>
      <c r="BP179" s="879"/>
      <c r="BQ179" s="880"/>
      <c r="BR179" s="881"/>
      <c r="BS179" s="882"/>
      <c r="BT179" s="883"/>
      <c r="BU179" s="884"/>
      <c r="BV179" s="884"/>
      <c r="BW179" s="884"/>
      <c r="BX179" s="884"/>
      <c r="BY179" s="884"/>
      <c r="BZ179" s="884"/>
      <c r="CA179" s="884"/>
      <c r="CB179" s="884"/>
      <c r="CC179" s="884"/>
      <c r="CD179" s="884"/>
      <c r="CE179" s="885"/>
      <c r="CF179" s="885" t="str">
        <f>IF($A179="","",IF(#REF!&lt;&gt;0,#REF!-SUM(BT179:CE179),""))</f>
        <v/>
      </c>
      <c r="CG179" s="898" t="str">
        <f>IF(ISBLANK($X179)=FALSE,"NextGenApp Advisory LLC","")</f>
        <v/>
      </c>
      <c r="CH179" s="899" t="str">
        <f>_xlfn.IFNA(INDEX([1]List!AC:AC,MATCH(X179,[1]List!Y:Y,0)),"")</f>
        <v/>
      </c>
      <c r="CI179" s="900"/>
      <c r="CJ179" s="900"/>
      <c r="CK179" s="900"/>
      <c r="CL179" s="900"/>
      <c r="CM179" s="901"/>
      <c r="CN179" s="902"/>
      <c r="CO179" s="903"/>
      <c r="CP179" s="904"/>
      <c r="CQ179" s="892"/>
    </row>
    <row r="180" spans="1:95" x14ac:dyDescent="0.2">
      <c r="A180" s="894"/>
      <c r="B180" s="895"/>
      <c r="C180" s="896"/>
      <c r="D180" s="897"/>
      <c r="E180" s="897"/>
      <c r="F180" s="897"/>
      <c r="G180" s="897"/>
      <c r="H180" s="897"/>
      <c r="I180" s="897"/>
      <c r="J180" s="897"/>
      <c r="K180" s="897"/>
      <c r="L180" s="897"/>
      <c r="M180" s="897"/>
      <c r="N180" s="897"/>
      <c r="O180" s="897"/>
      <c r="P180" s="897"/>
      <c r="Q180" s="897"/>
      <c r="R180" s="897"/>
      <c r="S180" s="897"/>
      <c r="T180" s="897"/>
      <c r="U180" s="895"/>
      <c r="V180" s="852"/>
      <c r="W180" s="853"/>
      <c r="X180" s="853"/>
      <c r="Y180" s="853"/>
      <c r="Z180" s="853"/>
      <c r="AA180" s="853"/>
      <c r="AB180" s="854">
        <f>_xlfn.XLOOKUP(Table17[[#This Row],[Project Delivery Lead]],[1]List!Y:Y,[1]List!AC:AC)</f>
        <v>0</v>
      </c>
      <c r="AC180" s="853" t="str">
        <f>IF($A180="","",'[1]Core Assumptions'!$D200)</f>
        <v/>
      </c>
      <c r="AD180" s="855"/>
      <c r="AE180" s="905"/>
      <c r="AF180" s="857"/>
      <c r="AG180" s="857"/>
      <c r="AH180" s="858"/>
      <c r="AI180" s="858"/>
      <c r="AJ180" s="858"/>
      <c r="AK180" s="858" t="str">
        <f>IF($A180="","",IF('[1]Pricing Summary'!$B$31="T&amp;M","Time and Material","Fixed Fee"))</f>
        <v/>
      </c>
      <c r="AL180" s="856"/>
      <c r="AM180" s="856"/>
      <c r="AN180" s="906" t="str">
        <f>IF($A180="","",'[1]Outputs Recap'!$C$12)</f>
        <v/>
      </c>
      <c r="AO180" s="861" t="str">
        <f>IF($A180="","",VLOOKUP('[1]Outputs Recap'!$C$11,[1]List!$I:$J,2,FALSE))</f>
        <v/>
      </c>
      <c r="AP180" s="856" t="str" cm="1">
        <f t="array" ref="AP180">IF($A180="","",_xlfn.IFS('[1]Pricing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0" s="862" t="str">
        <f>IF($A180="","",_xlfn.XLOOKUP('[1]Core Assumptions'!$D$20,'[1]Other Lookups'!$AH:$AH,'[1]Other Lookups'!$AI:$AI))</f>
        <v/>
      </c>
      <c r="AR180" s="863"/>
      <c r="AS180" s="864" t="str">
        <f>IF($A180="","",'[1]Outputs Recap'!$C$13)</f>
        <v/>
      </c>
      <c r="AT180" s="907"/>
      <c r="AU180" s="907"/>
      <c r="AV180" s="907" t="str">
        <f>IF($A180="","",IFERROR(+Table17[[#This Row],[Total Contract Amount]]*Table17[[#This Row],[First-year, one-time Onboarding/Setup Fee %]],0))</f>
        <v/>
      </c>
      <c r="AW180" s="853"/>
      <c r="AX180" s="867"/>
      <c r="AY180" s="908"/>
      <c r="AZ180" s="909"/>
      <c r="BA180" s="910"/>
      <c r="BB180" s="871"/>
      <c r="BC180" s="871"/>
      <c r="BD180" s="871"/>
      <c r="BE180" s="871"/>
      <c r="BF180" s="871"/>
      <c r="BG180" s="871"/>
      <c r="BH180" s="872"/>
      <c r="BI180" s="874"/>
      <c r="BJ180" s="874"/>
      <c r="BK180" s="874"/>
      <c r="BL180" s="875"/>
      <c r="BM180" s="876"/>
      <c r="BN180" s="911"/>
      <c r="BO180" s="878"/>
      <c r="BP180" s="879"/>
      <c r="BQ180" s="880"/>
      <c r="BR180" s="881"/>
      <c r="BS180" s="882"/>
      <c r="BT180" s="883"/>
      <c r="BU180" s="884"/>
      <c r="BV180" s="884"/>
      <c r="BW180" s="884"/>
      <c r="BX180" s="884"/>
      <c r="BY180" s="884"/>
      <c r="BZ180" s="884"/>
      <c r="CA180" s="884"/>
      <c r="CB180" s="884"/>
      <c r="CC180" s="884"/>
      <c r="CD180" s="884"/>
      <c r="CE180" s="885"/>
      <c r="CF180" s="885" t="str">
        <f>IF($A180="","",IF(#REF!&lt;&gt;0,#REF!-SUM(BT180:CE180),""))</f>
        <v/>
      </c>
      <c r="CG180" s="898" t="str">
        <f>IF(ISBLANK($X180)=FALSE,"NextGenApp Advisory LLC","")</f>
        <v/>
      </c>
      <c r="CH180" s="899" t="str">
        <f>_xlfn.IFNA(INDEX([1]List!AC:AC,MATCH(X180,[1]List!Y:Y,0)),"")</f>
        <v/>
      </c>
      <c r="CI180" s="900"/>
      <c r="CJ180" s="900"/>
      <c r="CK180" s="900"/>
      <c r="CL180" s="900"/>
      <c r="CM180" s="901"/>
      <c r="CN180" s="902"/>
      <c r="CO180" s="903"/>
      <c r="CP180" s="904"/>
      <c r="CQ180" s="892"/>
    </row>
    <row r="181" spans="1:95" x14ac:dyDescent="0.2">
      <c r="A181" s="894"/>
      <c r="B181" s="895"/>
      <c r="C181" s="896"/>
      <c r="D181" s="897"/>
      <c r="E181" s="897"/>
      <c r="F181" s="897"/>
      <c r="G181" s="897"/>
      <c r="H181" s="897"/>
      <c r="I181" s="897"/>
      <c r="J181" s="897"/>
      <c r="K181" s="897"/>
      <c r="L181" s="897"/>
      <c r="M181" s="897"/>
      <c r="N181" s="897"/>
      <c r="O181" s="897"/>
      <c r="P181" s="897"/>
      <c r="Q181" s="897"/>
      <c r="R181" s="897"/>
      <c r="S181" s="897"/>
      <c r="T181" s="897"/>
      <c r="U181" s="895"/>
      <c r="V181" s="852"/>
      <c r="W181" s="853"/>
      <c r="X181" s="853"/>
      <c r="Y181" s="853"/>
      <c r="Z181" s="853"/>
      <c r="AA181" s="853"/>
      <c r="AB181" s="854">
        <f>_xlfn.XLOOKUP(Table17[[#This Row],[Project Delivery Lead]],[1]List!Y:Y,[1]List!AC:AC)</f>
        <v>0</v>
      </c>
      <c r="AC181" s="853" t="str">
        <f>IF($A181="","",'[1]Core Assumptions'!$D201)</f>
        <v/>
      </c>
      <c r="AD181" s="855"/>
      <c r="AE181" s="905"/>
      <c r="AF181" s="857"/>
      <c r="AG181" s="857"/>
      <c r="AH181" s="858"/>
      <c r="AI181" s="858"/>
      <c r="AJ181" s="858"/>
      <c r="AK181" s="858" t="str">
        <f>IF($A181="","",IF('[1]Pricing Summary'!$B$31="T&amp;M","Time and Material","Fixed Fee"))</f>
        <v/>
      </c>
      <c r="AL181" s="856"/>
      <c r="AM181" s="856"/>
      <c r="AN181" s="906" t="str">
        <f>IF($A181="","",'[1]Outputs Recap'!$C$12)</f>
        <v/>
      </c>
      <c r="AO181" s="861" t="str">
        <f>IF($A181="","",VLOOKUP('[1]Outputs Recap'!$C$11,[1]List!$I:$J,2,FALSE))</f>
        <v/>
      </c>
      <c r="AP181" s="856" t="str" cm="1">
        <f t="array" ref="AP181">IF($A181="","",_xlfn.IFS('[1]Pricing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1" s="862" t="str">
        <f>IF($A181="","",_xlfn.XLOOKUP('[1]Core Assumptions'!$D$20,'[1]Other Lookups'!$AH:$AH,'[1]Other Lookups'!$AI:$AI))</f>
        <v/>
      </c>
      <c r="AR181" s="863"/>
      <c r="AS181" s="864" t="str">
        <f>IF($A181="","",'[1]Outputs Recap'!$C$13)</f>
        <v/>
      </c>
      <c r="AT181" s="907"/>
      <c r="AU181" s="907"/>
      <c r="AV181" s="907" t="str">
        <f>IF($A181="","",IFERROR(+Table17[[#This Row],[Total Contract Amount]]*Table17[[#This Row],[First-year, one-time Onboarding/Setup Fee %]],0))</f>
        <v/>
      </c>
      <c r="AW181" s="853"/>
      <c r="AX181" s="867"/>
      <c r="AY181" s="908"/>
      <c r="AZ181" s="909"/>
      <c r="BA181" s="910"/>
      <c r="BB181" s="871"/>
      <c r="BC181" s="871"/>
      <c r="BD181" s="871"/>
      <c r="BE181" s="871"/>
      <c r="BF181" s="871"/>
      <c r="BG181" s="871"/>
      <c r="BH181" s="872"/>
      <c r="BI181" s="874"/>
      <c r="BJ181" s="874"/>
      <c r="BK181" s="874"/>
      <c r="BL181" s="875"/>
      <c r="BM181" s="876"/>
      <c r="BN181" s="911"/>
      <c r="BO181" s="878"/>
      <c r="BP181" s="879"/>
      <c r="BQ181" s="880"/>
      <c r="BR181" s="881"/>
      <c r="BS181" s="882"/>
      <c r="BT181" s="883"/>
      <c r="BU181" s="884"/>
      <c r="BV181" s="884"/>
      <c r="BW181" s="884"/>
      <c r="BX181" s="884"/>
      <c r="BY181" s="884"/>
      <c r="BZ181" s="884"/>
      <c r="CA181" s="884"/>
      <c r="CB181" s="884"/>
      <c r="CC181" s="884"/>
      <c r="CD181" s="884"/>
      <c r="CE181" s="885"/>
      <c r="CF181" s="885" t="str">
        <f>IF($A181="","",IF(#REF!&lt;&gt;0,#REF!-SUM(BT181:CE181),""))</f>
        <v/>
      </c>
      <c r="CG181" s="898" t="str">
        <f>IF(ISBLANK($X181)=FALSE,"NextGenApp Advisory LLC","")</f>
        <v/>
      </c>
      <c r="CH181" s="899" t="str">
        <f>_xlfn.IFNA(INDEX([1]List!AC:AC,MATCH(X181,[1]List!Y:Y,0)),"")</f>
        <v/>
      </c>
      <c r="CI181" s="900"/>
      <c r="CJ181" s="900"/>
      <c r="CK181" s="900"/>
      <c r="CL181" s="900"/>
      <c r="CM181" s="901"/>
      <c r="CN181" s="902"/>
      <c r="CO181" s="903"/>
      <c r="CP181" s="904"/>
      <c r="CQ181" s="892"/>
    </row>
    <row r="182" spans="1:95" x14ac:dyDescent="0.2">
      <c r="A182" s="894"/>
      <c r="B182" s="895"/>
      <c r="C182" s="896"/>
      <c r="D182" s="897"/>
      <c r="E182" s="897"/>
      <c r="F182" s="897"/>
      <c r="G182" s="897"/>
      <c r="H182" s="897"/>
      <c r="I182" s="897"/>
      <c r="J182" s="897"/>
      <c r="K182" s="897"/>
      <c r="L182" s="897"/>
      <c r="M182" s="897"/>
      <c r="N182" s="897"/>
      <c r="O182" s="897"/>
      <c r="P182" s="897"/>
      <c r="Q182" s="897"/>
      <c r="R182" s="897"/>
      <c r="S182" s="897"/>
      <c r="T182" s="897"/>
      <c r="U182" s="895"/>
      <c r="V182" s="852"/>
      <c r="W182" s="853"/>
      <c r="X182" s="853"/>
      <c r="Y182" s="853"/>
      <c r="Z182" s="853"/>
      <c r="AA182" s="853"/>
      <c r="AB182" s="854">
        <f>_xlfn.XLOOKUP(Table17[[#This Row],[Project Delivery Lead]],[1]List!Y:Y,[1]List!AC:AC)</f>
        <v>0</v>
      </c>
      <c r="AC182" s="853" t="str">
        <f>IF($A182="","",'[1]Core Assumptions'!$D202)</f>
        <v/>
      </c>
      <c r="AD182" s="855"/>
      <c r="AE182" s="905"/>
      <c r="AF182" s="857"/>
      <c r="AG182" s="857"/>
      <c r="AH182" s="858"/>
      <c r="AI182" s="858"/>
      <c r="AJ182" s="858"/>
      <c r="AK182" s="858" t="str">
        <f>IF($A182="","",IF('[1]Pricing Summary'!$B$31="T&amp;M","Time and Material","Fixed Fee"))</f>
        <v/>
      </c>
      <c r="AL182" s="856"/>
      <c r="AM182" s="856"/>
      <c r="AN182" s="906" t="str">
        <f>IF($A182="","",'[1]Outputs Recap'!$C$12)</f>
        <v/>
      </c>
      <c r="AO182" s="861" t="str">
        <f>IF($A182="","",VLOOKUP('[1]Outputs Recap'!$C$11,[1]List!$I:$J,2,FALSE))</f>
        <v/>
      </c>
      <c r="AP182" s="856" t="str" cm="1">
        <f t="array" ref="AP182">IF($A182="","",_xlfn.IFS('[1]Pricing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2" s="862" t="str">
        <f>IF($A182="","",_xlfn.XLOOKUP('[1]Core Assumptions'!$D$20,'[1]Other Lookups'!$AH:$AH,'[1]Other Lookups'!$AI:$AI))</f>
        <v/>
      </c>
      <c r="AR182" s="863"/>
      <c r="AS182" s="864" t="str">
        <f>IF($A182="","",'[1]Outputs Recap'!$C$13)</f>
        <v/>
      </c>
      <c r="AT182" s="907"/>
      <c r="AU182" s="907"/>
      <c r="AV182" s="907" t="str">
        <f>IF($A182="","",IFERROR(+Table17[[#This Row],[Total Contract Amount]]*Table17[[#This Row],[First-year, one-time Onboarding/Setup Fee %]],0))</f>
        <v/>
      </c>
      <c r="AW182" s="853"/>
      <c r="AX182" s="867"/>
      <c r="AY182" s="908"/>
      <c r="AZ182" s="909"/>
      <c r="BA182" s="910"/>
      <c r="BB182" s="871"/>
      <c r="BC182" s="871"/>
      <c r="BD182" s="871"/>
      <c r="BE182" s="871"/>
      <c r="BF182" s="871"/>
      <c r="BG182" s="871"/>
      <c r="BH182" s="872"/>
      <c r="BI182" s="874"/>
      <c r="BJ182" s="874"/>
      <c r="BK182" s="874"/>
      <c r="BL182" s="875"/>
      <c r="BM182" s="876"/>
      <c r="BN182" s="911"/>
      <c r="BO182" s="878"/>
      <c r="BP182" s="879"/>
      <c r="BQ182" s="880"/>
      <c r="BR182" s="881"/>
      <c r="BS182" s="882"/>
      <c r="BT182" s="883"/>
      <c r="BU182" s="884"/>
      <c r="BV182" s="884"/>
      <c r="BW182" s="884"/>
      <c r="BX182" s="884"/>
      <c r="BY182" s="884"/>
      <c r="BZ182" s="884"/>
      <c r="CA182" s="884"/>
      <c r="CB182" s="884"/>
      <c r="CC182" s="884"/>
      <c r="CD182" s="884"/>
      <c r="CE182" s="885"/>
      <c r="CF182" s="885" t="str">
        <f>IF($A182="","",IF(#REF!&lt;&gt;0,#REF!-SUM(BT182:CE182),""))</f>
        <v/>
      </c>
      <c r="CG182" s="898" t="str">
        <f>IF(ISBLANK($X182)=FALSE,"NextGenApp Advisory LLC","")</f>
        <v/>
      </c>
      <c r="CH182" s="899" t="str">
        <f>_xlfn.IFNA(INDEX([1]List!AC:AC,MATCH(X182,[1]List!Y:Y,0)),"")</f>
        <v/>
      </c>
      <c r="CI182" s="900"/>
      <c r="CJ182" s="900"/>
      <c r="CK182" s="900"/>
      <c r="CL182" s="900"/>
      <c r="CM182" s="901"/>
      <c r="CN182" s="902"/>
      <c r="CO182" s="903"/>
      <c r="CP182" s="904"/>
      <c r="CQ182" s="892"/>
    </row>
    <row r="183" spans="1:95" x14ac:dyDescent="0.2">
      <c r="A183" s="894"/>
      <c r="B183" s="895"/>
      <c r="C183" s="896"/>
      <c r="D183" s="897"/>
      <c r="E183" s="897"/>
      <c r="F183" s="897"/>
      <c r="G183" s="897"/>
      <c r="H183" s="897"/>
      <c r="I183" s="897"/>
      <c r="J183" s="897"/>
      <c r="K183" s="897"/>
      <c r="L183" s="897"/>
      <c r="M183" s="897"/>
      <c r="N183" s="897"/>
      <c r="O183" s="897"/>
      <c r="P183" s="897"/>
      <c r="Q183" s="897"/>
      <c r="R183" s="897"/>
      <c r="S183" s="897"/>
      <c r="T183" s="897"/>
      <c r="U183" s="895"/>
      <c r="V183" s="852"/>
      <c r="W183" s="853"/>
      <c r="X183" s="853"/>
      <c r="Y183" s="853"/>
      <c r="Z183" s="853"/>
      <c r="AA183" s="853"/>
      <c r="AB183" s="854">
        <f>_xlfn.XLOOKUP(Table17[[#This Row],[Project Delivery Lead]],[1]List!Y:Y,[1]List!AC:AC)</f>
        <v>0</v>
      </c>
      <c r="AC183" s="853" t="str">
        <f>IF($A183="","",'[1]Core Assumptions'!$D203)</f>
        <v/>
      </c>
      <c r="AD183" s="855"/>
      <c r="AE183" s="905"/>
      <c r="AF183" s="857"/>
      <c r="AG183" s="857"/>
      <c r="AH183" s="858"/>
      <c r="AI183" s="858"/>
      <c r="AJ183" s="858"/>
      <c r="AK183" s="858" t="str">
        <f>IF($A183="","",IF('[1]Pricing Summary'!$B$31="T&amp;M","Time and Material","Fixed Fee"))</f>
        <v/>
      </c>
      <c r="AL183" s="856"/>
      <c r="AM183" s="856"/>
      <c r="AN183" s="906" t="str">
        <f>IF($A183="","",'[1]Outputs Recap'!$C$12)</f>
        <v/>
      </c>
      <c r="AO183" s="861" t="str">
        <f>IF($A183="","",VLOOKUP('[1]Outputs Recap'!$C$11,[1]List!$I:$J,2,FALSE))</f>
        <v/>
      </c>
      <c r="AP183" s="856" t="str" cm="1">
        <f t="array" ref="AP183">IF($A183="","",_xlfn.IFS('[1]Pricing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3" s="862" t="str">
        <f>IF($A183="","",_xlfn.XLOOKUP('[1]Core Assumptions'!$D$20,'[1]Other Lookups'!$AH:$AH,'[1]Other Lookups'!$AI:$AI))</f>
        <v/>
      </c>
      <c r="AR183" s="863"/>
      <c r="AS183" s="864" t="str">
        <f>IF($A183="","",'[1]Outputs Recap'!$C$13)</f>
        <v/>
      </c>
      <c r="AT183" s="907"/>
      <c r="AU183" s="907"/>
      <c r="AV183" s="907" t="str">
        <f>IF($A183="","",IFERROR(+Table17[[#This Row],[Total Contract Amount]]*Table17[[#This Row],[First-year, one-time Onboarding/Setup Fee %]],0))</f>
        <v/>
      </c>
      <c r="AW183" s="853"/>
      <c r="AX183" s="867"/>
      <c r="AY183" s="908"/>
      <c r="AZ183" s="909"/>
      <c r="BA183" s="910"/>
      <c r="BB183" s="871"/>
      <c r="BC183" s="871"/>
      <c r="BD183" s="871"/>
      <c r="BE183" s="871"/>
      <c r="BF183" s="871"/>
      <c r="BG183" s="871"/>
      <c r="BH183" s="872"/>
      <c r="BI183" s="874"/>
      <c r="BJ183" s="874"/>
      <c r="BK183" s="874"/>
      <c r="BL183" s="875"/>
      <c r="BM183" s="876"/>
      <c r="BN183" s="911"/>
      <c r="BO183" s="878"/>
      <c r="BP183" s="879"/>
      <c r="BQ183" s="880"/>
      <c r="BR183" s="881"/>
      <c r="BS183" s="882"/>
      <c r="BT183" s="883"/>
      <c r="BU183" s="884"/>
      <c r="BV183" s="884"/>
      <c r="BW183" s="884"/>
      <c r="BX183" s="884"/>
      <c r="BY183" s="884"/>
      <c r="BZ183" s="884"/>
      <c r="CA183" s="884"/>
      <c r="CB183" s="884"/>
      <c r="CC183" s="884"/>
      <c r="CD183" s="884"/>
      <c r="CE183" s="885"/>
      <c r="CF183" s="885" t="str">
        <f>IF($A183="","",IF(#REF!&lt;&gt;0,#REF!-SUM(BT183:CE183),""))</f>
        <v/>
      </c>
      <c r="CG183" s="898" t="str">
        <f>IF(ISBLANK($X183)=FALSE,"NextGenApp Advisory LLC","")</f>
        <v/>
      </c>
      <c r="CH183" s="899" t="str">
        <f>_xlfn.IFNA(INDEX([1]List!AC:AC,MATCH(X183,[1]List!Y:Y,0)),"")</f>
        <v/>
      </c>
      <c r="CI183" s="900"/>
      <c r="CJ183" s="900"/>
      <c r="CK183" s="900"/>
      <c r="CL183" s="900"/>
      <c r="CM183" s="901"/>
      <c r="CN183" s="902"/>
      <c r="CO183" s="903"/>
      <c r="CP183" s="904"/>
      <c r="CQ183" s="892"/>
    </row>
    <row r="184" spans="1:95" x14ac:dyDescent="0.2">
      <c r="A184" s="894"/>
      <c r="B184" s="895"/>
      <c r="C184" s="896"/>
      <c r="D184" s="897"/>
      <c r="E184" s="897"/>
      <c r="F184" s="897"/>
      <c r="G184" s="897"/>
      <c r="H184" s="897"/>
      <c r="I184" s="897"/>
      <c r="J184" s="897"/>
      <c r="K184" s="897"/>
      <c r="L184" s="897"/>
      <c r="M184" s="897"/>
      <c r="N184" s="897"/>
      <c r="O184" s="897"/>
      <c r="P184" s="897"/>
      <c r="Q184" s="897"/>
      <c r="R184" s="897"/>
      <c r="S184" s="897"/>
      <c r="T184" s="897"/>
      <c r="U184" s="895"/>
      <c r="V184" s="852"/>
      <c r="W184" s="853"/>
      <c r="X184" s="853"/>
      <c r="Y184" s="853"/>
      <c r="Z184" s="853"/>
      <c r="AA184" s="853"/>
      <c r="AB184" s="854">
        <f>_xlfn.XLOOKUP(Table17[[#This Row],[Project Delivery Lead]],[1]List!Y:Y,[1]List!AC:AC)</f>
        <v>0</v>
      </c>
      <c r="AC184" s="853" t="str">
        <f>IF($A184="","",'[1]Core Assumptions'!$D204)</f>
        <v/>
      </c>
      <c r="AD184" s="855"/>
      <c r="AE184" s="905"/>
      <c r="AF184" s="857"/>
      <c r="AG184" s="857"/>
      <c r="AH184" s="858"/>
      <c r="AI184" s="858"/>
      <c r="AJ184" s="858"/>
      <c r="AK184" s="858" t="str">
        <f>IF($A184="","",IF('[1]Pricing Summary'!$B$31="T&amp;M","Time and Material","Fixed Fee"))</f>
        <v/>
      </c>
      <c r="AL184" s="856"/>
      <c r="AM184" s="856"/>
      <c r="AN184" s="906" t="str">
        <f>IF($A184="","",'[1]Outputs Recap'!$C$12)</f>
        <v/>
      </c>
      <c r="AO184" s="861" t="str">
        <f>IF($A184="","",VLOOKUP('[1]Outputs Recap'!$C$11,[1]List!$I:$J,2,FALSE))</f>
        <v/>
      </c>
      <c r="AP184" s="856" t="str" cm="1">
        <f t="array" ref="AP184">IF($A184="","",_xlfn.IFS('[1]Pricing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4" s="862" t="str">
        <f>IF($A184="","",_xlfn.XLOOKUP('[1]Core Assumptions'!$D$20,'[1]Other Lookups'!$AH:$AH,'[1]Other Lookups'!$AI:$AI))</f>
        <v/>
      </c>
      <c r="AR184" s="863"/>
      <c r="AS184" s="864" t="str">
        <f>IF($A184="","",'[1]Outputs Recap'!$C$13)</f>
        <v/>
      </c>
      <c r="AT184" s="907"/>
      <c r="AU184" s="907"/>
      <c r="AV184" s="907" t="str">
        <f>IF($A184="","",IFERROR(+Table17[[#This Row],[Total Contract Amount]]*Table17[[#This Row],[First-year, one-time Onboarding/Setup Fee %]],0))</f>
        <v/>
      </c>
      <c r="AW184" s="853"/>
      <c r="AX184" s="867"/>
      <c r="AY184" s="908"/>
      <c r="AZ184" s="909"/>
      <c r="BA184" s="910"/>
      <c r="BB184" s="871"/>
      <c r="BC184" s="871"/>
      <c r="BD184" s="871"/>
      <c r="BE184" s="871"/>
      <c r="BF184" s="871"/>
      <c r="BG184" s="871"/>
      <c r="BH184" s="872"/>
      <c r="BI184" s="874"/>
      <c r="BJ184" s="874"/>
      <c r="BK184" s="874"/>
      <c r="BL184" s="875"/>
      <c r="BM184" s="876"/>
      <c r="BN184" s="911"/>
      <c r="BO184" s="878"/>
      <c r="BP184" s="879"/>
      <c r="BQ184" s="880"/>
      <c r="BR184" s="881"/>
      <c r="BS184" s="882"/>
      <c r="BT184" s="883"/>
      <c r="BU184" s="884"/>
      <c r="BV184" s="884"/>
      <c r="BW184" s="884"/>
      <c r="BX184" s="884"/>
      <c r="BY184" s="884"/>
      <c r="BZ184" s="884"/>
      <c r="CA184" s="884"/>
      <c r="CB184" s="884"/>
      <c r="CC184" s="884"/>
      <c r="CD184" s="884"/>
      <c r="CE184" s="885"/>
      <c r="CF184" s="885" t="str">
        <f>IF($A184="","",IF(#REF!&lt;&gt;0,#REF!-SUM(BT184:CE184),""))</f>
        <v/>
      </c>
      <c r="CG184" s="898" t="str">
        <f>IF(ISBLANK($X184)=FALSE,"NextGenApp Advisory LLC","")</f>
        <v/>
      </c>
      <c r="CH184" s="899" t="str">
        <f>_xlfn.IFNA(INDEX([1]List!AC:AC,MATCH(X184,[1]List!Y:Y,0)),"")</f>
        <v/>
      </c>
      <c r="CI184" s="900"/>
      <c r="CJ184" s="900"/>
      <c r="CK184" s="900"/>
      <c r="CL184" s="900"/>
      <c r="CM184" s="901"/>
      <c r="CN184" s="902"/>
      <c r="CO184" s="903"/>
      <c r="CP184" s="904"/>
      <c r="CQ184" s="892"/>
    </row>
    <row r="185" spans="1:95" x14ac:dyDescent="0.2">
      <c r="A185" s="894"/>
      <c r="B185" s="895"/>
      <c r="C185" s="896"/>
      <c r="D185" s="897"/>
      <c r="E185" s="897"/>
      <c r="F185" s="897"/>
      <c r="G185" s="897"/>
      <c r="H185" s="897"/>
      <c r="I185" s="897"/>
      <c r="J185" s="897"/>
      <c r="K185" s="897"/>
      <c r="L185" s="897"/>
      <c r="M185" s="897"/>
      <c r="N185" s="897"/>
      <c r="O185" s="897"/>
      <c r="P185" s="897"/>
      <c r="Q185" s="897"/>
      <c r="R185" s="897"/>
      <c r="S185" s="897"/>
      <c r="T185" s="897"/>
      <c r="U185" s="895"/>
      <c r="V185" s="852"/>
      <c r="W185" s="853"/>
      <c r="X185" s="853"/>
      <c r="Y185" s="853"/>
      <c r="Z185" s="853"/>
      <c r="AA185" s="853"/>
      <c r="AB185" s="854">
        <f>_xlfn.XLOOKUP(Table17[[#This Row],[Project Delivery Lead]],[1]List!Y:Y,[1]List!AC:AC)</f>
        <v>0</v>
      </c>
      <c r="AC185" s="853" t="str">
        <f>IF($A185="","",'[1]Core Assumptions'!$D205)</f>
        <v/>
      </c>
      <c r="AD185" s="855"/>
      <c r="AE185" s="905"/>
      <c r="AF185" s="857"/>
      <c r="AG185" s="857"/>
      <c r="AH185" s="858"/>
      <c r="AI185" s="858"/>
      <c r="AJ185" s="858"/>
      <c r="AK185" s="858" t="str">
        <f>IF($A185="","",IF('[1]Pricing Summary'!$B$31="T&amp;M","Time and Material","Fixed Fee"))</f>
        <v/>
      </c>
      <c r="AL185" s="856"/>
      <c r="AM185" s="856"/>
      <c r="AN185" s="906" t="str">
        <f>IF($A185="","",'[1]Outputs Recap'!$C$12)</f>
        <v/>
      </c>
      <c r="AO185" s="861" t="str">
        <f>IF($A185="","",VLOOKUP('[1]Outputs Recap'!$C$11,[1]List!$I:$J,2,FALSE))</f>
        <v/>
      </c>
      <c r="AP185" s="856" t="str" cm="1">
        <f t="array" ref="AP185">IF($A185="","",_xlfn.IFS('[1]Pricing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5" s="862" t="str">
        <f>IF($A185="","",_xlfn.XLOOKUP('[1]Core Assumptions'!$D$20,'[1]Other Lookups'!$AH:$AH,'[1]Other Lookups'!$AI:$AI))</f>
        <v/>
      </c>
      <c r="AR185" s="863"/>
      <c r="AS185" s="864" t="str">
        <f>IF($A185="","",'[1]Outputs Recap'!$C$13)</f>
        <v/>
      </c>
      <c r="AT185" s="907"/>
      <c r="AU185" s="907"/>
      <c r="AV185" s="907" t="str">
        <f>IF($A185="","",IFERROR(+Table17[[#This Row],[Total Contract Amount]]*Table17[[#This Row],[First-year, one-time Onboarding/Setup Fee %]],0))</f>
        <v/>
      </c>
      <c r="AW185" s="853"/>
      <c r="AX185" s="867"/>
      <c r="AY185" s="908"/>
      <c r="AZ185" s="909"/>
      <c r="BA185" s="910"/>
      <c r="BB185" s="871"/>
      <c r="BC185" s="871"/>
      <c r="BD185" s="871"/>
      <c r="BE185" s="871"/>
      <c r="BF185" s="871"/>
      <c r="BG185" s="871"/>
      <c r="BH185" s="872"/>
      <c r="BI185" s="874"/>
      <c r="BJ185" s="874"/>
      <c r="BK185" s="874"/>
      <c r="BL185" s="875"/>
      <c r="BM185" s="876"/>
      <c r="BN185" s="911"/>
      <c r="BO185" s="878"/>
      <c r="BP185" s="879"/>
      <c r="BQ185" s="880"/>
      <c r="BR185" s="881"/>
      <c r="BS185" s="882"/>
      <c r="BT185" s="883"/>
      <c r="BU185" s="884"/>
      <c r="BV185" s="884"/>
      <c r="BW185" s="884"/>
      <c r="BX185" s="884"/>
      <c r="BY185" s="884"/>
      <c r="BZ185" s="884"/>
      <c r="CA185" s="884"/>
      <c r="CB185" s="884"/>
      <c r="CC185" s="884"/>
      <c r="CD185" s="884"/>
      <c r="CE185" s="885"/>
      <c r="CF185" s="885" t="str">
        <f>IF($A185="","",IF(#REF!&lt;&gt;0,#REF!-SUM(BT185:CE185),""))</f>
        <v/>
      </c>
      <c r="CG185" s="898" t="str">
        <f>IF(ISBLANK($X185)=FALSE,"NextGenApp Advisory LLC","")</f>
        <v/>
      </c>
      <c r="CH185" s="899" t="str">
        <f>_xlfn.IFNA(INDEX([1]List!AC:AC,MATCH(X185,[1]List!Y:Y,0)),"")</f>
        <v/>
      </c>
      <c r="CI185" s="900"/>
      <c r="CJ185" s="900"/>
      <c r="CK185" s="900"/>
      <c r="CL185" s="900"/>
      <c r="CM185" s="901"/>
      <c r="CN185" s="902"/>
      <c r="CO185" s="903"/>
      <c r="CP185" s="904"/>
      <c r="CQ185" s="892"/>
    </row>
    <row r="186" spans="1:95" x14ac:dyDescent="0.2">
      <c r="A186" s="894"/>
      <c r="B186" s="895"/>
      <c r="C186" s="896"/>
      <c r="D186" s="897"/>
      <c r="E186" s="897"/>
      <c r="F186" s="897"/>
      <c r="G186" s="897"/>
      <c r="H186" s="897"/>
      <c r="I186" s="897"/>
      <c r="J186" s="897"/>
      <c r="K186" s="897"/>
      <c r="L186" s="897"/>
      <c r="M186" s="897"/>
      <c r="N186" s="897"/>
      <c r="O186" s="897"/>
      <c r="P186" s="897"/>
      <c r="Q186" s="897"/>
      <c r="R186" s="897"/>
      <c r="S186" s="897"/>
      <c r="T186" s="897"/>
      <c r="U186" s="895"/>
      <c r="V186" s="852"/>
      <c r="W186" s="853"/>
      <c r="X186" s="853"/>
      <c r="Y186" s="853"/>
      <c r="Z186" s="853"/>
      <c r="AA186" s="853"/>
      <c r="AB186" s="854">
        <f>_xlfn.XLOOKUP(Table17[[#This Row],[Project Delivery Lead]],[1]List!Y:Y,[1]List!AC:AC)</f>
        <v>0</v>
      </c>
      <c r="AC186" s="853" t="str">
        <f>IF($A186="","",'[1]Core Assumptions'!$D206)</f>
        <v/>
      </c>
      <c r="AD186" s="855"/>
      <c r="AE186" s="905"/>
      <c r="AF186" s="857"/>
      <c r="AG186" s="857"/>
      <c r="AH186" s="858"/>
      <c r="AI186" s="858"/>
      <c r="AJ186" s="858"/>
      <c r="AK186" s="858" t="str">
        <f>IF($A186="","",IF('[1]Pricing Summary'!$B$31="T&amp;M","Time and Material","Fixed Fee"))</f>
        <v/>
      </c>
      <c r="AL186" s="856"/>
      <c r="AM186" s="856"/>
      <c r="AN186" s="906" t="str">
        <f>IF($A186="","",'[1]Outputs Recap'!$C$12)</f>
        <v/>
      </c>
      <c r="AO186" s="861" t="str">
        <f>IF($A186="","",VLOOKUP('[1]Outputs Recap'!$C$11,[1]List!$I:$J,2,FALSE))</f>
        <v/>
      </c>
      <c r="AP186" s="856" t="str" cm="1">
        <f t="array" ref="AP186">IF($A186="","",_xlfn.IFS('[1]Pricing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6" s="862" t="str">
        <f>IF($A186="","",_xlfn.XLOOKUP('[1]Core Assumptions'!$D$20,'[1]Other Lookups'!$AH:$AH,'[1]Other Lookups'!$AI:$AI))</f>
        <v/>
      </c>
      <c r="AR186" s="863"/>
      <c r="AS186" s="864" t="str">
        <f>IF($A186="","",'[1]Outputs Recap'!$C$13)</f>
        <v/>
      </c>
      <c r="AT186" s="907"/>
      <c r="AU186" s="907"/>
      <c r="AV186" s="907" t="str">
        <f>IF($A186="","",IFERROR(+Table17[[#This Row],[Total Contract Amount]]*Table17[[#This Row],[First-year, one-time Onboarding/Setup Fee %]],0))</f>
        <v/>
      </c>
      <c r="AW186" s="853"/>
      <c r="AX186" s="867"/>
      <c r="AY186" s="908"/>
      <c r="AZ186" s="909"/>
      <c r="BA186" s="910"/>
      <c r="BB186" s="871"/>
      <c r="BC186" s="871"/>
      <c r="BD186" s="871"/>
      <c r="BE186" s="871"/>
      <c r="BF186" s="871"/>
      <c r="BG186" s="871"/>
      <c r="BH186" s="872"/>
      <c r="BI186" s="874"/>
      <c r="BJ186" s="874"/>
      <c r="BK186" s="874"/>
      <c r="BL186" s="875"/>
      <c r="BM186" s="876"/>
      <c r="BN186" s="911"/>
      <c r="BO186" s="878"/>
      <c r="BP186" s="879"/>
      <c r="BQ186" s="880"/>
      <c r="BR186" s="881"/>
      <c r="BS186" s="882"/>
      <c r="BT186" s="883"/>
      <c r="BU186" s="884"/>
      <c r="BV186" s="884"/>
      <c r="BW186" s="884"/>
      <c r="BX186" s="884"/>
      <c r="BY186" s="884"/>
      <c r="BZ186" s="884"/>
      <c r="CA186" s="884"/>
      <c r="CB186" s="884"/>
      <c r="CC186" s="884"/>
      <c r="CD186" s="884"/>
      <c r="CE186" s="885"/>
      <c r="CF186" s="885" t="str">
        <f>IF($A186="","",IF(#REF!&lt;&gt;0,#REF!-SUM(BT186:CE186),""))</f>
        <v/>
      </c>
      <c r="CG186" s="898" t="str">
        <f>IF(ISBLANK($X186)=FALSE,"NextGenApp Advisory LLC","")</f>
        <v/>
      </c>
      <c r="CH186" s="899" t="str">
        <f>_xlfn.IFNA(INDEX([1]List!AC:AC,MATCH(X186,[1]List!Y:Y,0)),"")</f>
        <v/>
      </c>
      <c r="CI186" s="900"/>
      <c r="CJ186" s="900"/>
      <c r="CK186" s="900"/>
      <c r="CL186" s="900"/>
      <c r="CM186" s="901"/>
      <c r="CN186" s="902"/>
      <c r="CO186" s="903"/>
      <c r="CP186" s="904"/>
      <c r="CQ186" s="892"/>
    </row>
    <row r="187" spans="1:95" x14ac:dyDescent="0.2">
      <c r="A187" s="894"/>
      <c r="B187" s="895"/>
      <c r="C187" s="896"/>
      <c r="D187" s="897"/>
      <c r="E187" s="897"/>
      <c r="F187" s="897"/>
      <c r="G187" s="897"/>
      <c r="H187" s="897"/>
      <c r="I187" s="897"/>
      <c r="J187" s="897"/>
      <c r="K187" s="897"/>
      <c r="L187" s="897"/>
      <c r="M187" s="897"/>
      <c r="N187" s="897"/>
      <c r="O187" s="897"/>
      <c r="P187" s="897"/>
      <c r="Q187" s="897"/>
      <c r="R187" s="897"/>
      <c r="S187" s="897"/>
      <c r="T187" s="897"/>
      <c r="U187" s="895"/>
      <c r="V187" s="852"/>
      <c r="W187" s="853"/>
      <c r="X187" s="853"/>
      <c r="Y187" s="853"/>
      <c r="Z187" s="853"/>
      <c r="AA187" s="853"/>
      <c r="AB187" s="854">
        <f>_xlfn.XLOOKUP(Table17[[#This Row],[Project Delivery Lead]],[1]List!Y:Y,[1]List!AC:AC)</f>
        <v>0</v>
      </c>
      <c r="AC187" s="853" t="str">
        <f>IF($A187="","",'[1]Core Assumptions'!$D207)</f>
        <v/>
      </c>
      <c r="AD187" s="855"/>
      <c r="AE187" s="905"/>
      <c r="AF187" s="857"/>
      <c r="AG187" s="857"/>
      <c r="AH187" s="858"/>
      <c r="AI187" s="858"/>
      <c r="AJ187" s="858"/>
      <c r="AK187" s="858" t="str">
        <f>IF($A187="","",IF('[1]Pricing Summary'!$B$31="T&amp;M","Time and Material","Fixed Fee"))</f>
        <v/>
      </c>
      <c r="AL187" s="856"/>
      <c r="AM187" s="856"/>
      <c r="AN187" s="906" t="str">
        <f>IF($A187="","",'[1]Outputs Recap'!$C$12)</f>
        <v/>
      </c>
      <c r="AO187" s="861" t="str">
        <f>IF($A187="","",VLOOKUP('[1]Outputs Recap'!$C$11,[1]List!$I:$J,2,FALSE))</f>
        <v/>
      </c>
      <c r="AP187" s="856" t="str" cm="1">
        <f t="array" ref="AP187">IF($A187="","",_xlfn.IFS('[1]Pricing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7" s="862" t="str">
        <f>IF($A187="","",_xlfn.XLOOKUP('[1]Core Assumptions'!$D$20,'[1]Other Lookups'!$AH:$AH,'[1]Other Lookups'!$AI:$AI))</f>
        <v/>
      </c>
      <c r="AR187" s="863"/>
      <c r="AS187" s="864" t="str">
        <f>IF($A187="","",'[1]Outputs Recap'!$C$13)</f>
        <v/>
      </c>
      <c r="AT187" s="907"/>
      <c r="AU187" s="907"/>
      <c r="AV187" s="907" t="str">
        <f>IF($A187="","",IFERROR(+Table17[[#This Row],[Total Contract Amount]]*Table17[[#This Row],[First-year, one-time Onboarding/Setup Fee %]],0))</f>
        <v/>
      </c>
      <c r="AW187" s="853"/>
      <c r="AX187" s="867"/>
      <c r="AY187" s="908"/>
      <c r="AZ187" s="909"/>
      <c r="BA187" s="910"/>
      <c r="BB187" s="871"/>
      <c r="BC187" s="871"/>
      <c r="BD187" s="871"/>
      <c r="BE187" s="871"/>
      <c r="BF187" s="871"/>
      <c r="BG187" s="871"/>
      <c r="BH187" s="872"/>
      <c r="BI187" s="874"/>
      <c r="BJ187" s="874"/>
      <c r="BK187" s="874"/>
      <c r="BL187" s="875"/>
      <c r="BM187" s="876"/>
      <c r="BN187" s="911"/>
      <c r="BO187" s="878"/>
      <c r="BP187" s="879"/>
      <c r="BQ187" s="880"/>
      <c r="BR187" s="881"/>
      <c r="BS187" s="882"/>
      <c r="BT187" s="883"/>
      <c r="BU187" s="884"/>
      <c r="BV187" s="884"/>
      <c r="BW187" s="884"/>
      <c r="BX187" s="884"/>
      <c r="BY187" s="884"/>
      <c r="BZ187" s="884"/>
      <c r="CA187" s="884"/>
      <c r="CB187" s="884"/>
      <c r="CC187" s="884"/>
      <c r="CD187" s="884"/>
      <c r="CE187" s="885"/>
      <c r="CF187" s="885" t="str">
        <f>IF($A187="","",IF(#REF!&lt;&gt;0,#REF!-SUM(BT187:CE187),""))</f>
        <v/>
      </c>
      <c r="CG187" s="898" t="str">
        <f>IF(ISBLANK($X187)=FALSE,"NextGenApp Advisory LLC","")</f>
        <v/>
      </c>
      <c r="CH187" s="899" t="str">
        <f>_xlfn.IFNA(INDEX([1]List!AC:AC,MATCH(X187,[1]List!Y:Y,0)),"")</f>
        <v/>
      </c>
      <c r="CI187" s="900"/>
      <c r="CJ187" s="900"/>
      <c r="CK187" s="900"/>
      <c r="CL187" s="900"/>
      <c r="CM187" s="901"/>
      <c r="CN187" s="902"/>
      <c r="CO187" s="903"/>
      <c r="CP187" s="904"/>
      <c r="CQ187" s="892"/>
    </row>
    <row r="188" spans="1:95" x14ac:dyDescent="0.2">
      <c r="A188" s="894"/>
      <c r="B188" s="895"/>
      <c r="C188" s="896"/>
      <c r="D188" s="897"/>
      <c r="E188" s="897"/>
      <c r="F188" s="897"/>
      <c r="G188" s="897"/>
      <c r="H188" s="897"/>
      <c r="I188" s="897"/>
      <c r="J188" s="897"/>
      <c r="K188" s="897"/>
      <c r="L188" s="897"/>
      <c r="M188" s="897"/>
      <c r="N188" s="897"/>
      <c r="O188" s="897"/>
      <c r="P188" s="897"/>
      <c r="Q188" s="897"/>
      <c r="R188" s="897"/>
      <c r="S188" s="897"/>
      <c r="T188" s="897"/>
      <c r="U188" s="895"/>
      <c r="V188" s="852"/>
      <c r="W188" s="853"/>
      <c r="X188" s="853"/>
      <c r="Y188" s="853"/>
      <c r="Z188" s="853"/>
      <c r="AA188" s="853"/>
      <c r="AB188" s="854">
        <f>_xlfn.XLOOKUP(Table17[[#This Row],[Project Delivery Lead]],[1]List!Y:Y,[1]List!AC:AC)</f>
        <v>0</v>
      </c>
      <c r="AC188" s="853" t="str">
        <f>IF($A188="","",'[1]Core Assumptions'!$D208)</f>
        <v/>
      </c>
      <c r="AD188" s="855"/>
      <c r="AE188" s="905"/>
      <c r="AF188" s="857"/>
      <c r="AG188" s="857"/>
      <c r="AH188" s="858"/>
      <c r="AI188" s="858"/>
      <c r="AJ188" s="858"/>
      <c r="AK188" s="858" t="str">
        <f>IF($A188="","",IF('[1]Pricing Summary'!$B$31="T&amp;M","Time and Material","Fixed Fee"))</f>
        <v/>
      </c>
      <c r="AL188" s="856"/>
      <c r="AM188" s="856"/>
      <c r="AN188" s="906" t="str">
        <f>IF($A188="","",'[1]Outputs Recap'!$C$12)</f>
        <v/>
      </c>
      <c r="AO188" s="861" t="str">
        <f>IF($A188="","",VLOOKUP('[1]Outputs Recap'!$C$11,[1]List!$I:$J,2,FALSE))</f>
        <v/>
      </c>
      <c r="AP188" s="856" t="str" cm="1">
        <f t="array" ref="AP188">IF($A188="","",_xlfn.IFS('[1]Pricing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8" s="862" t="str">
        <f>IF($A188="","",_xlfn.XLOOKUP('[1]Core Assumptions'!$D$20,'[1]Other Lookups'!$AH:$AH,'[1]Other Lookups'!$AI:$AI))</f>
        <v/>
      </c>
      <c r="AR188" s="863"/>
      <c r="AS188" s="864" t="str">
        <f>IF($A188="","",'[1]Outputs Recap'!$C$13)</f>
        <v/>
      </c>
      <c r="AT188" s="907"/>
      <c r="AU188" s="907"/>
      <c r="AV188" s="907" t="str">
        <f>IF($A188="","",IFERROR(+Table17[[#This Row],[Total Contract Amount]]*Table17[[#This Row],[First-year, one-time Onboarding/Setup Fee %]],0))</f>
        <v/>
      </c>
      <c r="AW188" s="853"/>
      <c r="AX188" s="867"/>
      <c r="AY188" s="908"/>
      <c r="AZ188" s="909"/>
      <c r="BA188" s="910"/>
      <c r="BB188" s="871"/>
      <c r="BC188" s="871"/>
      <c r="BD188" s="871"/>
      <c r="BE188" s="871"/>
      <c r="BF188" s="871"/>
      <c r="BG188" s="871"/>
      <c r="BH188" s="872"/>
      <c r="BI188" s="874"/>
      <c r="BJ188" s="874"/>
      <c r="BK188" s="874"/>
      <c r="BL188" s="875"/>
      <c r="BM188" s="876"/>
      <c r="BN188" s="911"/>
      <c r="BO188" s="878"/>
      <c r="BP188" s="879"/>
      <c r="BQ188" s="880"/>
      <c r="BR188" s="881"/>
      <c r="BS188" s="882"/>
      <c r="BT188" s="883"/>
      <c r="BU188" s="884"/>
      <c r="BV188" s="884"/>
      <c r="BW188" s="884"/>
      <c r="BX188" s="884"/>
      <c r="BY188" s="884"/>
      <c r="BZ188" s="884"/>
      <c r="CA188" s="884"/>
      <c r="CB188" s="884"/>
      <c r="CC188" s="884"/>
      <c r="CD188" s="884"/>
      <c r="CE188" s="885"/>
      <c r="CF188" s="885" t="str">
        <f>IF($A188="","",IF(#REF!&lt;&gt;0,#REF!-SUM(BT188:CE188),""))</f>
        <v/>
      </c>
      <c r="CG188" s="898" t="str">
        <f>IF(ISBLANK($X188)=FALSE,"NextGenApp Advisory LLC","")</f>
        <v/>
      </c>
      <c r="CH188" s="899" t="str">
        <f>_xlfn.IFNA(INDEX([1]List!AC:AC,MATCH(X188,[1]List!Y:Y,0)),"")</f>
        <v/>
      </c>
      <c r="CI188" s="900"/>
      <c r="CJ188" s="900"/>
      <c r="CK188" s="900"/>
      <c r="CL188" s="900"/>
      <c r="CM188" s="901"/>
      <c r="CN188" s="902"/>
      <c r="CO188" s="903"/>
      <c r="CP188" s="904"/>
      <c r="CQ188" s="892"/>
    </row>
    <row r="189" spans="1:95" x14ac:dyDescent="0.2">
      <c r="A189" s="894"/>
      <c r="B189" s="895"/>
      <c r="C189" s="896"/>
      <c r="D189" s="897"/>
      <c r="E189" s="897"/>
      <c r="F189" s="897"/>
      <c r="G189" s="897"/>
      <c r="H189" s="897"/>
      <c r="I189" s="897"/>
      <c r="J189" s="897"/>
      <c r="K189" s="897"/>
      <c r="L189" s="897"/>
      <c r="M189" s="897"/>
      <c r="N189" s="897"/>
      <c r="O189" s="897"/>
      <c r="P189" s="897"/>
      <c r="Q189" s="897"/>
      <c r="R189" s="897"/>
      <c r="S189" s="897"/>
      <c r="T189" s="897"/>
      <c r="U189" s="895"/>
      <c r="V189" s="852"/>
      <c r="W189" s="853"/>
      <c r="X189" s="853"/>
      <c r="Y189" s="853"/>
      <c r="Z189" s="853"/>
      <c r="AA189" s="853"/>
      <c r="AB189" s="854">
        <f>_xlfn.XLOOKUP(Table17[[#This Row],[Project Delivery Lead]],[1]List!Y:Y,[1]List!AC:AC)</f>
        <v>0</v>
      </c>
      <c r="AC189" s="853" t="str">
        <f>IF($A189="","",'[1]Core Assumptions'!$D209)</f>
        <v/>
      </c>
      <c r="AD189" s="855"/>
      <c r="AE189" s="905"/>
      <c r="AF189" s="857"/>
      <c r="AG189" s="857"/>
      <c r="AH189" s="858"/>
      <c r="AI189" s="858"/>
      <c r="AJ189" s="858"/>
      <c r="AK189" s="858" t="str">
        <f>IF($A189="","",IF('[1]Pricing Summary'!$B$31="T&amp;M","Time and Material","Fixed Fee"))</f>
        <v/>
      </c>
      <c r="AL189" s="856"/>
      <c r="AM189" s="856"/>
      <c r="AN189" s="906" t="str">
        <f>IF($A189="","",'[1]Outputs Recap'!$C$12)</f>
        <v/>
      </c>
      <c r="AO189" s="861" t="str">
        <f>IF($A189="","",VLOOKUP('[1]Outputs Recap'!$C$11,[1]List!$I:$J,2,FALSE))</f>
        <v/>
      </c>
      <c r="AP189" s="856" t="str" cm="1">
        <f t="array" ref="AP189">IF($A189="","",_xlfn.IFS('[1]Pricing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89" s="862" t="str">
        <f>IF($A189="","",_xlfn.XLOOKUP('[1]Core Assumptions'!$D$20,'[1]Other Lookups'!$AH:$AH,'[1]Other Lookups'!$AI:$AI))</f>
        <v/>
      </c>
      <c r="AR189" s="863"/>
      <c r="AS189" s="864" t="str">
        <f>IF($A189="","",'[1]Outputs Recap'!$C$13)</f>
        <v/>
      </c>
      <c r="AT189" s="907"/>
      <c r="AU189" s="907"/>
      <c r="AV189" s="907" t="str">
        <f>IF($A189="","",IFERROR(+Table17[[#This Row],[Total Contract Amount]]*Table17[[#This Row],[First-year, one-time Onboarding/Setup Fee %]],0))</f>
        <v/>
      </c>
      <c r="AW189" s="853"/>
      <c r="AX189" s="867"/>
      <c r="AY189" s="908"/>
      <c r="AZ189" s="909"/>
      <c r="BA189" s="910"/>
      <c r="BB189" s="871"/>
      <c r="BC189" s="871"/>
      <c r="BD189" s="871"/>
      <c r="BE189" s="871"/>
      <c r="BF189" s="871"/>
      <c r="BG189" s="871"/>
      <c r="BH189" s="872"/>
      <c r="BI189" s="874"/>
      <c r="BJ189" s="874"/>
      <c r="BK189" s="874"/>
      <c r="BL189" s="875"/>
      <c r="BM189" s="876"/>
      <c r="BN189" s="911"/>
      <c r="BO189" s="878"/>
      <c r="BP189" s="879"/>
      <c r="BQ189" s="880"/>
      <c r="BR189" s="881"/>
      <c r="BS189" s="882"/>
      <c r="BT189" s="883"/>
      <c r="BU189" s="884"/>
      <c r="BV189" s="884"/>
      <c r="BW189" s="884"/>
      <c r="BX189" s="884"/>
      <c r="BY189" s="884"/>
      <c r="BZ189" s="884"/>
      <c r="CA189" s="884"/>
      <c r="CB189" s="884"/>
      <c r="CC189" s="884"/>
      <c r="CD189" s="884"/>
      <c r="CE189" s="885"/>
      <c r="CF189" s="885" t="str">
        <f>IF($A189="","",IF(#REF!&lt;&gt;0,#REF!-SUM(BT189:CE189),""))</f>
        <v/>
      </c>
      <c r="CG189" s="898" t="str">
        <f>IF(ISBLANK($X189)=FALSE,"NextGenApp Advisory LLC","")</f>
        <v/>
      </c>
      <c r="CH189" s="899" t="str">
        <f>_xlfn.IFNA(INDEX([1]List!AC:AC,MATCH(X189,[1]List!Y:Y,0)),"")</f>
        <v/>
      </c>
      <c r="CI189" s="900"/>
      <c r="CJ189" s="900"/>
      <c r="CK189" s="900"/>
      <c r="CL189" s="900"/>
      <c r="CM189" s="901"/>
      <c r="CN189" s="902"/>
      <c r="CO189" s="903"/>
      <c r="CP189" s="904"/>
      <c r="CQ189" s="892"/>
    </row>
    <row r="190" spans="1:95" x14ac:dyDescent="0.2">
      <c r="A190" s="894"/>
      <c r="B190" s="895"/>
      <c r="C190" s="896"/>
      <c r="D190" s="897"/>
      <c r="E190" s="897"/>
      <c r="F190" s="897"/>
      <c r="G190" s="897"/>
      <c r="H190" s="897"/>
      <c r="I190" s="897"/>
      <c r="J190" s="897"/>
      <c r="K190" s="897"/>
      <c r="L190" s="897"/>
      <c r="M190" s="897"/>
      <c r="N190" s="897"/>
      <c r="O190" s="897"/>
      <c r="P190" s="897"/>
      <c r="Q190" s="897"/>
      <c r="R190" s="897"/>
      <c r="S190" s="897"/>
      <c r="T190" s="897"/>
      <c r="U190" s="895"/>
      <c r="V190" s="852"/>
      <c r="W190" s="853"/>
      <c r="X190" s="853"/>
      <c r="Y190" s="853"/>
      <c r="Z190" s="853"/>
      <c r="AA190" s="853"/>
      <c r="AB190" s="854">
        <f>_xlfn.XLOOKUP(Table17[[#This Row],[Project Delivery Lead]],[1]List!Y:Y,[1]List!AC:AC)</f>
        <v>0</v>
      </c>
      <c r="AC190" s="853" t="str">
        <f>IF($A190="","",'[1]Core Assumptions'!$D210)</f>
        <v/>
      </c>
      <c r="AD190" s="855"/>
      <c r="AE190" s="905"/>
      <c r="AF190" s="857"/>
      <c r="AG190" s="857"/>
      <c r="AH190" s="858"/>
      <c r="AI190" s="858"/>
      <c r="AJ190" s="858"/>
      <c r="AK190" s="858" t="str">
        <f>IF($A190="","",IF('[1]Pricing Summary'!$B$31="T&amp;M","Time and Material","Fixed Fee"))</f>
        <v/>
      </c>
      <c r="AL190" s="856"/>
      <c r="AM190" s="856"/>
      <c r="AN190" s="906" t="str">
        <f>IF($A190="","",'[1]Outputs Recap'!$C$12)</f>
        <v/>
      </c>
      <c r="AO190" s="861" t="str">
        <f>IF($A190="","",VLOOKUP('[1]Outputs Recap'!$C$11,[1]List!$I:$J,2,FALSE))</f>
        <v/>
      </c>
      <c r="AP190" s="856" t="str" cm="1">
        <f t="array" ref="AP190">IF($A190="","",_xlfn.IFS('[1]Pricing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0" s="862" t="str">
        <f>IF($A190="","",_xlfn.XLOOKUP('[1]Core Assumptions'!$D$20,'[1]Other Lookups'!$AH:$AH,'[1]Other Lookups'!$AI:$AI))</f>
        <v/>
      </c>
      <c r="AR190" s="863"/>
      <c r="AS190" s="864" t="str">
        <f>IF($A190="","",'[1]Outputs Recap'!$C$13)</f>
        <v/>
      </c>
      <c r="AT190" s="907"/>
      <c r="AU190" s="907"/>
      <c r="AV190" s="907" t="str">
        <f>IF($A190="","",IFERROR(+Table17[[#This Row],[Total Contract Amount]]*Table17[[#This Row],[First-year, one-time Onboarding/Setup Fee %]],0))</f>
        <v/>
      </c>
      <c r="AW190" s="853"/>
      <c r="AX190" s="867"/>
      <c r="AY190" s="908"/>
      <c r="AZ190" s="909"/>
      <c r="BA190" s="910"/>
      <c r="BB190" s="871"/>
      <c r="BC190" s="871"/>
      <c r="BD190" s="871"/>
      <c r="BE190" s="871"/>
      <c r="BF190" s="871"/>
      <c r="BG190" s="871"/>
      <c r="BH190" s="872"/>
      <c r="BI190" s="874"/>
      <c r="BJ190" s="874"/>
      <c r="BK190" s="874"/>
      <c r="BL190" s="875"/>
      <c r="BM190" s="876"/>
      <c r="BN190" s="911"/>
      <c r="BO190" s="878"/>
      <c r="BP190" s="879"/>
      <c r="BQ190" s="880"/>
      <c r="BR190" s="881"/>
      <c r="BS190" s="882"/>
      <c r="BT190" s="883"/>
      <c r="BU190" s="884"/>
      <c r="BV190" s="884"/>
      <c r="BW190" s="884"/>
      <c r="BX190" s="884"/>
      <c r="BY190" s="884"/>
      <c r="BZ190" s="884"/>
      <c r="CA190" s="884"/>
      <c r="CB190" s="884"/>
      <c r="CC190" s="884"/>
      <c r="CD190" s="884"/>
      <c r="CE190" s="885"/>
      <c r="CF190" s="885" t="str">
        <f>IF($A190="","",IF(#REF!&lt;&gt;0,#REF!-SUM(BT190:CE190),""))</f>
        <v/>
      </c>
      <c r="CG190" s="898" t="str">
        <f>IF(ISBLANK($X190)=FALSE,"NextGenApp Advisory LLC","")</f>
        <v/>
      </c>
      <c r="CH190" s="899" t="str">
        <f>_xlfn.IFNA(INDEX([1]List!AC:AC,MATCH(X190,[1]List!Y:Y,0)),"")</f>
        <v/>
      </c>
      <c r="CI190" s="900"/>
      <c r="CJ190" s="900"/>
      <c r="CK190" s="900"/>
      <c r="CL190" s="900"/>
      <c r="CM190" s="901"/>
      <c r="CN190" s="902"/>
      <c r="CO190" s="903"/>
      <c r="CP190" s="904"/>
      <c r="CQ190" s="892"/>
    </row>
    <row r="191" spans="1:95" x14ac:dyDescent="0.2">
      <c r="A191" s="894"/>
      <c r="B191" s="895"/>
      <c r="C191" s="896"/>
      <c r="D191" s="897"/>
      <c r="E191" s="897"/>
      <c r="F191" s="897"/>
      <c r="G191" s="897"/>
      <c r="H191" s="897"/>
      <c r="I191" s="897"/>
      <c r="J191" s="897"/>
      <c r="K191" s="897"/>
      <c r="L191" s="897"/>
      <c r="M191" s="897"/>
      <c r="N191" s="897"/>
      <c r="O191" s="897"/>
      <c r="P191" s="897"/>
      <c r="Q191" s="897"/>
      <c r="R191" s="897"/>
      <c r="S191" s="897"/>
      <c r="T191" s="897"/>
      <c r="U191" s="895"/>
      <c r="V191" s="852"/>
      <c r="W191" s="853"/>
      <c r="X191" s="853"/>
      <c r="Y191" s="853"/>
      <c r="Z191" s="853"/>
      <c r="AA191" s="853"/>
      <c r="AB191" s="854">
        <f>_xlfn.XLOOKUP(Table17[[#This Row],[Project Delivery Lead]],[1]List!Y:Y,[1]List!AC:AC)</f>
        <v>0</v>
      </c>
      <c r="AC191" s="853" t="str">
        <f>IF($A191="","",'[1]Core Assumptions'!$D211)</f>
        <v/>
      </c>
      <c r="AD191" s="855"/>
      <c r="AE191" s="905"/>
      <c r="AF191" s="857"/>
      <c r="AG191" s="857"/>
      <c r="AH191" s="858"/>
      <c r="AI191" s="858"/>
      <c r="AJ191" s="858"/>
      <c r="AK191" s="858" t="str">
        <f>IF($A191="","",IF('[1]Pricing Summary'!$B$31="T&amp;M","Time and Material","Fixed Fee"))</f>
        <v/>
      </c>
      <c r="AL191" s="856"/>
      <c r="AM191" s="856"/>
      <c r="AN191" s="906" t="str">
        <f>IF($A191="","",'[1]Outputs Recap'!$C$12)</f>
        <v/>
      </c>
      <c r="AO191" s="861" t="str">
        <f>IF($A191="","",VLOOKUP('[1]Outputs Recap'!$C$11,[1]List!$I:$J,2,FALSE))</f>
        <v/>
      </c>
      <c r="AP191" s="856" t="str" cm="1">
        <f t="array" ref="AP191">IF($A191="","",_xlfn.IFS('[1]Pricing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1" s="862" t="str">
        <f>IF($A191="","",_xlfn.XLOOKUP('[1]Core Assumptions'!$D$20,'[1]Other Lookups'!$AH:$AH,'[1]Other Lookups'!$AI:$AI))</f>
        <v/>
      </c>
      <c r="AR191" s="863"/>
      <c r="AS191" s="864" t="str">
        <f>IF($A191="","",'[1]Outputs Recap'!$C$13)</f>
        <v/>
      </c>
      <c r="AT191" s="907"/>
      <c r="AU191" s="907"/>
      <c r="AV191" s="907" t="str">
        <f>IF($A191="","",IFERROR(+Table17[[#This Row],[Total Contract Amount]]*Table17[[#This Row],[First-year, one-time Onboarding/Setup Fee %]],0))</f>
        <v/>
      </c>
      <c r="AW191" s="853"/>
      <c r="AX191" s="867"/>
      <c r="AY191" s="908"/>
      <c r="AZ191" s="909"/>
      <c r="BA191" s="910"/>
      <c r="BB191" s="871"/>
      <c r="BC191" s="871"/>
      <c r="BD191" s="871"/>
      <c r="BE191" s="871"/>
      <c r="BF191" s="871"/>
      <c r="BG191" s="871"/>
      <c r="BH191" s="872"/>
      <c r="BI191" s="874"/>
      <c r="BJ191" s="874"/>
      <c r="BK191" s="874"/>
      <c r="BL191" s="875"/>
      <c r="BM191" s="876"/>
      <c r="BN191" s="911"/>
      <c r="BO191" s="878"/>
      <c r="BP191" s="879"/>
      <c r="BQ191" s="880"/>
      <c r="BR191" s="881"/>
      <c r="BS191" s="882"/>
      <c r="BT191" s="883"/>
      <c r="BU191" s="884"/>
      <c r="BV191" s="884"/>
      <c r="BW191" s="884"/>
      <c r="BX191" s="884"/>
      <c r="BY191" s="884"/>
      <c r="BZ191" s="884"/>
      <c r="CA191" s="884"/>
      <c r="CB191" s="884"/>
      <c r="CC191" s="884"/>
      <c r="CD191" s="884"/>
      <c r="CE191" s="885"/>
      <c r="CF191" s="885" t="str">
        <f>IF($A191="","",IF(#REF!&lt;&gt;0,#REF!-SUM(BT191:CE191),""))</f>
        <v/>
      </c>
      <c r="CG191" s="898" t="str">
        <f>IF(ISBLANK($X191)=FALSE,"NextGenApp Advisory LLC","")</f>
        <v/>
      </c>
      <c r="CH191" s="899" t="str">
        <f>_xlfn.IFNA(INDEX([1]List!AC:AC,MATCH(X191,[1]List!Y:Y,0)),"")</f>
        <v/>
      </c>
      <c r="CI191" s="900"/>
      <c r="CJ191" s="900"/>
      <c r="CK191" s="900"/>
      <c r="CL191" s="900"/>
      <c r="CM191" s="901"/>
      <c r="CN191" s="902"/>
      <c r="CO191" s="903"/>
      <c r="CP191" s="904"/>
      <c r="CQ191" s="892"/>
    </row>
    <row r="192" spans="1:95" x14ac:dyDescent="0.2">
      <c r="A192" s="894"/>
      <c r="B192" s="895"/>
      <c r="C192" s="896"/>
      <c r="D192" s="897"/>
      <c r="E192" s="897"/>
      <c r="F192" s="897"/>
      <c r="G192" s="897"/>
      <c r="H192" s="897"/>
      <c r="I192" s="897"/>
      <c r="J192" s="897"/>
      <c r="K192" s="897"/>
      <c r="L192" s="897"/>
      <c r="M192" s="897"/>
      <c r="N192" s="897"/>
      <c r="O192" s="897"/>
      <c r="P192" s="897"/>
      <c r="Q192" s="897"/>
      <c r="R192" s="897"/>
      <c r="S192" s="897"/>
      <c r="T192" s="897"/>
      <c r="U192" s="895"/>
      <c r="V192" s="852"/>
      <c r="W192" s="853"/>
      <c r="X192" s="853"/>
      <c r="Y192" s="853"/>
      <c r="Z192" s="853"/>
      <c r="AA192" s="853"/>
      <c r="AB192" s="854">
        <f>_xlfn.XLOOKUP(Table17[[#This Row],[Project Delivery Lead]],[1]List!Y:Y,[1]List!AC:AC)</f>
        <v>0</v>
      </c>
      <c r="AC192" s="853" t="str">
        <f>IF($A192="","",'[1]Core Assumptions'!$D212)</f>
        <v/>
      </c>
      <c r="AD192" s="855"/>
      <c r="AE192" s="905"/>
      <c r="AF192" s="857"/>
      <c r="AG192" s="857"/>
      <c r="AH192" s="858"/>
      <c r="AI192" s="858"/>
      <c r="AJ192" s="858"/>
      <c r="AK192" s="858" t="str">
        <f>IF($A192="","",IF('[1]Pricing Summary'!$B$31="T&amp;M","Time and Material","Fixed Fee"))</f>
        <v/>
      </c>
      <c r="AL192" s="856"/>
      <c r="AM192" s="856"/>
      <c r="AN192" s="906" t="str">
        <f>IF($A192="","",'[1]Outputs Recap'!$C$12)</f>
        <v/>
      </c>
      <c r="AO192" s="861" t="str">
        <f>IF($A192="","",VLOOKUP('[1]Outputs Recap'!$C$11,[1]List!$I:$J,2,FALSE))</f>
        <v/>
      </c>
      <c r="AP192" s="856" t="str" cm="1">
        <f t="array" ref="AP192">IF($A192="","",_xlfn.IFS('[1]Pricing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2" s="862" t="str">
        <f>IF($A192="","",_xlfn.XLOOKUP('[1]Core Assumptions'!$D$20,'[1]Other Lookups'!$AH:$AH,'[1]Other Lookups'!$AI:$AI))</f>
        <v/>
      </c>
      <c r="AR192" s="863"/>
      <c r="AS192" s="864" t="str">
        <f>IF($A192="","",'[1]Outputs Recap'!$C$13)</f>
        <v/>
      </c>
      <c r="AT192" s="907"/>
      <c r="AU192" s="907"/>
      <c r="AV192" s="907" t="str">
        <f>IF($A192="","",IFERROR(+Table17[[#This Row],[Total Contract Amount]]*Table17[[#This Row],[First-year, one-time Onboarding/Setup Fee %]],0))</f>
        <v/>
      </c>
      <c r="AW192" s="853"/>
      <c r="AX192" s="867"/>
      <c r="AY192" s="908"/>
      <c r="AZ192" s="909"/>
      <c r="BA192" s="910"/>
      <c r="BB192" s="871"/>
      <c r="BC192" s="871"/>
      <c r="BD192" s="871"/>
      <c r="BE192" s="871"/>
      <c r="BF192" s="871"/>
      <c r="BG192" s="871"/>
      <c r="BH192" s="872"/>
      <c r="BI192" s="874"/>
      <c r="BJ192" s="874"/>
      <c r="BK192" s="874"/>
      <c r="BL192" s="875"/>
      <c r="BM192" s="876"/>
      <c r="BN192" s="911"/>
      <c r="BO192" s="878"/>
      <c r="BP192" s="879"/>
      <c r="BQ192" s="880"/>
      <c r="BR192" s="881"/>
      <c r="BS192" s="882"/>
      <c r="BT192" s="883"/>
      <c r="BU192" s="884"/>
      <c r="BV192" s="884"/>
      <c r="BW192" s="884"/>
      <c r="BX192" s="884"/>
      <c r="BY192" s="884"/>
      <c r="BZ192" s="884"/>
      <c r="CA192" s="884"/>
      <c r="CB192" s="884"/>
      <c r="CC192" s="884"/>
      <c r="CD192" s="884"/>
      <c r="CE192" s="885"/>
      <c r="CF192" s="885" t="str">
        <f>IF($A192="","",IF(#REF!&lt;&gt;0,#REF!-SUM(BT192:CE192),""))</f>
        <v/>
      </c>
      <c r="CG192" s="898" t="str">
        <f>IF(ISBLANK($X192)=FALSE,"NextGenApp Advisory LLC","")</f>
        <v/>
      </c>
      <c r="CH192" s="899" t="str">
        <f>_xlfn.IFNA(INDEX([1]List!AC:AC,MATCH(X192,[1]List!Y:Y,0)),"")</f>
        <v/>
      </c>
      <c r="CI192" s="900"/>
      <c r="CJ192" s="900"/>
      <c r="CK192" s="900"/>
      <c r="CL192" s="900"/>
      <c r="CM192" s="901"/>
      <c r="CN192" s="902"/>
      <c r="CO192" s="903"/>
      <c r="CP192" s="904"/>
      <c r="CQ192" s="892"/>
    </row>
    <row r="193" spans="1:95" x14ac:dyDescent="0.2">
      <c r="A193" s="894"/>
      <c r="B193" s="895"/>
      <c r="C193" s="896"/>
      <c r="D193" s="897"/>
      <c r="E193" s="897"/>
      <c r="F193" s="897"/>
      <c r="G193" s="897"/>
      <c r="H193" s="897"/>
      <c r="I193" s="897"/>
      <c r="J193" s="897"/>
      <c r="K193" s="897"/>
      <c r="L193" s="897"/>
      <c r="M193" s="897"/>
      <c r="N193" s="897"/>
      <c r="O193" s="897"/>
      <c r="P193" s="897"/>
      <c r="Q193" s="897"/>
      <c r="R193" s="897"/>
      <c r="S193" s="897"/>
      <c r="T193" s="897"/>
      <c r="U193" s="895"/>
      <c r="V193" s="852"/>
      <c r="W193" s="853"/>
      <c r="X193" s="853"/>
      <c r="Y193" s="853"/>
      <c r="Z193" s="853"/>
      <c r="AA193" s="853"/>
      <c r="AB193" s="854">
        <f>_xlfn.XLOOKUP(Table17[[#This Row],[Project Delivery Lead]],[1]List!Y:Y,[1]List!AC:AC)</f>
        <v>0</v>
      </c>
      <c r="AC193" s="853" t="str">
        <f>IF($A193="","",'[1]Core Assumptions'!$D213)</f>
        <v/>
      </c>
      <c r="AD193" s="855"/>
      <c r="AE193" s="905"/>
      <c r="AF193" s="857"/>
      <c r="AG193" s="857"/>
      <c r="AH193" s="858"/>
      <c r="AI193" s="858"/>
      <c r="AJ193" s="858"/>
      <c r="AK193" s="858" t="str">
        <f>IF($A193="","",IF('[1]Pricing Summary'!$B$31="T&amp;M","Time and Material","Fixed Fee"))</f>
        <v/>
      </c>
      <c r="AL193" s="856"/>
      <c r="AM193" s="856"/>
      <c r="AN193" s="906" t="str">
        <f>IF($A193="","",'[1]Outputs Recap'!$C$12)</f>
        <v/>
      </c>
      <c r="AO193" s="861" t="str">
        <f>IF($A193="","",VLOOKUP('[1]Outputs Recap'!$C$11,[1]List!$I:$J,2,FALSE))</f>
        <v/>
      </c>
      <c r="AP193" s="856" t="str" cm="1">
        <f t="array" ref="AP193">IF($A193="","",_xlfn.IFS('[1]Pricing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3" s="862" t="str">
        <f>IF($A193="","",_xlfn.XLOOKUP('[1]Core Assumptions'!$D$20,'[1]Other Lookups'!$AH:$AH,'[1]Other Lookups'!$AI:$AI))</f>
        <v/>
      </c>
      <c r="AR193" s="863"/>
      <c r="AS193" s="864" t="str">
        <f>IF($A193="","",'[1]Outputs Recap'!$C$13)</f>
        <v/>
      </c>
      <c r="AT193" s="907"/>
      <c r="AU193" s="907"/>
      <c r="AV193" s="907" t="str">
        <f>IF($A193="","",IFERROR(+Table17[[#This Row],[Total Contract Amount]]*Table17[[#This Row],[First-year, one-time Onboarding/Setup Fee %]],0))</f>
        <v/>
      </c>
      <c r="AW193" s="853"/>
      <c r="AX193" s="867"/>
      <c r="AY193" s="908"/>
      <c r="AZ193" s="909"/>
      <c r="BA193" s="910"/>
      <c r="BB193" s="871"/>
      <c r="BC193" s="871"/>
      <c r="BD193" s="871"/>
      <c r="BE193" s="871"/>
      <c r="BF193" s="871"/>
      <c r="BG193" s="871"/>
      <c r="BH193" s="872"/>
      <c r="BI193" s="874"/>
      <c r="BJ193" s="874"/>
      <c r="BK193" s="874"/>
      <c r="BL193" s="875"/>
      <c r="BM193" s="876"/>
      <c r="BN193" s="911"/>
      <c r="BO193" s="878"/>
      <c r="BP193" s="879"/>
      <c r="BQ193" s="880"/>
      <c r="BR193" s="881"/>
      <c r="BS193" s="882"/>
      <c r="BT193" s="883"/>
      <c r="BU193" s="884"/>
      <c r="BV193" s="884"/>
      <c r="BW193" s="884"/>
      <c r="BX193" s="884"/>
      <c r="BY193" s="884"/>
      <c r="BZ193" s="884"/>
      <c r="CA193" s="884"/>
      <c r="CB193" s="884"/>
      <c r="CC193" s="884"/>
      <c r="CD193" s="884"/>
      <c r="CE193" s="885"/>
      <c r="CF193" s="885" t="str">
        <f>IF($A193="","",IF(#REF!&lt;&gt;0,#REF!-SUM(BT193:CE193),""))</f>
        <v/>
      </c>
      <c r="CG193" s="898" t="str">
        <f>IF(ISBLANK($X193)=FALSE,"NextGenApp Advisory LLC","")</f>
        <v/>
      </c>
      <c r="CH193" s="899" t="str">
        <f>_xlfn.IFNA(INDEX([1]List!AC:AC,MATCH(X193,[1]List!Y:Y,0)),"")</f>
        <v/>
      </c>
      <c r="CI193" s="900"/>
      <c r="CJ193" s="900"/>
      <c r="CK193" s="900"/>
      <c r="CL193" s="900"/>
      <c r="CM193" s="901"/>
      <c r="CN193" s="902"/>
      <c r="CO193" s="903"/>
      <c r="CP193" s="904"/>
      <c r="CQ193" s="892"/>
    </row>
    <row r="194" spans="1:95" x14ac:dyDescent="0.2">
      <c r="A194" s="894"/>
      <c r="B194" s="895"/>
      <c r="C194" s="896"/>
      <c r="D194" s="897"/>
      <c r="E194" s="897"/>
      <c r="F194" s="897"/>
      <c r="G194" s="897"/>
      <c r="H194" s="897"/>
      <c r="I194" s="897"/>
      <c r="J194" s="897"/>
      <c r="K194" s="897"/>
      <c r="L194" s="897"/>
      <c r="M194" s="897"/>
      <c r="N194" s="897"/>
      <c r="O194" s="897"/>
      <c r="P194" s="897"/>
      <c r="Q194" s="897"/>
      <c r="R194" s="897"/>
      <c r="S194" s="897"/>
      <c r="T194" s="897"/>
      <c r="U194" s="895"/>
      <c r="V194" s="852"/>
      <c r="W194" s="853"/>
      <c r="X194" s="853"/>
      <c r="Y194" s="853"/>
      <c r="Z194" s="853"/>
      <c r="AA194" s="853"/>
      <c r="AB194" s="854">
        <f>_xlfn.XLOOKUP(Table17[[#This Row],[Project Delivery Lead]],[1]List!Y:Y,[1]List!AC:AC)</f>
        <v>0</v>
      </c>
      <c r="AC194" s="853" t="str">
        <f>IF($A194="","",'[1]Core Assumptions'!$D214)</f>
        <v/>
      </c>
      <c r="AD194" s="855"/>
      <c r="AE194" s="905"/>
      <c r="AF194" s="857"/>
      <c r="AG194" s="857"/>
      <c r="AH194" s="858"/>
      <c r="AI194" s="858"/>
      <c r="AJ194" s="858"/>
      <c r="AK194" s="858" t="str">
        <f>IF($A194="","",IF('[1]Pricing Summary'!$B$31="T&amp;M","Time and Material","Fixed Fee"))</f>
        <v/>
      </c>
      <c r="AL194" s="856"/>
      <c r="AM194" s="856"/>
      <c r="AN194" s="906" t="str">
        <f>IF($A194="","",'[1]Outputs Recap'!$C$12)</f>
        <v/>
      </c>
      <c r="AO194" s="861" t="str">
        <f>IF($A194="","",VLOOKUP('[1]Outputs Recap'!$C$11,[1]List!$I:$J,2,FALSE))</f>
        <v/>
      </c>
      <c r="AP194" s="856" t="str" cm="1">
        <f t="array" ref="AP194">IF($A194="","",_xlfn.IFS('[1]Pricing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4" s="862" t="str">
        <f>IF($A194="","",_xlfn.XLOOKUP('[1]Core Assumptions'!$D$20,'[1]Other Lookups'!$AH:$AH,'[1]Other Lookups'!$AI:$AI))</f>
        <v/>
      </c>
      <c r="AR194" s="863"/>
      <c r="AS194" s="864" t="str">
        <f>IF($A194="","",'[1]Outputs Recap'!$C$13)</f>
        <v/>
      </c>
      <c r="AT194" s="907"/>
      <c r="AU194" s="907"/>
      <c r="AV194" s="907" t="str">
        <f>IF($A194="","",IFERROR(+Table17[[#This Row],[Total Contract Amount]]*Table17[[#This Row],[First-year, one-time Onboarding/Setup Fee %]],0))</f>
        <v/>
      </c>
      <c r="AW194" s="853"/>
      <c r="AX194" s="867"/>
      <c r="AY194" s="908"/>
      <c r="AZ194" s="909"/>
      <c r="BA194" s="910"/>
      <c r="BB194" s="871"/>
      <c r="BC194" s="871"/>
      <c r="BD194" s="871"/>
      <c r="BE194" s="871"/>
      <c r="BF194" s="871"/>
      <c r="BG194" s="871"/>
      <c r="BH194" s="872"/>
      <c r="BI194" s="874"/>
      <c r="BJ194" s="874"/>
      <c r="BK194" s="874"/>
      <c r="BL194" s="875"/>
      <c r="BM194" s="876"/>
      <c r="BN194" s="911"/>
      <c r="BO194" s="878"/>
      <c r="BP194" s="879"/>
      <c r="BQ194" s="880"/>
      <c r="BR194" s="881"/>
      <c r="BS194" s="882"/>
      <c r="BT194" s="883"/>
      <c r="BU194" s="884"/>
      <c r="BV194" s="884"/>
      <c r="BW194" s="884"/>
      <c r="BX194" s="884"/>
      <c r="BY194" s="884"/>
      <c r="BZ194" s="884"/>
      <c r="CA194" s="884"/>
      <c r="CB194" s="884"/>
      <c r="CC194" s="884"/>
      <c r="CD194" s="884"/>
      <c r="CE194" s="885"/>
      <c r="CF194" s="885" t="str">
        <f>IF($A194="","",IF(#REF!&lt;&gt;0,#REF!-SUM(BT194:CE194),""))</f>
        <v/>
      </c>
      <c r="CG194" s="898" t="str">
        <f>IF(ISBLANK($X194)=FALSE,"NextGenApp Advisory LLC","")</f>
        <v/>
      </c>
      <c r="CH194" s="899" t="str">
        <f>_xlfn.IFNA(INDEX([1]List!AC:AC,MATCH(X194,[1]List!Y:Y,0)),"")</f>
        <v/>
      </c>
      <c r="CI194" s="900"/>
      <c r="CJ194" s="900"/>
      <c r="CK194" s="900"/>
      <c r="CL194" s="900"/>
      <c r="CM194" s="901"/>
      <c r="CN194" s="902"/>
      <c r="CO194" s="903"/>
      <c r="CP194" s="904"/>
      <c r="CQ194" s="892"/>
    </row>
    <row r="195" spans="1:95" x14ac:dyDescent="0.2">
      <c r="A195" s="894"/>
      <c r="B195" s="895"/>
      <c r="C195" s="896"/>
      <c r="D195" s="897"/>
      <c r="E195" s="897"/>
      <c r="F195" s="897"/>
      <c r="G195" s="897"/>
      <c r="H195" s="897"/>
      <c r="I195" s="897"/>
      <c r="J195" s="897"/>
      <c r="K195" s="897"/>
      <c r="L195" s="897"/>
      <c r="M195" s="897"/>
      <c r="N195" s="897"/>
      <c r="O195" s="897"/>
      <c r="P195" s="897"/>
      <c r="Q195" s="897"/>
      <c r="R195" s="897"/>
      <c r="S195" s="897"/>
      <c r="T195" s="897"/>
      <c r="U195" s="895"/>
      <c r="V195" s="852"/>
      <c r="W195" s="853"/>
      <c r="X195" s="853"/>
      <c r="Y195" s="853"/>
      <c r="Z195" s="853"/>
      <c r="AA195" s="853"/>
      <c r="AB195" s="854">
        <f>_xlfn.XLOOKUP(Table17[[#This Row],[Project Delivery Lead]],[1]List!Y:Y,[1]List!AC:AC)</f>
        <v>0</v>
      </c>
      <c r="AC195" s="853" t="str">
        <f>IF($A195="","",'[1]Core Assumptions'!$D215)</f>
        <v/>
      </c>
      <c r="AD195" s="855"/>
      <c r="AE195" s="905"/>
      <c r="AF195" s="857"/>
      <c r="AG195" s="857"/>
      <c r="AH195" s="858"/>
      <c r="AI195" s="858"/>
      <c r="AJ195" s="858"/>
      <c r="AK195" s="858" t="str">
        <f>IF($A195="","",IF('[1]Pricing Summary'!$B$31="T&amp;M","Time and Material","Fixed Fee"))</f>
        <v/>
      </c>
      <c r="AL195" s="856"/>
      <c r="AM195" s="856"/>
      <c r="AN195" s="906" t="str">
        <f>IF($A195="","",'[1]Outputs Recap'!$C$12)</f>
        <v/>
      </c>
      <c r="AO195" s="861" t="str">
        <f>IF($A195="","",VLOOKUP('[1]Outputs Recap'!$C$11,[1]List!$I:$J,2,FALSE))</f>
        <v/>
      </c>
      <c r="AP195" s="856" t="str" cm="1">
        <f t="array" ref="AP195">IF($A195="","",_xlfn.IFS('[1]Pricing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5" s="862" t="str">
        <f>IF($A195="","",_xlfn.XLOOKUP('[1]Core Assumptions'!$D$20,'[1]Other Lookups'!$AH:$AH,'[1]Other Lookups'!$AI:$AI))</f>
        <v/>
      </c>
      <c r="AR195" s="863"/>
      <c r="AS195" s="864" t="str">
        <f>IF($A195="","",'[1]Outputs Recap'!$C$13)</f>
        <v/>
      </c>
      <c r="AT195" s="907"/>
      <c r="AU195" s="907"/>
      <c r="AV195" s="907" t="str">
        <f>IF($A195="","",IFERROR(+Table17[[#This Row],[Total Contract Amount]]*Table17[[#This Row],[First-year, one-time Onboarding/Setup Fee %]],0))</f>
        <v/>
      </c>
      <c r="AW195" s="853"/>
      <c r="AX195" s="867"/>
      <c r="AY195" s="908"/>
      <c r="AZ195" s="909"/>
      <c r="BA195" s="910"/>
      <c r="BB195" s="871"/>
      <c r="BC195" s="871"/>
      <c r="BD195" s="871"/>
      <c r="BE195" s="871"/>
      <c r="BF195" s="871"/>
      <c r="BG195" s="871"/>
      <c r="BH195" s="872"/>
      <c r="BI195" s="874"/>
      <c r="BJ195" s="874"/>
      <c r="BK195" s="874"/>
      <c r="BL195" s="875"/>
      <c r="BM195" s="876"/>
      <c r="BN195" s="911"/>
      <c r="BO195" s="878"/>
      <c r="BP195" s="879"/>
      <c r="BQ195" s="880"/>
      <c r="BR195" s="881"/>
      <c r="BS195" s="882"/>
      <c r="BT195" s="883"/>
      <c r="BU195" s="884"/>
      <c r="BV195" s="884"/>
      <c r="BW195" s="884"/>
      <c r="BX195" s="884"/>
      <c r="BY195" s="884"/>
      <c r="BZ195" s="884"/>
      <c r="CA195" s="884"/>
      <c r="CB195" s="884"/>
      <c r="CC195" s="884"/>
      <c r="CD195" s="884"/>
      <c r="CE195" s="885"/>
      <c r="CF195" s="885" t="str">
        <f>IF($A195="","",IF(#REF!&lt;&gt;0,#REF!-SUM(BT195:CE195),""))</f>
        <v/>
      </c>
      <c r="CG195" s="898" t="str">
        <f>IF(ISBLANK($X195)=FALSE,"NextGenApp Advisory LLC","")</f>
        <v/>
      </c>
      <c r="CH195" s="899" t="str">
        <f>_xlfn.IFNA(INDEX([1]List!AC:AC,MATCH(X195,[1]List!Y:Y,0)),"")</f>
        <v/>
      </c>
      <c r="CI195" s="900"/>
      <c r="CJ195" s="900"/>
      <c r="CK195" s="900"/>
      <c r="CL195" s="900"/>
      <c r="CM195" s="901"/>
      <c r="CN195" s="902"/>
      <c r="CO195" s="903"/>
      <c r="CP195" s="904"/>
      <c r="CQ195" s="892"/>
    </row>
    <row r="196" spans="1:95" x14ac:dyDescent="0.2">
      <c r="A196" s="894"/>
      <c r="B196" s="895"/>
      <c r="C196" s="896"/>
      <c r="D196" s="897"/>
      <c r="E196" s="897"/>
      <c r="F196" s="897"/>
      <c r="G196" s="897"/>
      <c r="H196" s="897"/>
      <c r="I196" s="897"/>
      <c r="J196" s="897"/>
      <c r="K196" s="897"/>
      <c r="L196" s="897"/>
      <c r="M196" s="897"/>
      <c r="N196" s="897"/>
      <c r="O196" s="897"/>
      <c r="P196" s="897"/>
      <c r="Q196" s="897"/>
      <c r="R196" s="897"/>
      <c r="S196" s="897"/>
      <c r="T196" s="897"/>
      <c r="U196" s="895"/>
      <c r="V196" s="852"/>
      <c r="W196" s="853"/>
      <c r="X196" s="853"/>
      <c r="Y196" s="853"/>
      <c r="Z196" s="853"/>
      <c r="AA196" s="853"/>
      <c r="AB196" s="854">
        <f>_xlfn.XLOOKUP(Table17[[#This Row],[Project Delivery Lead]],[1]List!Y:Y,[1]List!AC:AC)</f>
        <v>0</v>
      </c>
      <c r="AC196" s="853" t="str">
        <f>IF($A196="","",'[1]Core Assumptions'!$D216)</f>
        <v/>
      </c>
      <c r="AD196" s="855"/>
      <c r="AE196" s="905"/>
      <c r="AF196" s="857"/>
      <c r="AG196" s="857"/>
      <c r="AH196" s="858"/>
      <c r="AI196" s="858"/>
      <c r="AJ196" s="858"/>
      <c r="AK196" s="858" t="str">
        <f>IF($A196="","",IF('[1]Pricing Summary'!$B$31="T&amp;M","Time and Material","Fixed Fee"))</f>
        <v/>
      </c>
      <c r="AL196" s="856"/>
      <c r="AM196" s="856"/>
      <c r="AN196" s="906" t="str">
        <f>IF($A196="","",'[1]Outputs Recap'!$C$12)</f>
        <v/>
      </c>
      <c r="AO196" s="861" t="str">
        <f>IF($A196="","",VLOOKUP('[1]Outputs Recap'!$C$11,[1]List!$I:$J,2,FALSE))</f>
        <v/>
      </c>
      <c r="AP196" s="856" t="str" cm="1">
        <f t="array" ref="AP196">IF($A196="","",_xlfn.IFS('[1]Pricing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6" s="862" t="str">
        <f>IF($A196="","",_xlfn.XLOOKUP('[1]Core Assumptions'!$D$20,'[1]Other Lookups'!$AH:$AH,'[1]Other Lookups'!$AI:$AI))</f>
        <v/>
      </c>
      <c r="AR196" s="863"/>
      <c r="AS196" s="864" t="str">
        <f>IF($A196="","",'[1]Outputs Recap'!$C$13)</f>
        <v/>
      </c>
      <c r="AT196" s="907"/>
      <c r="AU196" s="907"/>
      <c r="AV196" s="907" t="str">
        <f>IF($A196="","",IFERROR(+Table17[[#This Row],[Total Contract Amount]]*Table17[[#This Row],[First-year, one-time Onboarding/Setup Fee %]],0))</f>
        <v/>
      </c>
      <c r="AW196" s="853"/>
      <c r="AX196" s="867"/>
      <c r="AY196" s="908"/>
      <c r="AZ196" s="909"/>
      <c r="BA196" s="910"/>
      <c r="BB196" s="871"/>
      <c r="BC196" s="871"/>
      <c r="BD196" s="871"/>
      <c r="BE196" s="871"/>
      <c r="BF196" s="871"/>
      <c r="BG196" s="871"/>
      <c r="BH196" s="872"/>
      <c r="BI196" s="874"/>
      <c r="BJ196" s="874"/>
      <c r="BK196" s="874"/>
      <c r="BL196" s="875"/>
      <c r="BM196" s="876"/>
      <c r="BN196" s="911"/>
      <c r="BO196" s="878"/>
      <c r="BP196" s="879"/>
      <c r="BQ196" s="880"/>
      <c r="BR196" s="881"/>
      <c r="BS196" s="882"/>
      <c r="BT196" s="883"/>
      <c r="BU196" s="884"/>
      <c r="BV196" s="884"/>
      <c r="BW196" s="884"/>
      <c r="BX196" s="884"/>
      <c r="BY196" s="884"/>
      <c r="BZ196" s="884"/>
      <c r="CA196" s="884"/>
      <c r="CB196" s="884"/>
      <c r="CC196" s="884"/>
      <c r="CD196" s="884"/>
      <c r="CE196" s="885"/>
      <c r="CF196" s="885" t="str">
        <f>IF($A196="","",IF(#REF!&lt;&gt;0,#REF!-SUM(BT196:CE196),""))</f>
        <v/>
      </c>
      <c r="CG196" s="898" t="str">
        <f>IF(ISBLANK($X196)=FALSE,"NextGenApp Advisory LLC","")</f>
        <v/>
      </c>
      <c r="CH196" s="899" t="str">
        <f>_xlfn.IFNA(INDEX([1]List!AC:AC,MATCH(X196,[1]List!Y:Y,0)),"")</f>
        <v/>
      </c>
      <c r="CI196" s="900"/>
      <c r="CJ196" s="900"/>
      <c r="CK196" s="900"/>
      <c r="CL196" s="900"/>
      <c r="CM196" s="901"/>
      <c r="CN196" s="902"/>
      <c r="CO196" s="903"/>
      <c r="CP196" s="904"/>
      <c r="CQ196" s="892"/>
    </row>
    <row r="197" spans="1:95" x14ac:dyDescent="0.2">
      <c r="A197" s="894"/>
      <c r="B197" s="895"/>
      <c r="C197" s="896"/>
      <c r="D197" s="897"/>
      <c r="E197" s="897"/>
      <c r="F197" s="897"/>
      <c r="G197" s="897"/>
      <c r="H197" s="897"/>
      <c r="I197" s="897"/>
      <c r="J197" s="897"/>
      <c r="K197" s="897"/>
      <c r="L197" s="897"/>
      <c r="M197" s="897"/>
      <c r="N197" s="897"/>
      <c r="O197" s="897"/>
      <c r="P197" s="897"/>
      <c r="Q197" s="897"/>
      <c r="R197" s="897"/>
      <c r="S197" s="897"/>
      <c r="T197" s="897"/>
      <c r="U197" s="895"/>
      <c r="V197" s="852"/>
      <c r="W197" s="853"/>
      <c r="X197" s="853"/>
      <c r="Y197" s="853"/>
      <c r="Z197" s="853"/>
      <c r="AA197" s="853"/>
      <c r="AB197" s="854">
        <f>_xlfn.XLOOKUP(Table17[[#This Row],[Project Delivery Lead]],[1]List!Y:Y,[1]List!AC:AC)</f>
        <v>0</v>
      </c>
      <c r="AC197" s="853" t="str">
        <f>IF($A197="","",'[1]Core Assumptions'!$D217)</f>
        <v/>
      </c>
      <c r="AD197" s="855"/>
      <c r="AE197" s="905"/>
      <c r="AF197" s="857"/>
      <c r="AG197" s="857"/>
      <c r="AH197" s="858"/>
      <c r="AI197" s="858"/>
      <c r="AJ197" s="858"/>
      <c r="AK197" s="858" t="str">
        <f>IF($A197="","",IF('[1]Pricing Summary'!$B$31="T&amp;M","Time and Material","Fixed Fee"))</f>
        <v/>
      </c>
      <c r="AL197" s="856"/>
      <c r="AM197" s="856"/>
      <c r="AN197" s="906" t="str">
        <f>IF($A197="","",'[1]Outputs Recap'!$C$12)</f>
        <v/>
      </c>
      <c r="AO197" s="861" t="str">
        <f>IF($A197="","",VLOOKUP('[1]Outputs Recap'!$C$11,[1]List!$I:$J,2,FALSE))</f>
        <v/>
      </c>
      <c r="AP197" s="856" t="str" cm="1">
        <f t="array" ref="AP197">IF($A197="","",_xlfn.IFS('[1]Pricing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7" s="862" t="str">
        <f>IF($A197="","",_xlfn.XLOOKUP('[1]Core Assumptions'!$D$20,'[1]Other Lookups'!$AH:$AH,'[1]Other Lookups'!$AI:$AI))</f>
        <v/>
      </c>
      <c r="AR197" s="863"/>
      <c r="AS197" s="864" t="str">
        <f>IF($A197="","",'[1]Outputs Recap'!$C$13)</f>
        <v/>
      </c>
      <c r="AT197" s="907"/>
      <c r="AU197" s="907"/>
      <c r="AV197" s="907" t="str">
        <f>IF($A197="","",IFERROR(+Table17[[#This Row],[Total Contract Amount]]*Table17[[#This Row],[First-year, one-time Onboarding/Setup Fee %]],0))</f>
        <v/>
      </c>
      <c r="AW197" s="853"/>
      <c r="AX197" s="867"/>
      <c r="AY197" s="908"/>
      <c r="AZ197" s="909"/>
      <c r="BA197" s="910"/>
      <c r="BB197" s="871"/>
      <c r="BC197" s="871"/>
      <c r="BD197" s="871"/>
      <c r="BE197" s="871"/>
      <c r="BF197" s="871"/>
      <c r="BG197" s="871"/>
      <c r="BH197" s="872"/>
      <c r="BI197" s="874"/>
      <c r="BJ197" s="874"/>
      <c r="BK197" s="874"/>
      <c r="BL197" s="875"/>
      <c r="BM197" s="876"/>
      <c r="BN197" s="911"/>
      <c r="BO197" s="878"/>
      <c r="BP197" s="879"/>
      <c r="BQ197" s="880"/>
      <c r="BR197" s="881"/>
      <c r="BS197" s="882"/>
      <c r="BT197" s="883"/>
      <c r="BU197" s="884"/>
      <c r="BV197" s="884"/>
      <c r="BW197" s="884"/>
      <c r="BX197" s="884"/>
      <c r="BY197" s="884"/>
      <c r="BZ197" s="884"/>
      <c r="CA197" s="884"/>
      <c r="CB197" s="884"/>
      <c r="CC197" s="884"/>
      <c r="CD197" s="884"/>
      <c r="CE197" s="885"/>
      <c r="CF197" s="885" t="str">
        <f>IF($A197="","",IF(#REF!&lt;&gt;0,#REF!-SUM(BT197:CE197),""))</f>
        <v/>
      </c>
      <c r="CG197" s="898" t="str">
        <f>IF(ISBLANK($X197)=FALSE,"NextGenApp Advisory LLC","")</f>
        <v/>
      </c>
      <c r="CH197" s="899" t="str">
        <f>_xlfn.IFNA(INDEX([1]List!AC:AC,MATCH(X197,[1]List!Y:Y,0)),"")</f>
        <v/>
      </c>
      <c r="CI197" s="900"/>
      <c r="CJ197" s="900"/>
      <c r="CK197" s="900"/>
      <c r="CL197" s="900"/>
      <c r="CM197" s="901"/>
      <c r="CN197" s="902"/>
      <c r="CO197" s="903"/>
      <c r="CP197" s="904"/>
      <c r="CQ197" s="892"/>
    </row>
    <row r="198" spans="1:95" x14ac:dyDescent="0.2">
      <c r="A198" s="894"/>
      <c r="B198" s="895"/>
      <c r="C198" s="896"/>
      <c r="D198" s="897"/>
      <c r="E198" s="897"/>
      <c r="F198" s="897"/>
      <c r="G198" s="897"/>
      <c r="H198" s="897"/>
      <c r="I198" s="897"/>
      <c r="J198" s="897"/>
      <c r="K198" s="897"/>
      <c r="L198" s="897"/>
      <c r="M198" s="897"/>
      <c r="N198" s="897"/>
      <c r="O198" s="897"/>
      <c r="P198" s="897"/>
      <c r="Q198" s="897"/>
      <c r="R198" s="897"/>
      <c r="S198" s="897"/>
      <c r="T198" s="897"/>
      <c r="U198" s="895"/>
      <c r="V198" s="852"/>
      <c r="W198" s="853"/>
      <c r="X198" s="853"/>
      <c r="Y198" s="853"/>
      <c r="Z198" s="853"/>
      <c r="AA198" s="853"/>
      <c r="AB198" s="854">
        <f>_xlfn.XLOOKUP(Table17[[#This Row],[Project Delivery Lead]],[1]List!Y:Y,[1]List!AC:AC)</f>
        <v>0</v>
      </c>
      <c r="AC198" s="853" t="str">
        <f>IF($A198="","",'[1]Core Assumptions'!$D218)</f>
        <v/>
      </c>
      <c r="AD198" s="855"/>
      <c r="AE198" s="905"/>
      <c r="AF198" s="857"/>
      <c r="AG198" s="857"/>
      <c r="AH198" s="858"/>
      <c r="AI198" s="858"/>
      <c r="AJ198" s="858"/>
      <c r="AK198" s="858" t="str">
        <f>IF($A198="","",IF('[1]Pricing Summary'!$B$31="T&amp;M","Time and Material","Fixed Fee"))</f>
        <v/>
      </c>
      <c r="AL198" s="856"/>
      <c r="AM198" s="856"/>
      <c r="AN198" s="906" t="str">
        <f>IF($A198="","",'[1]Outputs Recap'!$C$12)</f>
        <v/>
      </c>
      <c r="AO198" s="861" t="str">
        <f>IF($A198="","",VLOOKUP('[1]Outputs Recap'!$C$11,[1]List!$I:$J,2,FALSE))</f>
        <v/>
      </c>
      <c r="AP198" s="856" t="str" cm="1">
        <f t="array" ref="AP198">IF($A198="","",_xlfn.IFS('[1]Pricing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8" s="862" t="str">
        <f>IF($A198="","",_xlfn.XLOOKUP('[1]Core Assumptions'!$D$20,'[1]Other Lookups'!$AH:$AH,'[1]Other Lookups'!$AI:$AI))</f>
        <v/>
      </c>
      <c r="AR198" s="863"/>
      <c r="AS198" s="864" t="str">
        <f>IF($A198="","",'[1]Outputs Recap'!$C$13)</f>
        <v/>
      </c>
      <c r="AT198" s="907"/>
      <c r="AU198" s="907"/>
      <c r="AV198" s="907" t="str">
        <f>IF($A198="","",IFERROR(+Table17[[#This Row],[Total Contract Amount]]*Table17[[#This Row],[First-year, one-time Onboarding/Setup Fee %]],0))</f>
        <v/>
      </c>
      <c r="AW198" s="853"/>
      <c r="AX198" s="867"/>
      <c r="AY198" s="908"/>
      <c r="AZ198" s="909"/>
      <c r="BA198" s="910"/>
      <c r="BB198" s="871"/>
      <c r="BC198" s="871"/>
      <c r="BD198" s="871"/>
      <c r="BE198" s="871"/>
      <c r="BF198" s="871"/>
      <c r="BG198" s="871"/>
      <c r="BH198" s="872"/>
      <c r="BI198" s="874"/>
      <c r="BJ198" s="874"/>
      <c r="BK198" s="874"/>
      <c r="BL198" s="875"/>
      <c r="BM198" s="876"/>
      <c r="BN198" s="911"/>
      <c r="BO198" s="878"/>
      <c r="BP198" s="879"/>
      <c r="BQ198" s="880"/>
      <c r="BR198" s="881"/>
      <c r="BS198" s="882"/>
      <c r="BT198" s="883"/>
      <c r="BU198" s="884"/>
      <c r="BV198" s="884"/>
      <c r="BW198" s="884"/>
      <c r="BX198" s="884"/>
      <c r="BY198" s="884"/>
      <c r="BZ198" s="884"/>
      <c r="CA198" s="884"/>
      <c r="CB198" s="884"/>
      <c r="CC198" s="884"/>
      <c r="CD198" s="884"/>
      <c r="CE198" s="885"/>
      <c r="CF198" s="885" t="str">
        <f>IF($A198="","",IF(#REF!&lt;&gt;0,#REF!-SUM(BT198:CE198),""))</f>
        <v/>
      </c>
      <c r="CG198" s="898" t="str">
        <f>IF(ISBLANK($X198)=FALSE,"NextGenApp Advisory LLC","")</f>
        <v/>
      </c>
      <c r="CH198" s="899" t="str">
        <f>_xlfn.IFNA(INDEX([1]List!AC:AC,MATCH(X198,[1]List!Y:Y,0)),"")</f>
        <v/>
      </c>
      <c r="CI198" s="900"/>
      <c r="CJ198" s="900"/>
      <c r="CK198" s="900"/>
      <c r="CL198" s="900"/>
      <c r="CM198" s="901"/>
      <c r="CN198" s="902"/>
      <c r="CO198" s="903"/>
      <c r="CP198" s="904"/>
      <c r="CQ198" s="892"/>
    </row>
    <row r="199" spans="1:95" x14ac:dyDescent="0.2">
      <c r="A199" s="894"/>
      <c r="B199" s="895"/>
      <c r="C199" s="896"/>
      <c r="D199" s="897"/>
      <c r="E199" s="897"/>
      <c r="F199" s="897"/>
      <c r="G199" s="897"/>
      <c r="H199" s="897"/>
      <c r="I199" s="897"/>
      <c r="J199" s="897"/>
      <c r="K199" s="897"/>
      <c r="L199" s="897"/>
      <c r="M199" s="897"/>
      <c r="N199" s="897"/>
      <c r="O199" s="897"/>
      <c r="P199" s="897"/>
      <c r="Q199" s="897"/>
      <c r="R199" s="897"/>
      <c r="S199" s="897"/>
      <c r="T199" s="897"/>
      <c r="U199" s="895"/>
      <c r="V199" s="852"/>
      <c r="W199" s="853"/>
      <c r="X199" s="853"/>
      <c r="Y199" s="853"/>
      <c r="Z199" s="853"/>
      <c r="AA199" s="853"/>
      <c r="AB199" s="854">
        <f>_xlfn.XLOOKUP(Table17[[#This Row],[Project Delivery Lead]],[1]List!Y:Y,[1]List!AC:AC)</f>
        <v>0</v>
      </c>
      <c r="AC199" s="853" t="str">
        <f>IF($A199="","",'[1]Core Assumptions'!$D219)</f>
        <v/>
      </c>
      <c r="AD199" s="855"/>
      <c r="AE199" s="905"/>
      <c r="AF199" s="857"/>
      <c r="AG199" s="857"/>
      <c r="AH199" s="858"/>
      <c r="AI199" s="858"/>
      <c r="AJ199" s="858"/>
      <c r="AK199" s="858" t="str">
        <f>IF($A199="","",IF('[1]Pricing Summary'!$B$31="T&amp;M","Time and Material","Fixed Fee"))</f>
        <v/>
      </c>
      <c r="AL199" s="856"/>
      <c r="AM199" s="856"/>
      <c r="AN199" s="906" t="str">
        <f>IF($A199="","",'[1]Outputs Recap'!$C$12)</f>
        <v/>
      </c>
      <c r="AO199" s="861" t="str">
        <f>IF($A199="","",VLOOKUP('[1]Outputs Recap'!$C$11,[1]List!$I:$J,2,FALSE))</f>
        <v/>
      </c>
      <c r="AP199" s="856" t="str" cm="1">
        <f t="array" ref="AP199">IF($A199="","",_xlfn.IFS('[1]Pricing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199" s="862" t="str">
        <f>IF($A199="","",_xlfn.XLOOKUP('[1]Core Assumptions'!$D$20,'[1]Other Lookups'!$AH:$AH,'[1]Other Lookups'!$AI:$AI))</f>
        <v/>
      </c>
      <c r="AR199" s="863"/>
      <c r="AS199" s="864" t="str">
        <f>IF($A199="","",'[1]Outputs Recap'!$C$13)</f>
        <v/>
      </c>
      <c r="AT199" s="907"/>
      <c r="AU199" s="907"/>
      <c r="AV199" s="907" t="str">
        <f>IF($A199="","",IFERROR(+Table17[[#This Row],[Total Contract Amount]]*Table17[[#This Row],[First-year, one-time Onboarding/Setup Fee %]],0))</f>
        <v/>
      </c>
      <c r="AW199" s="853"/>
      <c r="AX199" s="867"/>
      <c r="AY199" s="908"/>
      <c r="AZ199" s="909"/>
      <c r="BA199" s="910"/>
      <c r="BB199" s="871"/>
      <c r="BC199" s="871"/>
      <c r="BD199" s="871"/>
      <c r="BE199" s="871"/>
      <c r="BF199" s="871"/>
      <c r="BG199" s="871"/>
      <c r="BH199" s="872"/>
      <c r="BI199" s="874"/>
      <c r="BJ199" s="874"/>
      <c r="BK199" s="874"/>
      <c r="BL199" s="875"/>
      <c r="BM199" s="876"/>
      <c r="BN199" s="911"/>
      <c r="BO199" s="878"/>
      <c r="BP199" s="879"/>
      <c r="BQ199" s="880"/>
      <c r="BR199" s="881"/>
      <c r="BS199" s="882"/>
      <c r="BT199" s="883"/>
      <c r="BU199" s="884"/>
      <c r="BV199" s="884"/>
      <c r="BW199" s="884"/>
      <c r="BX199" s="884"/>
      <c r="BY199" s="884"/>
      <c r="BZ199" s="884"/>
      <c r="CA199" s="884"/>
      <c r="CB199" s="884"/>
      <c r="CC199" s="884"/>
      <c r="CD199" s="884"/>
      <c r="CE199" s="885"/>
      <c r="CF199" s="885" t="str">
        <f>IF($A199="","",IF(#REF!&lt;&gt;0,#REF!-SUM(BT199:CE199),""))</f>
        <v/>
      </c>
      <c r="CG199" s="898" t="str">
        <f>IF(ISBLANK($X199)=FALSE,"NextGenApp Advisory LLC","")</f>
        <v/>
      </c>
      <c r="CH199" s="899" t="str">
        <f>_xlfn.IFNA(INDEX([1]List!AC:AC,MATCH(X199,[1]List!Y:Y,0)),"")</f>
        <v/>
      </c>
      <c r="CI199" s="900"/>
      <c r="CJ199" s="900"/>
      <c r="CK199" s="900"/>
      <c r="CL199" s="900"/>
      <c r="CM199" s="901"/>
      <c r="CN199" s="902"/>
      <c r="CO199" s="903"/>
      <c r="CP199" s="904"/>
      <c r="CQ199" s="892"/>
    </row>
    <row r="200" spans="1:95" x14ac:dyDescent="0.2">
      <c r="A200" s="894"/>
      <c r="B200" s="895"/>
      <c r="C200" s="896"/>
      <c r="D200" s="897"/>
      <c r="E200" s="897"/>
      <c r="F200" s="897"/>
      <c r="G200" s="897"/>
      <c r="H200" s="897"/>
      <c r="I200" s="897"/>
      <c r="J200" s="897"/>
      <c r="K200" s="897"/>
      <c r="L200" s="897"/>
      <c r="M200" s="897"/>
      <c r="N200" s="897"/>
      <c r="O200" s="897"/>
      <c r="P200" s="897"/>
      <c r="Q200" s="897"/>
      <c r="R200" s="897"/>
      <c r="S200" s="897"/>
      <c r="T200" s="897"/>
      <c r="U200" s="895"/>
      <c r="V200" s="852"/>
      <c r="W200" s="853"/>
      <c r="X200" s="853"/>
      <c r="Y200" s="853"/>
      <c r="Z200" s="853"/>
      <c r="AA200" s="853"/>
      <c r="AB200" s="854">
        <f>_xlfn.XLOOKUP(Table17[[#This Row],[Project Delivery Lead]],[1]List!Y:Y,[1]List!AC:AC)</f>
        <v>0</v>
      </c>
      <c r="AC200" s="853" t="str">
        <f>IF($A200="","",'[1]Core Assumptions'!$D220)</f>
        <v/>
      </c>
      <c r="AD200" s="855"/>
      <c r="AE200" s="905"/>
      <c r="AF200" s="857"/>
      <c r="AG200" s="857"/>
      <c r="AH200" s="858"/>
      <c r="AI200" s="858"/>
      <c r="AJ200" s="858"/>
      <c r="AK200" s="858" t="str">
        <f>IF($A200="","",IF('[1]Pricing Summary'!$B$31="T&amp;M","Time and Material","Fixed Fee"))</f>
        <v/>
      </c>
      <c r="AL200" s="856"/>
      <c r="AM200" s="856"/>
      <c r="AN200" s="906" t="str">
        <f>IF($A200="","",'[1]Outputs Recap'!$C$12)</f>
        <v/>
      </c>
      <c r="AO200" s="861" t="str">
        <f>IF($A200="","",VLOOKUP('[1]Outputs Recap'!$C$11,[1]List!$I:$J,2,FALSE))</f>
        <v/>
      </c>
      <c r="AP200" s="856" t="str" cm="1">
        <f t="array" ref="AP200">IF($A200="","",_xlfn.IFS('[1]Pricing Summary'!$B$31="Fixed Fee",VLOOKUP(Table17[[#This Row],[Estimated Realization at Standard Bill Rates
Year 1]],[1]List!$J:$K,2,FALSE),'[1]Core Assumptions'!$D$20='[1]Rates + Costs'!$B$3,[1]List!$K$35,'[1]Core Assumptions'!$D$20='[1]Rates + Costs'!$C$3,[1]List!$K$36,'[1]Core Assumptions'!$D$20='[1]Rates + Costs'!$D$3,[1]List!$K$42,'[1]Core Assumptions'!$D$20='[1]Rates + Costs'!$E$3,[1]List!$K$40,'[1]Core Assumptions'!$D$20='[1]Rates + Costs'!$F$3,[1]List!$K$37,'[1]Core Assumptions'!$D$20='[1]Rates + Costs'!$G$3,[1]List!$K$39,'[1]Core Assumptions'!$D$20='[1]Rates + Costs'!$H$3,[1]List!$K$38,'[1]Core Assumptions'!$D$20='[1]Rates + Costs'!$I$3,[1]List!$K$41))</f>
        <v/>
      </c>
      <c r="AQ200" s="862" t="str">
        <f>IF($A200="","",_xlfn.XLOOKUP('[1]Core Assumptions'!$D$20,'[1]Other Lookups'!$AH:$AH,'[1]Other Lookups'!$AI:$AI))</f>
        <v/>
      </c>
      <c r="AR200" s="863"/>
      <c r="AS200" s="864" t="str">
        <f>IF($A200="","",'[1]Outputs Recap'!$C$13)</f>
        <v/>
      </c>
      <c r="AT200" s="907"/>
      <c r="AU200" s="907"/>
      <c r="AV200" s="907" t="str">
        <f>IF($A200="","",IFERROR(+Table17[[#This Row],[Total Contract Amount]]*Table17[[#This Row],[First-year, one-time Onboarding/Setup Fee %]],0))</f>
        <v/>
      </c>
      <c r="AW200" s="853"/>
      <c r="AX200" s="867"/>
      <c r="AY200" s="908"/>
      <c r="AZ200" s="909"/>
      <c r="BA200" s="910"/>
      <c r="BB200" s="871"/>
      <c r="BC200" s="871"/>
      <c r="BD200" s="871"/>
      <c r="BE200" s="871"/>
      <c r="BF200" s="871"/>
      <c r="BG200" s="871"/>
      <c r="BH200" s="872"/>
      <c r="BI200" s="874"/>
      <c r="BJ200" s="874"/>
      <c r="BK200" s="874"/>
      <c r="BL200" s="875"/>
      <c r="BM200" s="876"/>
      <c r="BN200" s="911"/>
      <c r="BO200" s="878"/>
      <c r="BP200" s="879"/>
      <c r="BQ200" s="880"/>
      <c r="BR200" s="881"/>
      <c r="BS200" s="882"/>
      <c r="BT200" s="883"/>
      <c r="BU200" s="884"/>
      <c r="BV200" s="884"/>
      <c r="BW200" s="884"/>
      <c r="BX200" s="884"/>
      <c r="BY200" s="884"/>
      <c r="BZ200" s="884"/>
      <c r="CA200" s="884"/>
      <c r="CB200" s="884"/>
      <c r="CC200" s="884"/>
      <c r="CD200" s="884"/>
      <c r="CE200" s="885"/>
      <c r="CF200" s="885" t="str">
        <f>IF($A200="","",IF(#REF!&lt;&gt;0,#REF!-SUM(BT200:CE200),""))</f>
        <v/>
      </c>
      <c r="CG200" s="898" t="str">
        <f>IF(ISBLANK($X200)=FALSE,"NextGenApp Advisory LLC","")</f>
        <v/>
      </c>
      <c r="CH200" s="899" t="str">
        <f>_xlfn.IFNA(INDEX([1]List!AC:AC,MATCH(X200,[1]List!Y:Y,0)),"")</f>
        <v/>
      </c>
      <c r="CI200" s="900"/>
      <c r="CJ200" s="900"/>
      <c r="CK200" s="900"/>
      <c r="CL200" s="900"/>
      <c r="CM200" s="901"/>
      <c r="CN200" s="902"/>
      <c r="CO200" s="903"/>
      <c r="CP200" s="904"/>
      <c r="CQ200" s="892"/>
    </row>
  </sheetData>
  <mergeCells count="7">
    <mergeCell ref="BQ8:BS9"/>
    <mergeCell ref="CN8:CP9"/>
    <mergeCell ref="AX9:AY9"/>
    <mergeCell ref="BI9:BL9"/>
    <mergeCell ref="BM9:BN9"/>
    <mergeCell ref="BO9:BP9"/>
    <mergeCell ref="CG9:CM9"/>
  </mergeCells>
  <dataValidations count="2">
    <dataValidation type="list" allowBlank="1" showInputMessage="1" showErrorMessage="1" sqref="BO12:BP200" xr:uid="{1348647A-3FF9-544D-829B-A1210FD711FA}">
      <formula1>"Yes,No"</formula1>
    </dataValidation>
    <dataValidation type="date" operator="greaterThan" allowBlank="1" showInputMessage="1" showErrorMessage="1" sqref="AF12:AG200" xr:uid="{A76E6745-3549-7546-A6A7-29C87893556A}">
      <formula1>36526</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0F7C-28CB-7347-99E7-78EDB2C59AFB}">
  <dimension ref="A1:AS480"/>
  <sheetViews>
    <sheetView tabSelected="1" workbookViewId="0">
      <selection activeCell="H17" sqref="H17"/>
    </sheetView>
  </sheetViews>
  <sheetFormatPr baseColWidth="10" defaultColWidth="8.83203125" defaultRowHeight="15" x14ac:dyDescent="0.2"/>
  <cols>
    <col min="1" max="1" width="12.6640625" style="917" customWidth="1"/>
    <col min="2" max="2" width="36.33203125" style="917" customWidth="1"/>
    <col min="3" max="3" width="20.83203125" style="917" customWidth="1"/>
    <col min="4" max="4" width="13.83203125" style="917" customWidth="1"/>
    <col min="5" max="5" width="12.5" style="917" customWidth="1"/>
    <col min="6" max="6" width="9.83203125" style="917" customWidth="1"/>
    <col min="7" max="7" width="18.83203125" style="917" customWidth="1"/>
    <col min="8" max="9" width="13.5" style="917" customWidth="1"/>
    <col min="10" max="11" width="14.83203125" style="917" customWidth="1"/>
    <col min="12" max="12" width="19.5" style="917" customWidth="1"/>
    <col min="13" max="13" width="9.6640625" style="917" customWidth="1"/>
    <col min="14" max="28" width="12.5" style="917" customWidth="1"/>
    <col min="29" max="29" width="8.83203125" style="917"/>
    <col min="30" max="30" width="12.6640625" style="917" customWidth="1"/>
    <col min="31" max="31" width="38.33203125" style="917" customWidth="1"/>
    <col min="32" max="32" width="12.6640625" style="917" customWidth="1"/>
    <col min="33" max="33" width="38.33203125" style="917" customWidth="1"/>
    <col min="34" max="34" width="14.5" style="917" customWidth="1"/>
    <col min="35" max="37" width="18" style="917" customWidth="1"/>
    <col min="38" max="38" width="28.5" style="917" customWidth="1"/>
    <col min="39" max="39" width="9.5" style="917" customWidth="1"/>
    <col min="40" max="40" width="8.33203125" style="917" customWidth="1"/>
    <col min="41" max="41" width="11.6640625" style="917" customWidth="1"/>
    <col min="42" max="42" width="24.1640625" style="917" customWidth="1"/>
    <col min="43" max="43" width="26" style="917" customWidth="1"/>
    <col min="44" max="44" width="33.33203125" style="917" customWidth="1"/>
    <col min="45" max="16384" width="8.83203125" style="917"/>
  </cols>
  <sheetData>
    <row r="1" spans="1:45" s="916" customFormat="1" ht="64" x14ac:dyDescent="0.2">
      <c r="A1" s="914" t="s">
        <v>397</v>
      </c>
      <c r="B1" s="914" t="s">
        <v>398</v>
      </c>
      <c r="C1" s="914" t="s">
        <v>316</v>
      </c>
      <c r="D1" s="914" t="s">
        <v>218</v>
      </c>
      <c r="E1" s="915" t="s">
        <v>399</v>
      </c>
      <c r="F1" s="914" t="s">
        <v>400</v>
      </c>
      <c r="G1" s="914" t="s">
        <v>401</v>
      </c>
      <c r="H1" s="914" t="s">
        <v>402</v>
      </c>
      <c r="I1" s="914" t="s">
        <v>403</v>
      </c>
      <c r="J1" s="914" t="s">
        <v>404</v>
      </c>
      <c r="K1" s="914" t="s">
        <v>405</v>
      </c>
      <c r="L1" s="914" t="s">
        <v>406</v>
      </c>
      <c r="M1" s="915" t="s">
        <v>407</v>
      </c>
      <c r="N1" s="915" t="s">
        <v>408</v>
      </c>
      <c r="O1" s="915" t="s">
        <v>409</v>
      </c>
      <c r="P1" s="915" t="s">
        <v>410</v>
      </c>
      <c r="Q1" s="915" t="s">
        <v>411</v>
      </c>
      <c r="R1" s="915" t="s">
        <v>412</v>
      </c>
      <c r="S1" s="915" t="s">
        <v>413</v>
      </c>
      <c r="T1" s="915" t="s">
        <v>414</v>
      </c>
      <c r="U1" s="915" t="s">
        <v>415</v>
      </c>
      <c r="V1" s="915" t="s">
        <v>416</v>
      </c>
      <c r="W1" s="915" t="s">
        <v>417</v>
      </c>
      <c r="X1" s="915" t="s">
        <v>112</v>
      </c>
      <c r="Y1" s="915" t="s">
        <v>113</v>
      </c>
      <c r="Z1" s="915" t="s">
        <v>418</v>
      </c>
      <c r="AA1" s="915" t="s">
        <v>419</v>
      </c>
      <c r="AB1" s="915" t="s">
        <v>95</v>
      </c>
      <c r="AC1" s="915" t="s">
        <v>420</v>
      </c>
      <c r="AD1" s="914" t="s">
        <v>421</v>
      </c>
      <c r="AE1" s="914" t="s">
        <v>422</v>
      </c>
      <c r="AF1" s="914" t="s">
        <v>423</v>
      </c>
      <c r="AG1" s="914" t="s">
        <v>424</v>
      </c>
      <c r="AH1" s="914" t="s">
        <v>425</v>
      </c>
      <c r="AI1" s="914" t="s">
        <v>426</v>
      </c>
      <c r="AJ1" s="914" t="s">
        <v>427</v>
      </c>
      <c r="AK1" s="914" t="s">
        <v>428</v>
      </c>
      <c r="AL1" s="914" t="s">
        <v>310</v>
      </c>
      <c r="AM1" s="914" t="s">
        <v>429</v>
      </c>
      <c r="AN1" s="914" t="s">
        <v>430</v>
      </c>
      <c r="AO1" s="914" t="s">
        <v>431</v>
      </c>
      <c r="AP1" s="916" t="s">
        <v>432</v>
      </c>
      <c r="AQ1" s="916" t="s">
        <v>433</v>
      </c>
      <c r="AR1" s="916" t="s">
        <v>434</v>
      </c>
      <c r="AS1" s="916" t="s">
        <v>435</v>
      </c>
    </row>
    <row r="2" spans="1:45" x14ac:dyDescent="0.2">
      <c r="A2" s="917" t="s">
        <v>436</v>
      </c>
      <c r="B2" s="917" t="s">
        <v>437</v>
      </c>
      <c r="C2" s="917" t="s">
        <v>438</v>
      </c>
      <c r="D2" s="917" t="s">
        <v>439</v>
      </c>
      <c r="E2" s="918">
        <v>502.5</v>
      </c>
      <c r="F2" s="917" t="s">
        <v>440</v>
      </c>
      <c r="G2" s="917" t="s">
        <v>441</v>
      </c>
      <c r="H2" s="917" t="s">
        <v>442</v>
      </c>
      <c r="I2" s="917" t="s">
        <v>443</v>
      </c>
      <c r="J2" s="917" t="s">
        <v>444</v>
      </c>
      <c r="K2" s="917" t="s">
        <v>444</v>
      </c>
      <c r="L2" s="917" t="s">
        <v>463</v>
      </c>
      <c r="M2" s="919">
        <v>2</v>
      </c>
      <c r="N2" s="918">
        <v>1340</v>
      </c>
      <c r="O2" s="918">
        <v>670</v>
      </c>
      <c r="P2" s="918">
        <v>0</v>
      </c>
      <c r="Q2" s="920">
        <v>1340</v>
      </c>
      <c r="R2" s="918">
        <v>670</v>
      </c>
      <c r="S2" s="918">
        <v>0</v>
      </c>
      <c r="T2" s="918">
        <v>1340</v>
      </c>
      <c r="U2" s="918">
        <v>1340</v>
      </c>
      <c r="V2" s="918">
        <v>-333.42</v>
      </c>
      <c r="W2" s="918">
        <v>-166.71</v>
      </c>
      <c r="X2" s="918">
        <v>1006.5799999999999</v>
      </c>
      <c r="Y2" s="921">
        <v>0.75117910447761194</v>
      </c>
      <c r="Z2" s="921">
        <v>1</v>
      </c>
      <c r="AA2" s="921">
        <v>1</v>
      </c>
      <c r="AB2" s="917">
        <v>670</v>
      </c>
      <c r="AC2" s="919">
        <v>1</v>
      </c>
      <c r="AD2" s="917" t="s">
        <v>445</v>
      </c>
      <c r="AE2" s="917" t="s">
        <v>446</v>
      </c>
      <c r="AF2" s="917" t="s">
        <v>447</v>
      </c>
      <c r="AG2" s="917" t="s">
        <v>448</v>
      </c>
      <c r="AH2" s="917" t="s">
        <v>449</v>
      </c>
      <c r="AI2" s="917" t="s">
        <v>450</v>
      </c>
      <c r="AJ2" s="917" t="s">
        <v>451</v>
      </c>
      <c r="AK2" s="917" t="s">
        <v>451</v>
      </c>
      <c r="AL2" s="917" t="s">
        <v>451</v>
      </c>
      <c r="AM2" s="917" t="s">
        <v>452</v>
      </c>
      <c r="AN2" s="917" t="s">
        <v>453</v>
      </c>
      <c r="AO2" s="917" t="s">
        <v>454</v>
      </c>
      <c r="AP2" s="917" t="s">
        <v>455</v>
      </c>
      <c r="AQ2" s="917" t="s">
        <v>456</v>
      </c>
      <c r="AR2" s="917" t="s">
        <v>457</v>
      </c>
      <c r="AS2" s="917" t="s">
        <v>458</v>
      </c>
    </row>
    <row r="3" spans="1:45" x14ac:dyDescent="0.2">
      <c r="A3" s="917" t="s">
        <v>436</v>
      </c>
      <c r="B3" s="917" t="s">
        <v>437</v>
      </c>
      <c r="C3" s="917" t="s">
        <v>438</v>
      </c>
      <c r="D3" s="917" t="s">
        <v>439</v>
      </c>
      <c r="E3" s="918">
        <v>502.5</v>
      </c>
      <c r="F3" s="917" t="s">
        <v>459</v>
      </c>
      <c r="G3" s="917" t="s">
        <v>460</v>
      </c>
      <c r="H3" s="917" t="s">
        <v>461</v>
      </c>
      <c r="I3" s="917" t="s">
        <v>443</v>
      </c>
      <c r="J3" s="917" t="s">
        <v>85</v>
      </c>
      <c r="K3" s="917" t="s">
        <v>85</v>
      </c>
      <c r="L3" s="917" t="s">
        <v>463</v>
      </c>
      <c r="M3" s="919">
        <v>8.8000000000000007</v>
      </c>
      <c r="N3" s="918">
        <v>5896</v>
      </c>
      <c r="O3" s="918">
        <v>670</v>
      </c>
      <c r="P3" s="918">
        <v>0</v>
      </c>
      <c r="Q3" s="920">
        <v>5896</v>
      </c>
      <c r="R3" s="918">
        <v>670</v>
      </c>
      <c r="S3" s="918">
        <v>0</v>
      </c>
      <c r="T3" s="918">
        <v>5896</v>
      </c>
      <c r="U3" s="918">
        <v>5896</v>
      </c>
      <c r="V3" s="918">
        <v>-1108.8</v>
      </c>
      <c r="W3" s="918">
        <v>-125.99999999999999</v>
      </c>
      <c r="X3" s="918">
        <v>4787.2</v>
      </c>
      <c r="Y3" s="921">
        <v>0.81194029850746263</v>
      </c>
      <c r="Z3" s="921">
        <v>1</v>
      </c>
      <c r="AA3" s="921">
        <v>1</v>
      </c>
      <c r="AB3" s="917">
        <v>670</v>
      </c>
      <c r="AC3" s="919">
        <v>1</v>
      </c>
      <c r="AD3" s="917" t="s">
        <v>445</v>
      </c>
      <c r="AE3" s="917" t="s">
        <v>446</v>
      </c>
      <c r="AF3" s="917" t="s">
        <v>447</v>
      </c>
      <c r="AG3" s="917" t="s">
        <v>448</v>
      </c>
      <c r="AH3" s="917" t="s">
        <v>449</v>
      </c>
      <c r="AI3" s="917" t="s">
        <v>450</v>
      </c>
      <c r="AJ3" s="917" t="s">
        <v>451</v>
      </c>
      <c r="AK3" s="917" t="s">
        <v>451</v>
      </c>
      <c r="AL3" s="917" t="s">
        <v>451</v>
      </c>
      <c r="AM3" s="917" t="s">
        <v>452</v>
      </c>
      <c r="AN3" s="917" t="s">
        <v>453</v>
      </c>
      <c r="AO3" s="917" t="s">
        <v>454</v>
      </c>
      <c r="AP3" s="917" t="s">
        <v>455</v>
      </c>
      <c r="AQ3" s="917" t="s">
        <v>456</v>
      </c>
      <c r="AR3" s="917" t="s">
        <v>457</v>
      </c>
      <c r="AS3" s="917" t="s">
        <v>458</v>
      </c>
    </row>
    <row r="4" spans="1:45" x14ac:dyDescent="0.2">
      <c r="A4" s="917" t="s">
        <v>111</v>
      </c>
      <c r="E4" s="918">
        <v>502.5</v>
      </c>
      <c r="M4" s="919">
        <v>10.8</v>
      </c>
      <c r="N4" s="918">
        <v>7236</v>
      </c>
      <c r="O4" s="918">
        <v>670</v>
      </c>
      <c r="P4" s="918">
        <v>0</v>
      </c>
      <c r="Q4" s="920">
        <v>7236</v>
      </c>
      <c r="R4" s="918">
        <v>670</v>
      </c>
      <c r="S4" s="918">
        <v>0</v>
      </c>
      <c r="T4" s="918">
        <v>7236</v>
      </c>
      <c r="U4" s="918">
        <v>7236</v>
      </c>
      <c r="V4" s="918">
        <v>-1442.22</v>
      </c>
      <c r="W4" s="918">
        <v>-133.53888888888889</v>
      </c>
      <c r="X4" s="918">
        <v>5793.78</v>
      </c>
      <c r="Y4" s="921">
        <v>0.80068822553897179</v>
      </c>
      <c r="Z4" s="921">
        <v>1</v>
      </c>
      <c r="AA4" s="921">
        <v>1</v>
      </c>
      <c r="AB4" s="917">
        <v>670</v>
      </c>
      <c r="AC4" s="919">
        <v>1</v>
      </c>
    </row>
    <row r="5" spans="1:45" x14ac:dyDescent="0.2">
      <c r="E5" s="918"/>
      <c r="M5" s="919"/>
      <c r="N5" s="918"/>
      <c r="O5" s="918"/>
      <c r="P5" s="918"/>
      <c r="Q5" s="920"/>
      <c r="R5" s="918"/>
      <c r="S5" s="918"/>
      <c r="T5" s="918"/>
      <c r="U5" s="918"/>
      <c r="V5" s="918"/>
      <c r="W5" s="918"/>
      <c r="X5" s="918"/>
      <c r="Y5" s="921"/>
      <c r="Z5" s="921"/>
      <c r="AA5" s="921"/>
      <c r="AC5" s="919"/>
    </row>
    <row r="6" spans="1:45" x14ac:dyDescent="0.2">
      <c r="A6" s="917" t="s">
        <v>462</v>
      </c>
      <c r="E6" s="918"/>
      <c r="M6" s="919"/>
      <c r="N6" s="918"/>
      <c r="O6" s="918"/>
      <c r="P6" s="918"/>
      <c r="Q6" s="920"/>
      <c r="R6" s="918"/>
      <c r="S6" s="918"/>
      <c r="T6" s="918"/>
      <c r="U6" s="918"/>
      <c r="V6" s="918"/>
      <c r="W6" s="918"/>
      <c r="X6" s="918"/>
      <c r="Y6" s="921"/>
      <c r="Z6" s="921"/>
      <c r="AA6" s="921"/>
      <c r="AC6" s="919"/>
    </row>
    <row r="7" spans="1:45" x14ac:dyDescent="0.2">
      <c r="E7" s="918"/>
      <c r="M7" s="919"/>
      <c r="N7" s="918"/>
      <c r="O7" s="918"/>
      <c r="P7" s="918"/>
      <c r="Q7" s="920"/>
      <c r="R7" s="918"/>
      <c r="S7" s="918"/>
      <c r="T7" s="918"/>
      <c r="U7" s="918"/>
      <c r="V7" s="918"/>
      <c r="W7" s="918"/>
      <c r="X7" s="918"/>
      <c r="Y7" s="921"/>
      <c r="Z7" s="921"/>
      <c r="AA7" s="921"/>
      <c r="AC7" s="919"/>
    </row>
    <row r="8" spans="1:45" x14ac:dyDescent="0.2">
      <c r="E8" s="918"/>
      <c r="M8" s="919"/>
      <c r="N8" s="918"/>
      <c r="O8" s="918"/>
      <c r="P8" s="918"/>
      <c r="Q8" s="920"/>
      <c r="R8" s="918"/>
      <c r="S8" s="918"/>
      <c r="T8" s="918"/>
      <c r="U8" s="918"/>
      <c r="V8" s="918"/>
      <c r="W8" s="918"/>
      <c r="X8" s="918"/>
      <c r="Y8" s="921"/>
      <c r="Z8" s="921"/>
      <c r="AA8" s="921"/>
      <c r="AC8" s="919"/>
    </row>
    <row r="9" spans="1:45" x14ac:dyDescent="0.2">
      <c r="E9" s="918"/>
      <c r="M9" s="919"/>
      <c r="N9" s="918"/>
      <c r="O9" s="918"/>
      <c r="P9" s="918"/>
      <c r="Q9" s="920"/>
      <c r="R9" s="918"/>
      <c r="S9" s="918"/>
      <c r="T9" s="918"/>
      <c r="U9" s="918"/>
      <c r="V9" s="918"/>
      <c r="W9" s="918"/>
      <c r="X9" s="918"/>
      <c r="Y9" s="921"/>
      <c r="Z9" s="921"/>
      <c r="AA9" s="921"/>
      <c r="AC9" s="919"/>
    </row>
    <row r="10" spans="1:45" x14ac:dyDescent="0.2">
      <c r="E10" s="918"/>
      <c r="M10" s="919"/>
      <c r="N10" s="918"/>
      <c r="O10" s="918"/>
      <c r="P10" s="918"/>
      <c r="Q10" s="920"/>
      <c r="R10" s="918"/>
      <c r="S10" s="918"/>
      <c r="T10" s="918"/>
      <c r="U10" s="918"/>
      <c r="V10" s="918"/>
      <c r="W10" s="918"/>
      <c r="X10" s="918"/>
      <c r="Y10" s="921"/>
      <c r="Z10" s="921"/>
      <c r="AA10" s="921"/>
      <c r="AC10" s="919"/>
    </row>
    <row r="11" spans="1:45" x14ac:dyDescent="0.2">
      <c r="E11" s="918"/>
      <c r="M11" s="919"/>
      <c r="N11" s="918"/>
      <c r="O11" s="918"/>
      <c r="P11" s="918"/>
      <c r="Q11" s="920"/>
      <c r="R11" s="918"/>
      <c r="S11" s="918"/>
      <c r="T11" s="918"/>
      <c r="U11" s="918"/>
      <c r="V11" s="918"/>
      <c r="W11" s="918"/>
      <c r="X11" s="918"/>
      <c r="Y11" s="921"/>
      <c r="Z11" s="921"/>
      <c r="AA11" s="921"/>
      <c r="AC11" s="919"/>
    </row>
    <row r="12" spans="1:45" x14ac:dyDescent="0.2">
      <c r="E12" s="918"/>
      <c r="M12" s="919"/>
      <c r="N12" s="918"/>
      <c r="O12" s="918"/>
      <c r="P12" s="918"/>
      <c r="Q12" s="920"/>
      <c r="R12" s="918"/>
      <c r="S12" s="918"/>
      <c r="T12" s="918"/>
      <c r="U12" s="918"/>
      <c r="V12" s="918"/>
      <c r="W12" s="918"/>
      <c r="X12" s="918"/>
      <c r="Y12" s="921"/>
      <c r="Z12" s="921"/>
      <c r="AA12" s="921"/>
      <c r="AC12" s="919"/>
    </row>
    <row r="13" spans="1:45" x14ac:dyDescent="0.2">
      <c r="E13" s="918"/>
      <c r="M13" s="919"/>
      <c r="N13" s="918"/>
      <c r="O13" s="918"/>
      <c r="P13" s="918"/>
      <c r="Q13" s="920"/>
      <c r="R13" s="918"/>
      <c r="S13" s="918"/>
      <c r="T13" s="918"/>
      <c r="U13" s="918"/>
      <c r="V13" s="918"/>
      <c r="W13" s="918"/>
      <c r="X13" s="918"/>
      <c r="Y13" s="921"/>
      <c r="Z13" s="921"/>
      <c r="AA13" s="921"/>
      <c r="AC13" s="919"/>
    </row>
    <row r="14" spans="1:45" x14ac:dyDescent="0.2">
      <c r="E14" s="918"/>
      <c r="M14" s="919"/>
      <c r="N14" s="918"/>
      <c r="O14" s="918"/>
      <c r="P14" s="918"/>
      <c r="Q14" s="920"/>
      <c r="R14" s="918"/>
      <c r="S14" s="918"/>
      <c r="T14" s="918"/>
      <c r="U14" s="918"/>
      <c r="V14" s="918"/>
      <c r="W14" s="918"/>
      <c r="X14" s="918"/>
      <c r="Y14" s="921"/>
      <c r="Z14" s="921"/>
      <c r="AA14" s="921"/>
      <c r="AC14" s="919"/>
    </row>
    <row r="15" spans="1:45" x14ac:dyDescent="0.2">
      <c r="E15" s="918"/>
      <c r="M15" s="919"/>
      <c r="N15" s="918"/>
      <c r="O15" s="918"/>
      <c r="P15" s="918"/>
      <c r="Q15" s="920"/>
      <c r="R15" s="918"/>
      <c r="S15" s="918"/>
      <c r="T15" s="918"/>
      <c r="U15" s="918"/>
      <c r="V15" s="918"/>
      <c r="W15" s="918"/>
      <c r="X15" s="918"/>
      <c r="Y15" s="921"/>
      <c r="Z15" s="921"/>
      <c r="AA15" s="921"/>
      <c r="AC15" s="919"/>
    </row>
    <row r="16" spans="1:45" x14ac:dyDescent="0.2">
      <c r="E16" s="918"/>
      <c r="M16" s="919"/>
      <c r="N16" s="918"/>
      <c r="O16" s="918"/>
      <c r="P16" s="918"/>
      <c r="Q16" s="920"/>
      <c r="R16" s="918"/>
      <c r="S16" s="918"/>
      <c r="T16" s="918"/>
      <c r="U16" s="918"/>
      <c r="V16" s="918"/>
      <c r="W16" s="918"/>
      <c r="X16" s="918"/>
      <c r="Y16" s="921"/>
      <c r="Z16" s="921"/>
      <c r="AA16" s="921"/>
      <c r="AC16" s="919"/>
    </row>
    <row r="17" spans="5:29" x14ac:dyDescent="0.2">
      <c r="E17" s="918"/>
      <c r="M17" s="919"/>
      <c r="N17" s="918"/>
      <c r="O17" s="918"/>
      <c r="P17" s="918"/>
      <c r="Q17" s="920"/>
      <c r="R17" s="918"/>
      <c r="S17" s="918"/>
      <c r="T17" s="918"/>
      <c r="U17" s="918"/>
      <c r="V17" s="918"/>
      <c r="W17" s="918"/>
      <c r="X17" s="918"/>
      <c r="Y17" s="921"/>
      <c r="Z17" s="921"/>
      <c r="AA17" s="921"/>
      <c r="AC17" s="919"/>
    </row>
    <row r="18" spans="5:29" x14ac:dyDescent="0.2">
      <c r="E18" s="918"/>
      <c r="M18" s="919"/>
      <c r="N18" s="918"/>
      <c r="O18" s="918"/>
      <c r="P18" s="918"/>
      <c r="Q18" s="920"/>
      <c r="R18" s="918"/>
      <c r="S18" s="918"/>
      <c r="T18" s="918"/>
      <c r="U18" s="918"/>
      <c r="V18" s="918"/>
      <c r="W18" s="918"/>
      <c r="X18" s="918"/>
      <c r="Y18" s="921"/>
      <c r="Z18" s="921"/>
      <c r="AA18" s="921"/>
      <c r="AC18" s="919"/>
    </row>
    <row r="19" spans="5:29" x14ac:dyDescent="0.2">
      <c r="E19" s="918"/>
      <c r="M19" s="919"/>
      <c r="N19" s="918"/>
      <c r="O19" s="918"/>
      <c r="P19" s="918"/>
      <c r="Q19" s="920"/>
      <c r="R19" s="918"/>
      <c r="S19" s="918"/>
      <c r="T19" s="918"/>
      <c r="U19" s="918"/>
      <c r="V19" s="918"/>
      <c r="W19" s="918"/>
      <c r="X19" s="918"/>
      <c r="Y19" s="921"/>
      <c r="Z19" s="921"/>
      <c r="AA19" s="921"/>
      <c r="AC19" s="919"/>
    </row>
    <row r="20" spans="5:29" x14ac:dyDescent="0.2">
      <c r="E20" s="918"/>
      <c r="M20" s="919"/>
      <c r="N20" s="918"/>
      <c r="O20" s="918"/>
      <c r="P20" s="918"/>
      <c r="Q20" s="920"/>
      <c r="R20" s="918"/>
      <c r="S20" s="918"/>
      <c r="T20" s="918"/>
      <c r="U20" s="918"/>
      <c r="V20" s="918"/>
      <c r="W20" s="918"/>
      <c r="X20" s="918"/>
      <c r="Y20" s="921"/>
      <c r="Z20" s="921"/>
      <c r="AA20" s="921"/>
      <c r="AC20" s="919"/>
    </row>
    <row r="21" spans="5:29" x14ac:dyDescent="0.2">
      <c r="E21" s="918"/>
      <c r="M21" s="919"/>
      <c r="N21" s="918"/>
      <c r="O21" s="918"/>
      <c r="P21" s="918"/>
      <c r="Q21" s="920"/>
      <c r="R21" s="918"/>
      <c r="S21" s="918"/>
      <c r="T21" s="918"/>
      <c r="U21" s="918"/>
      <c r="V21" s="918"/>
      <c r="W21" s="918"/>
      <c r="X21" s="918"/>
      <c r="Y21" s="921"/>
      <c r="Z21" s="921"/>
      <c r="AA21" s="921"/>
      <c r="AC21" s="919"/>
    </row>
    <row r="22" spans="5:29" x14ac:dyDescent="0.2">
      <c r="E22" s="918"/>
      <c r="M22" s="919"/>
      <c r="N22" s="918"/>
      <c r="O22" s="918"/>
      <c r="P22" s="918"/>
      <c r="Q22" s="920"/>
      <c r="R22" s="918"/>
      <c r="S22" s="918"/>
      <c r="T22" s="918"/>
      <c r="U22" s="918"/>
      <c r="V22" s="918"/>
      <c r="W22" s="918"/>
      <c r="X22" s="918"/>
      <c r="Y22" s="921"/>
      <c r="Z22" s="921"/>
      <c r="AA22" s="921"/>
      <c r="AC22" s="919"/>
    </row>
    <row r="23" spans="5:29" x14ac:dyDescent="0.2">
      <c r="E23" s="918"/>
      <c r="M23" s="919"/>
      <c r="N23" s="918"/>
      <c r="O23" s="918"/>
      <c r="P23" s="918"/>
      <c r="Q23" s="920"/>
      <c r="R23" s="918"/>
      <c r="S23" s="918"/>
      <c r="T23" s="918"/>
      <c r="U23" s="918"/>
      <c r="V23" s="918"/>
      <c r="W23" s="918"/>
      <c r="X23" s="918"/>
      <c r="Y23" s="921"/>
      <c r="Z23" s="921"/>
      <c r="AA23" s="921"/>
      <c r="AC23" s="919"/>
    </row>
    <row r="24" spans="5:29" x14ac:dyDescent="0.2">
      <c r="E24" s="918"/>
      <c r="M24" s="919"/>
      <c r="N24" s="918"/>
      <c r="O24" s="918"/>
      <c r="P24" s="918"/>
      <c r="Q24" s="920"/>
      <c r="R24" s="918"/>
      <c r="S24" s="918"/>
      <c r="T24" s="918"/>
      <c r="U24" s="918"/>
      <c r="V24" s="918"/>
      <c r="W24" s="918"/>
      <c r="X24" s="918"/>
      <c r="Y24" s="921"/>
      <c r="Z24" s="921"/>
      <c r="AA24" s="921"/>
      <c r="AC24" s="919"/>
    </row>
    <row r="25" spans="5:29" x14ac:dyDescent="0.2">
      <c r="E25" s="918"/>
      <c r="M25" s="919"/>
      <c r="N25" s="918"/>
      <c r="O25" s="918"/>
      <c r="P25" s="918"/>
      <c r="Q25" s="920"/>
      <c r="R25" s="918"/>
      <c r="S25" s="918"/>
      <c r="T25" s="918"/>
      <c r="U25" s="918"/>
      <c r="V25" s="918"/>
      <c r="W25" s="918"/>
      <c r="X25" s="918"/>
      <c r="Y25" s="921"/>
      <c r="Z25" s="921"/>
      <c r="AA25" s="921"/>
      <c r="AC25" s="919"/>
    </row>
    <row r="26" spans="5:29" x14ac:dyDescent="0.2">
      <c r="E26" s="918"/>
      <c r="M26" s="919"/>
      <c r="N26" s="918"/>
      <c r="O26" s="918"/>
      <c r="P26" s="918"/>
      <c r="Q26" s="920"/>
      <c r="R26" s="918"/>
      <c r="S26" s="918"/>
      <c r="T26" s="918"/>
      <c r="U26" s="918"/>
      <c r="V26" s="918"/>
      <c r="W26" s="918"/>
      <c r="X26" s="918"/>
      <c r="Y26" s="921"/>
      <c r="Z26" s="921"/>
      <c r="AA26" s="921"/>
      <c r="AC26" s="919"/>
    </row>
    <row r="27" spans="5:29" x14ac:dyDescent="0.2">
      <c r="E27" s="918"/>
      <c r="M27" s="919"/>
      <c r="N27" s="918"/>
      <c r="O27" s="918"/>
      <c r="P27" s="918"/>
      <c r="Q27" s="920"/>
      <c r="R27" s="918"/>
      <c r="S27" s="918"/>
      <c r="T27" s="918"/>
      <c r="U27" s="918"/>
      <c r="V27" s="918"/>
      <c r="W27" s="918"/>
      <c r="X27" s="918"/>
      <c r="Y27" s="921"/>
      <c r="Z27" s="921"/>
      <c r="AA27" s="921"/>
      <c r="AC27" s="919"/>
    </row>
    <row r="28" spans="5:29" x14ac:dyDescent="0.2">
      <c r="E28" s="918"/>
      <c r="M28" s="919"/>
      <c r="N28" s="918"/>
      <c r="O28" s="918"/>
      <c r="P28" s="918"/>
      <c r="Q28" s="920"/>
      <c r="R28" s="918"/>
      <c r="S28" s="918"/>
      <c r="T28" s="918"/>
      <c r="U28" s="918"/>
      <c r="V28" s="918"/>
      <c r="W28" s="918"/>
      <c r="X28" s="918"/>
      <c r="Y28" s="921"/>
      <c r="Z28" s="921"/>
      <c r="AA28" s="921"/>
      <c r="AC28" s="919"/>
    </row>
    <row r="29" spans="5:29" x14ac:dyDescent="0.2">
      <c r="E29" s="918"/>
      <c r="M29" s="919"/>
      <c r="N29" s="918"/>
      <c r="O29" s="918"/>
      <c r="P29" s="918"/>
      <c r="Q29" s="920"/>
      <c r="R29" s="918"/>
      <c r="S29" s="918"/>
      <c r="T29" s="918"/>
      <c r="U29" s="918"/>
      <c r="V29" s="918"/>
      <c r="W29" s="918"/>
      <c r="X29" s="918"/>
      <c r="Y29" s="921"/>
      <c r="Z29" s="921"/>
      <c r="AA29" s="921"/>
      <c r="AC29" s="919"/>
    </row>
    <row r="30" spans="5:29" x14ac:dyDescent="0.2">
      <c r="E30" s="918"/>
      <c r="M30" s="919"/>
      <c r="N30" s="918"/>
      <c r="O30" s="918"/>
      <c r="P30" s="918"/>
      <c r="Q30" s="920"/>
      <c r="R30" s="918"/>
      <c r="S30" s="918"/>
      <c r="T30" s="918"/>
      <c r="U30" s="918"/>
      <c r="V30" s="918"/>
      <c r="W30" s="918"/>
      <c r="X30" s="918"/>
      <c r="Y30" s="921"/>
      <c r="Z30" s="921"/>
      <c r="AA30" s="921"/>
      <c r="AC30" s="919"/>
    </row>
    <row r="31" spans="5:29" x14ac:dyDescent="0.2">
      <c r="E31" s="918"/>
      <c r="M31" s="919"/>
      <c r="N31" s="918"/>
      <c r="O31" s="918"/>
      <c r="P31" s="918"/>
      <c r="Q31" s="920"/>
      <c r="R31" s="918"/>
      <c r="S31" s="918"/>
      <c r="T31" s="918"/>
      <c r="U31" s="918"/>
      <c r="V31" s="918"/>
      <c r="W31" s="918"/>
      <c r="X31" s="918"/>
      <c r="Y31" s="921"/>
      <c r="Z31" s="921"/>
      <c r="AA31" s="921"/>
      <c r="AC31" s="919"/>
    </row>
    <row r="32" spans="5:29" x14ac:dyDescent="0.2">
      <c r="E32" s="918"/>
      <c r="M32" s="919"/>
      <c r="N32" s="918"/>
      <c r="O32" s="918"/>
      <c r="P32" s="918"/>
      <c r="Q32" s="920"/>
      <c r="R32" s="918"/>
      <c r="S32" s="918"/>
      <c r="T32" s="918"/>
      <c r="U32" s="918"/>
      <c r="V32" s="918"/>
      <c r="W32" s="918"/>
      <c r="X32" s="918"/>
      <c r="Y32" s="921"/>
      <c r="Z32" s="921"/>
      <c r="AA32" s="921"/>
      <c r="AC32" s="919"/>
    </row>
    <row r="33" spans="5:29" x14ac:dyDescent="0.2">
      <c r="E33" s="918"/>
      <c r="M33" s="919"/>
      <c r="N33" s="918"/>
      <c r="O33" s="918"/>
      <c r="P33" s="918"/>
      <c r="Q33" s="920"/>
      <c r="R33" s="918"/>
      <c r="S33" s="918"/>
      <c r="T33" s="918"/>
      <c r="U33" s="918"/>
      <c r="V33" s="918"/>
      <c r="W33" s="918"/>
      <c r="X33" s="918"/>
      <c r="Y33" s="921"/>
      <c r="Z33" s="921"/>
      <c r="AA33" s="921"/>
      <c r="AC33" s="919"/>
    </row>
    <row r="34" spans="5:29" x14ac:dyDescent="0.2">
      <c r="E34" s="918"/>
      <c r="M34" s="919"/>
      <c r="N34" s="918"/>
      <c r="O34" s="918"/>
      <c r="P34" s="918"/>
      <c r="Q34" s="920"/>
      <c r="R34" s="918"/>
      <c r="S34" s="918"/>
      <c r="T34" s="918"/>
      <c r="U34" s="918"/>
      <c r="V34" s="918"/>
      <c r="W34" s="918"/>
      <c r="X34" s="918"/>
      <c r="Y34" s="921"/>
      <c r="Z34" s="921"/>
      <c r="AA34" s="921"/>
      <c r="AC34" s="919"/>
    </row>
    <row r="35" spans="5:29" x14ac:dyDescent="0.2">
      <c r="E35" s="918"/>
      <c r="M35" s="919"/>
      <c r="N35" s="918"/>
      <c r="O35" s="918"/>
      <c r="P35" s="918"/>
      <c r="Q35" s="920"/>
      <c r="R35" s="918"/>
      <c r="S35" s="918"/>
      <c r="T35" s="918"/>
      <c r="U35" s="918"/>
      <c r="V35" s="918"/>
      <c r="W35" s="918"/>
      <c r="X35" s="918"/>
      <c r="Y35" s="921"/>
      <c r="Z35" s="921"/>
      <c r="AA35" s="921"/>
      <c r="AC35" s="919"/>
    </row>
    <row r="36" spans="5:29" x14ac:dyDescent="0.2">
      <c r="E36" s="918"/>
      <c r="M36" s="919"/>
      <c r="N36" s="918"/>
      <c r="O36" s="918"/>
      <c r="P36" s="918"/>
      <c r="Q36" s="920"/>
      <c r="R36" s="918"/>
      <c r="S36" s="918"/>
      <c r="T36" s="918"/>
      <c r="U36" s="918"/>
      <c r="V36" s="918"/>
      <c r="W36" s="918"/>
      <c r="X36" s="918"/>
      <c r="Y36" s="921"/>
      <c r="Z36" s="921"/>
      <c r="AA36" s="921"/>
      <c r="AC36" s="919"/>
    </row>
    <row r="37" spans="5:29" x14ac:dyDescent="0.2">
      <c r="E37" s="918"/>
      <c r="M37" s="919"/>
      <c r="N37" s="918"/>
      <c r="O37" s="918"/>
      <c r="P37" s="918"/>
      <c r="Q37" s="920"/>
      <c r="R37" s="918"/>
      <c r="S37" s="918"/>
      <c r="T37" s="918"/>
      <c r="U37" s="918"/>
      <c r="V37" s="918"/>
      <c r="W37" s="918"/>
      <c r="X37" s="918"/>
      <c r="Y37" s="921"/>
      <c r="Z37" s="921"/>
      <c r="AA37" s="921"/>
      <c r="AC37" s="919"/>
    </row>
    <row r="38" spans="5:29" x14ac:dyDescent="0.2">
      <c r="E38" s="918"/>
      <c r="M38" s="919"/>
      <c r="N38" s="918"/>
      <c r="O38" s="918"/>
      <c r="P38" s="918"/>
      <c r="Q38" s="920"/>
      <c r="R38" s="918"/>
      <c r="S38" s="918"/>
      <c r="T38" s="918"/>
      <c r="U38" s="918"/>
      <c r="V38" s="918"/>
      <c r="W38" s="918"/>
      <c r="X38" s="918"/>
      <c r="Y38" s="921"/>
      <c r="Z38" s="921"/>
      <c r="AA38" s="921"/>
      <c r="AC38" s="919"/>
    </row>
    <row r="39" spans="5:29" x14ac:dyDescent="0.2">
      <c r="E39" s="918"/>
      <c r="M39" s="919"/>
      <c r="N39" s="918"/>
      <c r="O39" s="918"/>
      <c r="P39" s="918"/>
      <c r="Q39" s="920"/>
      <c r="R39" s="918"/>
      <c r="S39" s="918"/>
      <c r="T39" s="918"/>
      <c r="U39" s="918"/>
      <c r="V39" s="918"/>
      <c r="W39" s="918"/>
      <c r="X39" s="918"/>
      <c r="Y39" s="921"/>
      <c r="Z39" s="921"/>
      <c r="AA39" s="921"/>
      <c r="AC39" s="919"/>
    </row>
    <row r="40" spans="5:29" x14ac:dyDescent="0.2">
      <c r="E40" s="918"/>
      <c r="M40" s="919"/>
      <c r="N40" s="918"/>
      <c r="O40" s="918"/>
      <c r="P40" s="918"/>
      <c r="Q40" s="920"/>
      <c r="R40" s="918"/>
      <c r="S40" s="918"/>
      <c r="T40" s="918"/>
      <c r="U40" s="918"/>
      <c r="V40" s="918"/>
      <c r="W40" s="918"/>
      <c r="X40" s="918"/>
      <c r="Y40" s="921"/>
      <c r="Z40" s="921"/>
      <c r="AA40" s="921"/>
      <c r="AC40" s="919"/>
    </row>
    <row r="41" spans="5:29" x14ac:dyDescent="0.2">
      <c r="E41" s="918"/>
      <c r="M41" s="919"/>
      <c r="N41" s="918"/>
      <c r="O41" s="918"/>
      <c r="P41" s="918"/>
      <c r="Q41" s="920"/>
      <c r="R41" s="918"/>
      <c r="S41" s="918"/>
      <c r="T41" s="918"/>
      <c r="U41" s="918"/>
      <c r="V41" s="918"/>
      <c r="W41" s="918"/>
      <c r="X41" s="918"/>
      <c r="Y41" s="921"/>
      <c r="Z41" s="921"/>
      <c r="AA41" s="921"/>
      <c r="AC41" s="919"/>
    </row>
    <row r="42" spans="5:29" x14ac:dyDescent="0.2">
      <c r="E42" s="918"/>
      <c r="M42" s="919"/>
      <c r="N42" s="918"/>
      <c r="O42" s="918"/>
      <c r="P42" s="918"/>
      <c r="Q42" s="920"/>
      <c r="R42" s="918"/>
      <c r="S42" s="918"/>
      <c r="T42" s="918"/>
      <c r="U42" s="918"/>
      <c r="V42" s="918"/>
      <c r="W42" s="918"/>
      <c r="X42" s="918"/>
      <c r="Y42" s="921"/>
      <c r="Z42" s="921"/>
      <c r="AA42" s="921"/>
      <c r="AC42" s="919"/>
    </row>
    <row r="43" spans="5:29" x14ac:dyDescent="0.2">
      <c r="E43" s="918"/>
      <c r="M43" s="919"/>
      <c r="N43" s="918"/>
      <c r="O43" s="918"/>
      <c r="P43" s="918"/>
      <c r="Q43" s="920"/>
      <c r="R43" s="918"/>
      <c r="S43" s="918"/>
      <c r="T43" s="918"/>
      <c r="U43" s="918"/>
      <c r="V43" s="918"/>
      <c r="W43" s="918"/>
      <c r="X43" s="918"/>
      <c r="Y43" s="921"/>
      <c r="Z43" s="921"/>
      <c r="AA43" s="921"/>
      <c r="AC43" s="919"/>
    </row>
    <row r="44" spans="5:29" x14ac:dyDescent="0.2">
      <c r="E44" s="918"/>
      <c r="M44" s="919"/>
      <c r="N44" s="918"/>
      <c r="O44" s="918"/>
      <c r="P44" s="918"/>
      <c r="Q44" s="920"/>
      <c r="R44" s="918"/>
      <c r="S44" s="918"/>
      <c r="T44" s="918"/>
      <c r="U44" s="918"/>
      <c r="V44" s="918"/>
      <c r="W44" s="918"/>
      <c r="X44" s="918"/>
      <c r="Y44" s="921"/>
      <c r="Z44" s="921"/>
      <c r="AA44" s="921"/>
      <c r="AC44" s="919"/>
    </row>
    <row r="45" spans="5:29" x14ac:dyDescent="0.2">
      <c r="E45" s="918"/>
      <c r="M45" s="919"/>
      <c r="N45" s="918"/>
      <c r="O45" s="918"/>
      <c r="P45" s="918"/>
      <c r="Q45" s="920"/>
      <c r="R45" s="918"/>
      <c r="S45" s="918"/>
      <c r="T45" s="918"/>
      <c r="U45" s="918"/>
      <c r="V45" s="918"/>
      <c r="W45" s="918"/>
      <c r="X45" s="918"/>
      <c r="Y45" s="921"/>
      <c r="Z45" s="921"/>
      <c r="AA45" s="921"/>
      <c r="AC45" s="919"/>
    </row>
    <row r="46" spans="5:29" x14ac:dyDescent="0.2">
      <c r="E46" s="918"/>
      <c r="M46" s="919"/>
      <c r="N46" s="918"/>
      <c r="O46" s="918"/>
      <c r="P46" s="918"/>
      <c r="Q46" s="920"/>
      <c r="R46" s="918"/>
      <c r="S46" s="918"/>
      <c r="T46" s="918"/>
      <c r="U46" s="918"/>
      <c r="V46" s="918"/>
      <c r="W46" s="918"/>
      <c r="X46" s="918"/>
      <c r="Y46" s="921"/>
      <c r="Z46" s="921"/>
      <c r="AA46" s="921"/>
      <c r="AC46" s="919"/>
    </row>
    <row r="47" spans="5:29" x14ac:dyDescent="0.2">
      <c r="E47" s="918"/>
      <c r="M47" s="919"/>
      <c r="N47" s="918"/>
      <c r="O47" s="918"/>
      <c r="P47" s="918"/>
      <c r="Q47" s="920"/>
      <c r="R47" s="918"/>
      <c r="S47" s="918"/>
      <c r="T47" s="918"/>
      <c r="U47" s="918"/>
      <c r="V47" s="918"/>
      <c r="W47" s="918"/>
      <c r="X47" s="918"/>
      <c r="Y47" s="921"/>
      <c r="Z47" s="921"/>
      <c r="AA47" s="921"/>
      <c r="AC47" s="919"/>
    </row>
    <row r="48" spans="5:29" x14ac:dyDescent="0.2">
      <c r="E48" s="918"/>
      <c r="M48" s="919"/>
      <c r="N48" s="918"/>
      <c r="O48" s="918"/>
      <c r="P48" s="918"/>
      <c r="Q48" s="920"/>
      <c r="R48" s="918"/>
      <c r="S48" s="918"/>
      <c r="T48" s="918"/>
      <c r="U48" s="918"/>
      <c r="V48" s="918"/>
      <c r="W48" s="918"/>
      <c r="X48" s="918"/>
      <c r="Y48" s="921"/>
      <c r="Z48" s="921"/>
      <c r="AA48" s="921"/>
      <c r="AC48" s="919"/>
    </row>
    <row r="49" spans="5:29" x14ac:dyDescent="0.2">
      <c r="E49" s="918"/>
      <c r="M49" s="919"/>
      <c r="N49" s="918"/>
      <c r="O49" s="918"/>
      <c r="P49" s="918"/>
      <c r="Q49" s="920"/>
      <c r="R49" s="918"/>
      <c r="S49" s="918"/>
      <c r="T49" s="918"/>
      <c r="U49" s="918"/>
      <c r="V49" s="918"/>
      <c r="W49" s="918"/>
      <c r="X49" s="918"/>
      <c r="Y49" s="921"/>
      <c r="Z49" s="921"/>
      <c r="AA49" s="921"/>
      <c r="AC49" s="919"/>
    </row>
    <row r="50" spans="5:29" x14ac:dyDescent="0.2">
      <c r="E50" s="918"/>
      <c r="M50" s="919"/>
      <c r="N50" s="918"/>
      <c r="O50" s="918"/>
      <c r="P50" s="918"/>
      <c r="Q50" s="920"/>
      <c r="R50" s="918"/>
      <c r="S50" s="918"/>
      <c r="T50" s="918"/>
      <c r="U50" s="918"/>
      <c r="V50" s="918"/>
      <c r="W50" s="918"/>
      <c r="X50" s="918"/>
      <c r="Y50" s="921"/>
      <c r="Z50" s="921"/>
      <c r="AA50" s="921"/>
      <c r="AC50" s="919"/>
    </row>
    <row r="51" spans="5:29" x14ac:dyDescent="0.2">
      <c r="E51" s="918"/>
      <c r="M51" s="919"/>
      <c r="N51" s="918"/>
      <c r="O51" s="918"/>
      <c r="P51" s="918"/>
      <c r="Q51" s="920"/>
      <c r="R51" s="918"/>
      <c r="S51" s="918"/>
      <c r="T51" s="918"/>
      <c r="U51" s="918"/>
      <c r="V51" s="918"/>
      <c r="W51" s="918"/>
      <c r="X51" s="918"/>
      <c r="Y51" s="921"/>
      <c r="Z51" s="921"/>
      <c r="AA51" s="921"/>
      <c r="AC51" s="919"/>
    </row>
    <row r="52" spans="5:29" x14ac:dyDescent="0.2">
      <c r="E52" s="918"/>
      <c r="M52" s="919"/>
      <c r="N52" s="918"/>
      <c r="O52" s="918"/>
      <c r="P52" s="918"/>
      <c r="Q52" s="920"/>
      <c r="R52" s="918"/>
      <c r="S52" s="918"/>
      <c r="T52" s="918"/>
      <c r="U52" s="918"/>
      <c r="V52" s="918"/>
      <c r="W52" s="918"/>
      <c r="X52" s="918"/>
      <c r="Y52" s="921"/>
      <c r="Z52" s="921"/>
      <c r="AA52" s="921"/>
      <c r="AC52" s="919"/>
    </row>
    <row r="53" spans="5:29" x14ac:dyDescent="0.2">
      <c r="E53" s="918"/>
      <c r="M53" s="919"/>
      <c r="N53" s="918"/>
      <c r="O53" s="918"/>
      <c r="P53" s="918"/>
      <c r="Q53" s="920"/>
      <c r="R53" s="918"/>
      <c r="S53" s="918"/>
      <c r="T53" s="918"/>
      <c r="U53" s="918"/>
      <c r="V53" s="918"/>
      <c r="W53" s="918"/>
      <c r="X53" s="918"/>
      <c r="Y53" s="921"/>
      <c r="Z53" s="921"/>
      <c r="AA53" s="921"/>
      <c r="AC53" s="919"/>
    </row>
    <row r="54" spans="5:29" x14ac:dyDescent="0.2">
      <c r="E54" s="918"/>
      <c r="M54" s="919"/>
      <c r="N54" s="918"/>
      <c r="O54" s="918"/>
      <c r="P54" s="918"/>
      <c r="Q54" s="920"/>
      <c r="R54" s="918"/>
      <c r="S54" s="918"/>
      <c r="T54" s="918"/>
      <c r="U54" s="918"/>
      <c r="V54" s="918"/>
      <c r="W54" s="918"/>
      <c r="X54" s="918"/>
      <c r="Y54" s="921"/>
      <c r="Z54" s="921"/>
      <c r="AA54" s="921"/>
      <c r="AC54" s="919"/>
    </row>
    <row r="55" spans="5:29" x14ac:dyDescent="0.2">
      <c r="E55" s="918"/>
      <c r="M55" s="919"/>
      <c r="N55" s="918"/>
      <c r="O55" s="918"/>
      <c r="P55" s="918"/>
      <c r="Q55" s="920"/>
      <c r="R55" s="918"/>
      <c r="S55" s="918"/>
      <c r="T55" s="918"/>
      <c r="U55" s="918"/>
      <c r="V55" s="918"/>
      <c r="W55" s="918"/>
      <c r="X55" s="918"/>
      <c r="Y55" s="921"/>
      <c r="Z55" s="921"/>
      <c r="AA55" s="921"/>
      <c r="AC55" s="919"/>
    </row>
    <row r="56" spans="5:29" x14ac:dyDescent="0.2">
      <c r="E56" s="918"/>
      <c r="M56" s="919"/>
      <c r="N56" s="918"/>
      <c r="O56" s="918"/>
      <c r="P56" s="918"/>
      <c r="Q56" s="920"/>
      <c r="R56" s="918"/>
      <c r="S56" s="918"/>
      <c r="T56" s="918"/>
      <c r="U56" s="918"/>
      <c r="V56" s="918"/>
      <c r="W56" s="918"/>
      <c r="X56" s="918"/>
      <c r="Y56" s="921"/>
      <c r="Z56" s="921"/>
      <c r="AA56" s="921"/>
      <c r="AC56" s="919"/>
    </row>
    <row r="57" spans="5:29" x14ac:dyDescent="0.2">
      <c r="E57" s="918"/>
      <c r="M57" s="919"/>
      <c r="N57" s="918"/>
      <c r="O57" s="918"/>
      <c r="P57" s="918"/>
      <c r="Q57" s="920"/>
      <c r="R57" s="918"/>
      <c r="S57" s="918"/>
      <c r="T57" s="918"/>
      <c r="U57" s="918"/>
      <c r="V57" s="918"/>
      <c r="W57" s="918"/>
      <c r="X57" s="918"/>
      <c r="Y57" s="921"/>
      <c r="Z57" s="921"/>
      <c r="AA57" s="921"/>
      <c r="AC57" s="919"/>
    </row>
    <row r="58" spans="5:29" x14ac:dyDescent="0.2">
      <c r="E58" s="918"/>
      <c r="M58" s="919"/>
      <c r="N58" s="918"/>
      <c r="O58" s="918"/>
      <c r="P58" s="918"/>
      <c r="Q58" s="920"/>
      <c r="R58" s="918"/>
      <c r="S58" s="918"/>
      <c r="T58" s="918"/>
      <c r="U58" s="918"/>
      <c r="V58" s="918"/>
      <c r="W58" s="918"/>
      <c r="X58" s="918"/>
      <c r="Y58" s="921"/>
      <c r="Z58" s="921"/>
      <c r="AA58" s="921"/>
      <c r="AC58" s="919"/>
    </row>
    <row r="59" spans="5:29" x14ac:dyDescent="0.2">
      <c r="E59" s="918"/>
      <c r="M59" s="919"/>
      <c r="N59" s="918"/>
      <c r="O59" s="918"/>
      <c r="P59" s="918"/>
      <c r="Q59" s="920"/>
      <c r="R59" s="918"/>
      <c r="S59" s="918"/>
      <c r="T59" s="918"/>
      <c r="U59" s="918"/>
      <c r="V59" s="918"/>
      <c r="W59" s="918"/>
      <c r="X59" s="918"/>
      <c r="Y59" s="921"/>
      <c r="Z59" s="921"/>
      <c r="AA59" s="921"/>
      <c r="AC59" s="919"/>
    </row>
    <row r="60" spans="5:29" x14ac:dyDescent="0.2">
      <c r="E60" s="918"/>
      <c r="M60" s="919"/>
      <c r="N60" s="918"/>
      <c r="O60" s="918"/>
      <c r="P60" s="918"/>
      <c r="Q60" s="920"/>
      <c r="R60" s="918"/>
      <c r="S60" s="918"/>
      <c r="T60" s="918"/>
      <c r="U60" s="918"/>
      <c r="V60" s="918"/>
      <c r="W60" s="918"/>
      <c r="X60" s="918"/>
      <c r="Y60" s="921"/>
      <c r="Z60" s="921"/>
      <c r="AA60" s="921"/>
      <c r="AC60" s="919"/>
    </row>
    <row r="61" spans="5:29" x14ac:dyDescent="0.2">
      <c r="E61" s="918"/>
      <c r="M61" s="919"/>
      <c r="N61" s="918"/>
      <c r="O61" s="918"/>
      <c r="P61" s="918"/>
      <c r="Q61" s="920"/>
      <c r="R61" s="918"/>
      <c r="S61" s="918"/>
      <c r="T61" s="918"/>
      <c r="U61" s="918"/>
      <c r="V61" s="918"/>
      <c r="W61" s="918"/>
      <c r="X61" s="918"/>
      <c r="Y61" s="921"/>
      <c r="Z61" s="921"/>
      <c r="AA61" s="921"/>
      <c r="AC61" s="919"/>
    </row>
    <row r="62" spans="5:29" x14ac:dyDescent="0.2">
      <c r="E62" s="918"/>
      <c r="M62" s="919"/>
      <c r="N62" s="918"/>
      <c r="O62" s="918"/>
      <c r="P62" s="918"/>
      <c r="Q62" s="920"/>
      <c r="R62" s="918"/>
      <c r="S62" s="918"/>
      <c r="T62" s="918"/>
      <c r="U62" s="918"/>
      <c r="V62" s="918"/>
      <c r="W62" s="918"/>
      <c r="X62" s="918"/>
      <c r="Y62" s="921"/>
      <c r="Z62" s="921"/>
      <c r="AA62" s="921"/>
      <c r="AC62" s="919"/>
    </row>
    <row r="63" spans="5:29" x14ac:dyDescent="0.2">
      <c r="E63" s="918"/>
      <c r="M63" s="919"/>
      <c r="N63" s="918"/>
      <c r="O63" s="918"/>
      <c r="P63" s="918"/>
      <c r="Q63" s="920"/>
      <c r="R63" s="918"/>
      <c r="S63" s="918"/>
      <c r="T63" s="918"/>
      <c r="U63" s="918"/>
      <c r="V63" s="918"/>
      <c r="W63" s="918"/>
      <c r="X63" s="918"/>
      <c r="Y63" s="921"/>
      <c r="Z63" s="921"/>
      <c r="AA63" s="921"/>
      <c r="AC63" s="919"/>
    </row>
    <row r="64" spans="5:29" x14ac:dyDescent="0.2">
      <c r="E64" s="918"/>
      <c r="M64" s="919"/>
      <c r="N64" s="918"/>
      <c r="O64" s="918"/>
      <c r="P64" s="918"/>
      <c r="Q64" s="920"/>
      <c r="R64" s="918"/>
      <c r="S64" s="918"/>
      <c r="T64" s="918"/>
      <c r="U64" s="918"/>
      <c r="V64" s="918"/>
      <c r="W64" s="918"/>
      <c r="X64" s="918"/>
      <c r="Y64" s="921"/>
      <c r="Z64" s="921"/>
      <c r="AA64" s="921"/>
      <c r="AC64" s="919"/>
    </row>
    <row r="65" spans="5:29" x14ac:dyDescent="0.2">
      <c r="E65" s="918"/>
      <c r="M65" s="919"/>
      <c r="N65" s="918"/>
      <c r="O65" s="918"/>
      <c r="P65" s="918"/>
      <c r="Q65" s="920"/>
      <c r="R65" s="918"/>
      <c r="S65" s="918"/>
      <c r="T65" s="918"/>
      <c r="U65" s="918"/>
      <c r="V65" s="918"/>
      <c r="W65" s="918"/>
      <c r="X65" s="918"/>
      <c r="Y65" s="921"/>
      <c r="Z65" s="921"/>
      <c r="AA65" s="921"/>
      <c r="AC65" s="919"/>
    </row>
    <row r="66" spans="5:29" x14ac:dyDescent="0.2">
      <c r="E66" s="918"/>
      <c r="M66" s="919"/>
      <c r="N66" s="918"/>
      <c r="O66" s="918"/>
      <c r="P66" s="918"/>
      <c r="Q66" s="920"/>
      <c r="R66" s="918"/>
      <c r="S66" s="918"/>
      <c r="T66" s="918"/>
      <c r="U66" s="918"/>
      <c r="V66" s="918"/>
      <c r="W66" s="918"/>
      <c r="X66" s="918"/>
      <c r="Y66" s="921"/>
      <c r="Z66" s="921"/>
      <c r="AA66" s="921"/>
      <c r="AC66" s="919"/>
    </row>
    <row r="67" spans="5:29" x14ac:dyDescent="0.2">
      <c r="E67" s="918"/>
      <c r="M67" s="919"/>
      <c r="N67" s="918"/>
      <c r="O67" s="918"/>
      <c r="P67" s="918"/>
      <c r="Q67" s="920"/>
      <c r="R67" s="918"/>
      <c r="S67" s="918"/>
      <c r="T67" s="918"/>
      <c r="U67" s="918"/>
      <c r="V67" s="918"/>
      <c r="W67" s="918"/>
      <c r="X67" s="918"/>
      <c r="Y67" s="921"/>
      <c r="Z67" s="921"/>
      <c r="AA67" s="921"/>
      <c r="AC67" s="919"/>
    </row>
    <row r="68" spans="5:29" x14ac:dyDescent="0.2">
      <c r="E68" s="918"/>
      <c r="M68" s="919"/>
      <c r="N68" s="918"/>
      <c r="O68" s="918"/>
      <c r="P68" s="918"/>
      <c r="Q68" s="920"/>
      <c r="R68" s="918"/>
      <c r="S68" s="918"/>
      <c r="T68" s="918"/>
      <c r="U68" s="918"/>
      <c r="V68" s="918"/>
      <c r="W68" s="918"/>
      <c r="X68" s="918"/>
      <c r="Y68" s="921"/>
      <c r="Z68" s="921"/>
      <c r="AA68" s="921"/>
      <c r="AC68" s="919"/>
    </row>
    <row r="69" spans="5:29" x14ac:dyDescent="0.2">
      <c r="E69" s="918"/>
      <c r="M69" s="919"/>
      <c r="N69" s="918"/>
      <c r="O69" s="918"/>
      <c r="P69" s="918"/>
      <c r="Q69" s="920"/>
      <c r="R69" s="918"/>
      <c r="S69" s="918"/>
      <c r="T69" s="918"/>
      <c r="U69" s="918"/>
      <c r="V69" s="918"/>
      <c r="W69" s="918"/>
      <c r="X69" s="918"/>
      <c r="Y69" s="921"/>
      <c r="Z69" s="921"/>
      <c r="AA69" s="921"/>
      <c r="AC69" s="919"/>
    </row>
    <row r="70" spans="5:29" x14ac:dyDescent="0.2">
      <c r="E70" s="918"/>
      <c r="M70" s="919"/>
      <c r="N70" s="918"/>
      <c r="O70" s="918"/>
      <c r="P70" s="918"/>
      <c r="Q70" s="920"/>
      <c r="R70" s="918"/>
      <c r="S70" s="918"/>
      <c r="T70" s="918"/>
      <c r="U70" s="918"/>
      <c r="V70" s="918"/>
      <c r="W70" s="918"/>
      <c r="X70" s="918"/>
      <c r="Y70" s="921"/>
      <c r="Z70" s="921"/>
      <c r="AA70" s="921"/>
      <c r="AC70" s="919"/>
    </row>
    <row r="71" spans="5:29" x14ac:dyDescent="0.2">
      <c r="E71" s="918"/>
      <c r="M71" s="919"/>
      <c r="N71" s="918"/>
      <c r="O71" s="918"/>
      <c r="P71" s="918"/>
      <c r="Q71" s="920"/>
      <c r="R71" s="918"/>
      <c r="S71" s="918"/>
      <c r="T71" s="918"/>
      <c r="U71" s="918"/>
      <c r="V71" s="918"/>
      <c r="W71" s="918"/>
      <c r="X71" s="918"/>
      <c r="Y71" s="921"/>
      <c r="Z71" s="921"/>
      <c r="AA71" s="921"/>
      <c r="AC71" s="919"/>
    </row>
    <row r="72" spans="5:29" x14ac:dyDescent="0.2">
      <c r="E72" s="918"/>
      <c r="M72" s="919"/>
      <c r="N72" s="918"/>
      <c r="O72" s="918"/>
      <c r="P72" s="918"/>
      <c r="Q72" s="920"/>
      <c r="R72" s="918"/>
      <c r="S72" s="918"/>
      <c r="T72" s="918"/>
      <c r="U72" s="918"/>
      <c r="V72" s="918"/>
      <c r="W72" s="918"/>
      <c r="X72" s="918"/>
      <c r="Y72" s="921"/>
      <c r="Z72" s="921"/>
      <c r="AA72" s="921"/>
      <c r="AC72" s="919"/>
    </row>
    <row r="73" spans="5:29" x14ac:dyDescent="0.2">
      <c r="E73" s="918"/>
      <c r="M73" s="919"/>
      <c r="N73" s="918"/>
      <c r="O73" s="918"/>
      <c r="P73" s="918"/>
      <c r="Q73" s="920"/>
      <c r="R73" s="918"/>
      <c r="S73" s="918"/>
      <c r="T73" s="918"/>
      <c r="U73" s="918"/>
      <c r="V73" s="918"/>
      <c r="W73" s="918"/>
      <c r="X73" s="918"/>
      <c r="Y73" s="921"/>
      <c r="Z73" s="921"/>
      <c r="AA73" s="921"/>
      <c r="AC73" s="919"/>
    </row>
    <row r="74" spans="5:29" x14ac:dyDescent="0.2">
      <c r="E74" s="918"/>
      <c r="M74" s="919"/>
      <c r="N74" s="918"/>
      <c r="O74" s="918"/>
      <c r="P74" s="918"/>
      <c r="Q74" s="920"/>
      <c r="R74" s="918"/>
      <c r="S74" s="918"/>
      <c r="T74" s="918"/>
      <c r="U74" s="918"/>
      <c r="V74" s="918"/>
      <c r="W74" s="918"/>
      <c r="X74" s="918"/>
      <c r="Y74" s="921"/>
      <c r="Z74" s="921"/>
      <c r="AA74" s="921"/>
      <c r="AC74" s="919"/>
    </row>
    <row r="75" spans="5:29" x14ac:dyDescent="0.2">
      <c r="E75" s="918"/>
      <c r="M75" s="919"/>
      <c r="N75" s="918"/>
      <c r="O75" s="918"/>
      <c r="P75" s="918"/>
      <c r="Q75" s="920"/>
      <c r="R75" s="918"/>
      <c r="S75" s="918"/>
      <c r="T75" s="918"/>
      <c r="U75" s="918"/>
      <c r="V75" s="918"/>
      <c r="W75" s="918"/>
      <c r="X75" s="918"/>
      <c r="Y75" s="921"/>
      <c r="Z75" s="921"/>
      <c r="AA75" s="921"/>
      <c r="AC75" s="919"/>
    </row>
    <row r="76" spans="5:29" x14ac:dyDescent="0.2">
      <c r="E76" s="918"/>
      <c r="M76" s="919"/>
      <c r="N76" s="918"/>
      <c r="O76" s="918"/>
      <c r="P76" s="918"/>
      <c r="Q76" s="920"/>
      <c r="R76" s="918"/>
      <c r="S76" s="918"/>
      <c r="T76" s="918"/>
      <c r="U76" s="918"/>
      <c r="V76" s="918"/>
      <c r="W76" s="918"/>
      <c r="X76" s="918"/>
      <c r="Y76" s="921"/>
      <c r="Z76" s="921"/>
      <c r="AA76" s="921"/>
      <c r="AC76" s="919"/>
    </row>
    <row r="77" spans="5:29" x14ac:dyDescent="0.2">
      <c r="E77" s="918"/>
      <c r="M77" s="919"/>
      <c r="N77" s="918"/>
      <c r="O77" s="918"/>
      <c r="P77" s="918"/>
      <c r="Q77" s="920"/>
      <c r="R77" s="918"/>
      <c r="S77" s="918"/>
      <c r="T77" s="918"/>
      <c r="U77" s="918"/>
      <c r="V77" s="918"/>
      <c r="W77" s="918"/>
      <c r="X77" s="918"/>
      <c r="Y77" s="921"/>
      <c r="Z77" s="921"/>
      <c r="AA77" s="921"/>
      <c r="AC77" s="919"/>
    </row>
    <row r="78" spans="5:29" x14ac:dyDescent="0.2">
      <c r="E78" s="918"/>
      <c r="M78" s="919"/>
      <c r="N78" s="918"/>
      <c r="O78" s="918"/>
      <c r="P78" s="918"/>
      <c r="Q78" s="920"/>
      <c r="R78" s="918"/>
      <c r="S78" s="918"/>
      <c r="T78" s="918"/>
      <c r="U78" s="918"/>
      <c r="V78" s="918"/>
      <c r="W78" s="918"/>
      <c r="X78" s="918"/>
      <c r="Y78" s="921"/>
      <c r="Z78" s="921"/>
      <c r="AA78" s="921"/>
      <c r="AC78" s="919"/>
    </row>
    <row r="79" spans="5:29" x14ac:dyDescent="0.2">
      <c r="E79" s="918"/>
      <c r="M79" s="919"/>
      <c r="N79" s="918"/>
      <c r="O79" s="918"/>
      <c r="P79" s="918"/>
      <c r="Q79" s="920"/>
      <c r="R79" s="918"/>
      <c r="S79" s="918"/>
      <c r="T79" s="918"/>
      <c r="U79" s="918"/>
      <c r="V79" s="918"/>
      <c r="W79" s="918"/>
      <c r="X79" s="918"/>
      <c r="Y79" s="921"/>
      <c r="Z79" s="921"/>
      <c r="AA79" s="921"/>
      <c r="AC79" s="919"/>
    </row>
    <row r="80" spans="5:29" x14ac:dyDescent="0.2">
      <c r="E80" s="918"/>
      <c r="M80" s="919"/>
      <c r="N80" s="918"/>
      <c r="O80" s="918"/>
      <c r="P80" s="918"/>
      <c r="Q80" s="920"/>
      <c r="R80" s="918"/>
      <c r="S80" s="918"/>
      <c r="T80" s="918"/>
      <c r="U80" s="918"/>
      <c r="V80" s="918"/>
      <c r="W80" s="918"/>
      <c r="X80" s="918"/>
      <c r="Y80" s="921"/>
      <c r="Z80" s="921"/>
      <c r="AA80" s="921"/>
      <c r="AC80" s="919"/>
    </row>
    <row r="81" spans="5:29" x14ac:dyDescent="0.2">
      <c r="E81" s="918"/>
      <c r="M81" s="919"/>
      <c r="N81" s="918"/>
      <c r="O81" s="918"/>
      <c r="P81" s="918"/>
      <c r="Q81" s="920"/>
      <c r="R81" s="918"/>
      <c r="S81" s="918"/>
      <c r="T81" s="918"/>
      <c r="U81" s="918"/>
      <c r="V81" s="918"/>
      <c r="W81" s="918"/>
      <c r="X81" s="918"/>
      <c r="Y81" s="921"/>
      <c r="Z81" s="921"/>
      <c r="AA81" s="921"/>
      <c r="AC81" s="919"/>
    </row>
    <row r="82" spans="5:29" x14ac:dyDescent="0.2">
      <c r="E82" s="918"/>
      <c r="M82" s="919"/>
      <c r="N82" s="918"/>
      <c r="O82" s="918"/>
      <c r="P82" s="918"/>
      <c r="Q82" s="920"/>
      <c r="R82" s="918"/>
      <c r="S82" s="918"/>
      <c r="T82" s="918"/>
      <c r="U82" s="918"/>
      <c r="V82" s="918"/>
      <c r="W82" s="918"/>
      <c r="X82" s="918"/>
      <c r="Y82" s="921"/>
      <c r="Z82" s="921"/>
      <c r="AA82" s="921"/>
      <c r="AC82" s="919"/>
    </row>
    <row r="83" spans="5:29" x14ac:dyDescent="0.2">
      <c r="E83" s="918"/>
      <c r="M83" s="919"/>
      <c r="N83" s="918"/>
      <c r="O83" s="918"/>
      <c r="P83" s="918"/>
      <c r="Q83" s="920"/>
      <c r="R83" s="918"/>
      <c r="S83" s="918"/>
      <c r="T83" s="918"/>
      <c r="U83" s="918"/>
      <c r="V83" s="918"/>
      <c r="W83" s="918"/>
      <c r="X83" s="918"/>
      <c r="Y83" s="921"/>
      <c r="Z83" s="921"/>
      <c r="AA83" s="921"/>
      <c r="AC83" s="919"/>
    </row>
    <row r="84" spans="5:29" x14ac:dyDescent="0.2">
      <c r="E84" s="918"/>
      <c r="M84" s="919"/>
      <c r="N84" s="918"/>
      <c r="O84" s="918"/>
      <c r="P84" s="918"/>
      <c r="Q84" s="920"/>
      <c r="R84" s="918"/>
      <c r="S84" s="918"/>
      <c r="T84" s="918"/>
      <c r="U84" s="918"/>
      <c r="V84" s="918"/>
      <c r="W84" s="918"/>
      <c r="X84" s="918"/>
      <c r="Y84" s="921"/>
      <c r="Z84" s="921"/>
      <c r="AA84" s="921"/>
      <c r="AC84" s="919"/>
    </row>
    <row r="85" spans="5:29" x14ac:dyDescent="0.2">
      <c r="E85" s="918"/>
      <c r="M85" s="919"/>
      <c r="N85" s="918"/>
      <c r="O85" s="918"/>
      <c r="P85" s="918"/>
      <c r="Q85" s="920"/>
      <c r="R85" s="918"/>
      <c r="S85" s="918"/>
      <c r="T85" s="918"/>
      <c r="U85" s="918"/>
      <c r="V85" s="918"/>
      <c r="W85" s="918"/>
      <c r="X85" s="918"/>
      <c r="Y85" s="921"/>
      <c r="Z85" s="921"/>
      <c r="AA85" s="921"/>
      <c r="AC85" s="919"/>
    </row>
    <row r="86" spans="5:29" x14ac:dyDescent="0.2">
      <c r="E86" s="918"/>
      <c r="M86" s="919"/>
      <c r="N86" s="918"/>
      <c r="O86" s="918"/>
      <c r="P86" s="918"/>
      <c r="Q86" s="920"/>
      <c r="R86" s="918"/>
      <c r="S86" s="918"/>
      <c r="T86" s="918"/>
      <c r="U86" s="918"/>
      <c r="V86" s="918"/>
      <c r="W86" s="918"/>
      <c r="X86" s="918"/>
      <c r="Y86" s="921"/>
      <c r="Z86" s="921"/>
      <c r="AA86" s="921"/>
      <c r="AC86" s="919"/>
    </row>
    <row r="87" spans="5:29" x14ac:dyDescent="0.2">
      <c r="E87" s="918"/>
      <c r="M87" s="919"/>
      <c r="N87" s="918"/>
      <c r="O87" s="918"/>
      <c r="P87" s="918"/>
      <c r="Q87" s="920"/>
      <c r="R87" s="918"/>
      <c r="S87" s="918"/>
      <c r="T87" s="918"/>
      <c r="U87" s="918"/>
      <c r="V87" s="918"/>
      <c r="W87" s="918"/>
      <c r="X87" s="918"/>
      <c r="Y87" s="921"/>
      <c r="Z87" s="921"/>
      <c r="AA87" s="921"/>
      <c r="AC87" s="919"/>
    </row>
    <row r="88" spans="5:29" x14ac:dyDescent="0.2">
      <c r="E88" s="918"/>
      <c r="M88" s="919"/>
      <c r="N88" s="918"/>
      <c r="O88" s="918"/>
      <c r="P88" s="918"/>
      <c r="Q88" s="920"/>
      <c r="R88" s="918"/>
      <c r="S88" s="918"/>
      <c r="T88" s="918"/>
      <c r="U88" s="918"/>
      <c r="V88" s="918"/>
      <c r="W88" s="918"/>
      <c r="X88" s="918"/>
      <c r="Y88" s="921"/>
      <c r="Z88" s="921"/>
      <c r="AA88" s="921"/>
      <c r="AC88" s="919"/>
    </row>
    <row r="89" spans="5:29" x14ac:dyDescent="0.2">
      <c r="E89" s="918"/>
      <c r="M89" s="919"/>
      <c r="N89" s="918"/>
      <c r="O89" s="918"/>
      <c r="P89" s="918"/>
      <c r="Q89" s="920"/>
      <c r="R89" s="918"/>
      <c r="S89" s="918"/>
      <c r="T89" s="918"/>
      <c r="U89" s="918"/>
      <c r="V89" s="918"/>
      <c r="W89" s="918"/>
      <c r="X89" s="918"/>
      <c r="Y89" s="921"/>
      <c r="Z89" s="921"/>
      <c r="AA89" s="921"/>
      <c r="AC89" s="919"/>
    </row>
    <row r="90" spans="5:29" x14ac:dyDescent="0.2">
      <c r="E90" s="918"/>
      <c r="M90" s="919"/>
      <c r="N90" s="918"/>
      <c r="O90" s="918"/>
      <c r="P90" s="918"/>
      <c r="Q90" s="920"/>
      <c r="R90" s="918"/>
      <c r="S90" s="918"/>
      <c r="T90" s="918"/>
      <c r="U90" s="918"/>
      <c r="V90" s="918"/>
      <c r="W90" s="918"/>
      <c r="X90" s="918"/>
      <c r="Y90" s="921"/>
      <c r="Z90" s="921"/>
      <c r="AA90" s="921"/>
      <c r="AC90" s="919"/>
    </row>
    <row r="91" spans="5:29" x14ac:dyDescent="0.2">
      <c r="E91" s="918"/>
      <c r="M91" s="919"/>
      <c r="N91" s="918"/>
      <c r="O91" s="918"/>
      <c r="P91" s="918"/>
      <c r="Q91" s="920"/>
      <c r="R91" s="918"/>
      <c r="S91" s="918"/>
      <c r="T91" s="918"/>
      <c r="U91" s="918"/>
      <c r="V91" s="918"/>
      <c r="W91" s="918"/>
      <c r="X91" s="918"/>
      <c r="Y91" s="921"/>
      <c r="Z91" s="921"/>
      <c r="AA91" s="921"/>
      <c r="AC91" s="919"/>
    </row>
    <row r="92" spans="5:29" x14ac:dyDescent="0.2">
      <c r="E92" s="918"/>
      <c r="M92" s="919"/>
      <c r="N92" s="918"/>
      <c r="O92" s="918"/>
      <c r="P92" s="918"/>
      <c r="Q92" s="920"/>
      <c r="R92" s="918"/>
      <c r="S92" s="918"/>
      <c r="T92" s="918"/>
      <c r="U92" s="918"/>
      <c r="V92" s="918"/>
      <c r="W92" s="918"/>
      <c r="X92" s="918"/>
      <c r="Y92" s="921"/>
      <c r="Z92" s="921"/>
      <c r="AA92" s="921"/>
      <c r="AC92" s="919"/>
    </row>
    <row r="93" spans="5:29" x14ac:dyDescent="0.2">
      <c r="E93" s="918"/>
      <c r="M93" s="919"/>
      <c r="N93" s="918"/>
      <c r="O93" s="918"/>
      <c r="P93" s="918"/>
      <c r="Q93" s="920"/>
      <c r="R93" s="918"/>
      <c r="S93" s="918"/>
      <c r="T93" s="918"/>
      <c r="U93" s="918"/>
      <c r="V93" s="918"/>
      <c r="W93" s="918"/>
      <c r="X93" s="918"/>
      <c r="Y93" s="921"/>
      <c r="Z93" s="921"/>
      <c r="AA93" s="921"/>
      <c r="AC93" s="919"/>
    </row>
    <row r="94" spans="5:29" x14ac:dyDescent="0.2">
      <c r="E94" s="918"/>
      <c r="M94" s="919"/>
      <c r="N94" s="918"/>
      <c r="O94" s="918"/>
      <c r="P94" s="918"/>
      <c r="Q94" s="920"/>
      <c r="R94" s="918"/>
      <c r="S94" s="918"/>
      <c r="T94" s="918"/>
      <c r="U94" s="918"/>
      <c r="V94" s="918"/>
      <c r="W94" s="918"/>
      <c r="X94" s="918"/>
      <c r="Y94" s="921"/>
      <c r="Z94" s="921"/>
      <c r="AA94" s="921"/>
      <c r="AC94" s="919"/>
    </row>
    <row r="95" spans="5:29" x14ac:dyDescent="0.2">
      <c r="E95" s="918"/>
      <c r="M95" s="919"/>
      <c r="N95" s="918"/>
      <c r="O95" s="918"/>
      <c r="P95" s="918"/>
      <c r="Q95" s="920"/>
      <c r="R95" s="918"/>
      <c r="S95" s="918"/>
      <c r="T95" s="918"/>
      <c r="U95" s="918"/>
      <c r="V95" s="918"/>
      <c r="W95" s="918"/>
      <c r="X95" s="918"/>
      <c r="Y95" s="921"/>
      <c r="Z95" s="921"/>
      <c r="AA95" s="921"/>
      <c r="AC95" s="919"/>
    </row>
    <row r="96" spans="5:29" x14ac:dyDescent="0.2">
      <c r="E96" s="918"/>
      <c r="M96" s="919"/>
      <c r="N96" s="918"/>
      <c r="O96" s="918"/>
      <c r="P96" s="918"/>
      <c r="Q96" s="920"/>
      <c r="R96" s="918"/>
      <c r="S96" s="918"/>
      <c r="T96" s="918"/>
      <c r="U96" s="918"/>
      <c r="V96" s="918"/>
      <c r="W96" s="918"/>
      <c r="X96" s="918"/>
      <c r="Y96" s="921"/>
      <c r="Z96" s="921"/>
      <c r="AA96" s="921"/>
      <c r="AC96" s="919"/>
    </row>
    <row r="97" spans="5:29" x14ac:dyDescent="0.2">
      <c r="E97" s="918"/>
      <c r="M97" s="919"/>
      <c r="N97" s="918"/>
      <c r="O97" s="918"/>
      <c r="P97" s="918"/>
      <c r="Q97" s="920"/>
      <c r="R97" s="918"/>
      <c r="S97" s="918"/>
      <c r="T97" s="918"/>
      <c r="U97" s="918"/>
      <c r="V97" s="918"/>
      <c r="W97" s="918"/>
      <c r="X97" s="918"/>
      <c r="Y97" s="921"/>
      <c r="Z97" s="921"/>
      <c r="AA97" s="921"/>
      <c r="AC97" s="919"/>
    </row>
    <row r="98" spans="5:29" x14ac:dyDescent="0.2">
      <c r="E98" s="918"/>
      <c r="M98" s="919"/>
      <c r="N98" s="918"/>
      <c r="O98" s="918"/>
      <c r="P98" s="918"/>
      <c r="Q98" s="920"/>
      <c r="R98" s="918"/>
      <c r="S98" s="918"/>
      <c r="T98" s="918"/>
      <c r="U98" s="918"/>
      <c r="V98" s="918"/>
      <c r="W98" s="918"/>
      <c r="X98" s="918"/>
      <c r="Y98" s="921"/>
      <c r="Z98" s="921"/>
      <c r="AA98" s="921"/>
      <c r="AC98" s="919"/>
    </row>
    <row r="99" spans="5:29" x14ac:dyDescent="0.2">
      <c r="E99" s="918"/>
      <c r="M99" s="919"/>
      <c r="N99" s="918"/>
      <c r="O99" s="918"/>
      <c r="P99" s="918"/>
      <c r="Q99" s="920"/>
      <c r="R99" s="918"/>
      <c r="S99" s="918"/>
      <c r="T99" s="918"/>
      <c r="U99" s="918"/>
      <c r="V99" s="918"/>
      <c r="W99" s="918"/>
      <c r="X99" s="918"/>
      <c r="Y99" s="921"/>
      <c r="Z99" s="921"/>
      <c r="AA99" s="921"/>
      <c r="AC99" s="919"/>
    </row>
    <row r="100" spans="5:29" x14ac:dyDescent="0.2">
      <c r="E100" s="918"/>
      <c r="M100" s="919"/>
      <c r="N100" s="918"/>
      <c r="O100" s="918"/>
      <c r="P100" s="918"/>
      <c r="Q100" s="920"/>
      <c r="R100" s="918"/>
      <c r="S100" s="918"/>
      <c r="T100" s="918"/>
      <c r="U100" s="918"/>
      <c r="V100" s="918"/>
      <c r="W100" s="918"/>
      <c r="X100" s="918"/>
      <c r="Y100" s="921"/>
      <c r="Z100" s="921"/>
      <c r="AA100" s="921"/>
      <c r="AC100" s="919"/>
    </row>
    <row r="101" spans="5:29" x14ac:dyDescent="0.2">
      <c r="E101" s="918"/>
      <c r="M101" s="919"/>
      <c r="N101" s="918"/>
      <c r="O101" s="918"/>
      <c r="P101" s="918"/>
      <c r="Q101" s="920"/>
      <c r="R101" s="918"/>
      <c r="S101" s="918"/>
      <c r="T101" s="918"/>
      <c r="U101" s="918"/>
      <c r="V101" s="918"/>
      <c r="W101" s="918"/>
      <c r="X101" s="918"/>
      <c r="Y101" s="921"/>
      <c r="Z101" s="921"/>
      <c r="AA101" s="921"/>
      <c r="AC101" s="919"/>
    </row>
    <row r="102" spans="5:29" x14ac:dyDescent="0.2">
      <c r="E102" s="918"/>
      <c r="M102" s="919"/>
      <c r="N102" s="918"/>
      <c r="O102" s="918"/>
      <c r="P102" s="918"/>
      <c r="Q102" s="920"/>
      <c r="R102" s="918"/>
      <c r="S102" s="918"/>
      <c r="T102" s="918"/>
      <c r="U102" s="918"/>
      <c r="V102" s="918"/>
      <c r="W102" s="918"/>
      <c r="X102" s="918"/>
      <c r="Y102" s="921"/>
      <c r="Z102" s="921"/>
      <c r="AA102" s="921"/>
      <c r="AC102" s="919"/>
    </row>
    <row r="103" spans="5:29" x14ac:dyDescent="0.2">
      <c r="E103" s="918"/>
      <c r="M103" s="919"/>
      <c r="N103" s="918"/>
      <c r="O103" s="918"/>
      <c r="P103" s="918"/>
      <c r="Q103" s="920"/>
      <c r="R103" s="918"/>
      <c r="S103" s="918"/>
      <c r="T103" s="918"/>
      <c r="U103" s="918"/>
      <c r="V103" s="918"/>
      <c r="W103" s="918"/>
      <c r="X103" s="918"/>
      <c r="Y103" s="921"/>
      <c r="Z103" s="921"/>
      <c r="AA103" s="921"/>
      <c r="AC103" s="919"/>
    </row>
    <row r="104" spans="5:29" x14ac:dyDescent="0.2">
      <c r="E104" s="918"/>
      <c r="M104" s="919"/>
      <c r="N104" s="918"/>
      <c r="O104" s="918"/>
      <c r="P104" s="918"/>
      <c r="Q104" s="920"/>
      <c r="R104" s="918"/>
      <c r="S104" s="918"/>
      <c r="T104" s="918"/>
      <c r="U104" s="918"/>
      <c r="V104" s="918"/>
      <c r="W104" s="918"/>
      <c r="X104" s="918"/>
      <c r="Y104" s="921"/>
      <c r="Z104" s="921"/>
      <c r="AA104" s="921"/>
      <c r="AC104" s="919"/>
    </row>
    <row r="105" spans="5:29" x14ac:dyDescent="0.2">
      <c r="E105" s="918"/>
      <c r="M105" s="919"/>
      <c r="N105" s="918"/>
      <c r="O105" s="918"/>
      <c r="P105" s="918"/>
      <c r="Q105" s="920"/>
      <c r="R105" s="918"/>
      <c r="S105" s="918"/>
      <c r="T105" s="918"/>
      <c r="U105" s="918"/>
      <c r="V105" s="918"/>
      <c r="W105" s="918"/>
      <c r="X105" s="918"/>
      <c r="Y105" s="921"/>
      <c r="Z105" s="921"/>
      <c r="AA105" s="921"/>
      <c r="AC105" s="919"/>
    </row>
    <row r="106" spans="5:29" x14ac:dyDescent="0.2">
      <c r="E106" s="918"/>
      <c r="M106" s="919"/>
      <c r="N106" s="918"/>
      <c r="O106" s="918"/>
      <c r="P106" s="918"/>
      <c r="Q106" s="920"/>
      <c r="R106" s="918"/>
      <c r="S106" s="918"/>
      <c r="T106" s="918"/>
      <c r="U106" s="918"/>
      <c r="V106" s="918"/>
      <c r="W106" s="918"/>
      <c r="X106" s="918"/>
      <c r="Y106" s="921"/>
      <c r="Z106" s="921"/>
      <c r="AA106" s="921"/>
      <c r="AC106" s="919"/>
    </row>
    <row r="107" spans="5:29" x14ac:dyDescent="0.2">
      <c r="E107" s="918"/>
      <c r="M107" s="919"/>
      <c r="N107" s="918"/>
      <c r="O107" s="918"/>
      <c r="P107" s="918"/>
      <c r="Q107" s="920"/>
      <c r="R107" s="918"/>
      <c r="S107" s="918"/>
      <c r="T107" s="918"/>
      <c r="U107" s="918"/>
      <c r="V107" s="918"/>
      <c r="W107" s="918"/>
      <c r="X107" s="918"/>
      <c r="Y107" s="921"/>
      <c r="Z107" s="921"/>
      <c r="AA107" s="921"/>
      <c r="AC107" s="919"/>
    </row>
    <row r="108" spans="5:29" x14ac:dyDescent="0.2">
      <c r="E108" s="918"/>
      <c r="M108" s="919"/>
      <c r="N108" s="918"/>
      <c r="O108" s="918"/>
      <c r="P108" s="918"/>
      <c r="Q108" s="920"/>
      <c r="R108" s="918"/>
      <c r="S108" s="918"/>
      <c r="T108" s="918"/>
      <c r="U108" s="918"/>
      <c r="V108" s="918"/>
      <c r="W108" s="918"/>
      <c r="X108" s="918"/>
      <c r="Y108" s="921"/>
      <c r="Z108" s="921"/>
      <c r="AA108" s="921"/>
      <c r="AC108" s="919"/>
    </row>
    <row r="109" spans="5:29" x14ac:dyDescent="0.2">
      <c r="E109" s="918"/>
      <c r="M109" s="919"/>
      <c r="N109" s="918"/>
      <c r="O109" s="918"/>
      <c r="P109" s="918"/>
      <c r="Q109" s="920"/>
      <c r="R109" s="918"/>
      <c r="S109" s="918"/>
      <c r="T109" s="918"/>
      <c r="U109" s="918"/>
      <c r="V109" s="918"/>
      <c r="W109" s="918"/>
      <c r="X109" s="918"/>
      <c r="Y109" s="921"/>
      <c r="Z109" s="921"/>
      <c r="AA109" s="921"/>
      <c r="AC109" s="919"/>
    </row>
    <row r="110" spans="5:29" x14ac:dyDescent="0.2">
      <c r="E110" s="918"/>
      <c r="M110" s="919"/>
      <c r="N110" s="918"/>
      <c r="O110" s="918"/>
      <c r="P110" s="918"/>
      <c r="Q110" s="920"/>
      <c r="R110" s="918"/>
      <c r="S110" s="918"/>
      <c r="T110" s="918"/>
      <c r="U110" s="918"/>
      <c r="V110" s="918"/>
      <c r="W110" s="918"/>
      <c r="X110" s="918"/>
      <c r="Y110" s="921"/>
      <c r="Z110" s="921"/>
      <c r="AA110" s="921"/>
      <c r="AC110" s="919"/>
    </row>
    <row r="111" spans="5:29" x14ac:dyDescent="0.2">
      <c r="E111" s="918"/>
      <c r="M111" s="919"/>
      <c r="N111" s="918"/>
      <c r="O111" s="918"/>
      <c r="P111" s="918"/>
      <c r="Q111" s="920"/>
      <c r="R111" s="918"/>
      <c r="S111" s="918"/>
      <c r="T111" s="918"/>
      <c r="U111" s="918"/>
      <c r="V111" s="918"/>
      <c r="W111" s="918"/>
      <c r="X111" s="918"/>
      <c r="Y111" s="921"/>
      <c r="Z111" s="921"/>
      <c r="AA111" s="921"/>
      <c r="AC111" s="919"/>
    </row>
    <row r="112" spans="5:29" x14ac:dyDescent="0.2">
      <c r="E112" s="918"/>
      <c r="M112" s="919"/>
      <c r="N112" s="918"/>
      <c r="O112" s="918"/>
      <c r="P112" s="918"/>
      <c r="Q112" s="920"/>
      <c r="R112" s="918"/>
      <c r="S112" s="918"/>
      <c r="T112" s="918"/>
      <c r="U112" s="918"/>
      <c r="V112" s="918"/>
      <c r="W112" s="918"/>
      <c r="X112" s="918"/>
      <c r="Y112" s="921"/>
      <c r="Z112" s="921"/>
      <c r="AA112" s="921"/>
      <c r="AC112" s="919"/>
    </row>
    <row r="113" spans="5:29" x14ac:dyDescent="0.2">
      <c r="E113" s="918"/>
      <c r="M113" s="919"/>
      <c r="N113" s="918"/>
      <c r="O113" s="918"/>
      <c r="P113" s="918"/>
      <c r="Q113" s="920"/>
      <c r="R113" s="918"/>
      <c r="S113" s="918"/>
      <c r="T113" s="918"/>
      <c r="U113" s="918"/>
      <c r="V113" s="918"/>
      <c r="W113" s="918"/>
      <c r="X113" s="918"/>
      <c r="Y113" s="921"/>
      <c r="Z113" s="921"/>
      <c r="AA113" s="921"/>
      <c r="AC113" s="919"/>
    </row>
    <row r="114" spans="5:29" x14ac:dyDescent="0.2">
      <c r="E114" s="918"/>
      <c r="M114" s="919"/>
      <c r="N114" s="918"/>
      <c r="O114" s="918"/>
      <c r="P114" s="918"/>
      <c r="Q114" s="920"/>
      <c r="R114" s="918"/>
      <c r="S114" s="918"/>
      <c r="T114" s="918"/>
      <c r="U114" s="918"/>
      <c r="V114" s="918"/>
      <c r="W114" s="918"/>
      <c r="X114" s="918"/>
      <c r="Y114" s="921"/>
      <c r="Z114" s="921"/>
      <c r="AA114" s="921"/>
      <c r="AC114" s="919"/>
    </row>
    <row r="115" spans="5:29" x14ac:dyDescent="0.2">
      <c r="E115" s="918"/>
      <c r="M115" s="919"/>
      <c r="N115" s="918"/>
      <c r="O115" s="918"/>
      <c r="P115" s="918"/>
      <c r="Q115" s="920"/>
      <c r="R115" s="918"/>
      <c r="S115" s="918"/>
      <c r="T115" s="918"/>
      <c r="U115" s="918"/>
      <c r="V115" s="918"/>
      <c r="W115" s="918"/>
      <c r="X115" s="918"/>
      <c r="Y115" s="921"/>
      <c r="Z115" s="921"/>
      <c r="AA115" s="921"/>
      <c r="AC115" s="919"/>
    </row>
    <row r="116" spans="5:29" x14ac:dyDescent="0.2">
      <c r="E116" s="918"/>
      <c r="M116" s="919"/>
      <c r="N116" s="918"/>
      <c r="O116" s="918"/>
      <c r="P116" s="918"/>
      <c r="Q116" s="920"/>
      <c r="R116" s="918"/>
      <c r="S116" s="918"/>
      <c r="T116" s="918"/>
      <c r="U116" s="918"/>
      <c r="V116" s="918"/>
      <c r="W116" s="918"/>
      <c r="X116" s="918"/>
      <c r="Y116" s="921"/>
      <c r="Z116" s="921"/>
      <c r="AA116" s="921"/>
      <c r="AC116" s="919"/>
    </row>
    <row r="117" spans="5:29" x14ac:dyDescent="0.2">
      <c r="E117" s="918"/>
      <c r="M117" s="919"/>
      <c r="N117" s="918"/>
      <c r="O117" s="918"/>
      <c r="P117" s="918"/>
      <c r="Q117" s="920"/>
      <c r="R117" s="918"/>
      <c r="S117" s="918"/>
      <c r="T117" s="918"/>
      <c r="U117" s="918"/>
      <c r="V117" s="918"/>
      <c r="W117" s="918"/>
      <c r="X117" s="918"/>
      <c r="Y117" s="921"/>
      <c r="Z117" s="921"/>
      <c r="AA117" s="921"/>
      <c r="AC117" s="919"/>
    </row>
    <row r="118" spans="5:29" x14ac:dyDescent="0.2">
      <c r="E118" s="918"/>
      <c r="M118" s="919"/>
      <c r="N118" s="918"/>
      <c r="O118" s="918"/>
      <c r="P118" s="918"/>
      <c r="Q118" s="920"/>
      <c r="R118" s="918"/>
      <c r="S118" s="918"/>
      <c r="T118" s="918"/>
      <c r="U118" s="918"/>
      <c r="V118" s="918"/>
      <c r="W118" s="918"/>
      <c r="X118" s="918"/>
      <c r="Y118" s="921"/>
      <c r="Z118" s="921"/>
      <c r="AA118" s="921"/>
      <c r="AC118" s="919"/>
    </row>
    <row r="119" spans="5:29" x14ac:dyDescent="0.2">
      <c r="E119" s="918"/>
      <c r="M119" s="919"/>
      <c r="N119" s="918"/>
      <c r="O119" s="918"/>
      <c r="P119" s="918"/>
      <c r="Q119" s="920"/>
      <c r="R119" s="918"/>
      <c r="S119" s="918"/>
      <c r="T119" s="918"/>
      <c r="U119" s="918"/>
      <c r="V119" s="918"/>
      <c r="W119" s="918"/>
      <c r="X119" s="918"/>
      <c r="Y119" s="921"/>
      <c r="Z119" s="921"/>
      <c r="AA119" s="921"/>
      <c r="AC119" s="919"/>
    </row>
    <row r="120" spans="5:29" x14ac:dyDescent="0.2">
      <c r="E120" s="918"/>
      <c r="M120" s="919"/>
      <c r="N120" s="918"/>
      <c r="O120" s="918"/>
      <c r="P120" s="918"/>
      <c r="Q120" s="920"/>
      <c r="R120" s="918"/>
      <c r="S120" s="918"/>
      <c r="T120" s="918"/>
      <c r="U120" s="918"/>
      <c r="V120" s="918"/>
      <c r="W120" s="918"/>
      <c r="X120" s="918"/>
      <c r="Y120" s="921"/>
      <c r="Z120" s="921"/>
      <c r="AA120" s="921"/>
      <c r="AC120" s="919"/>
    </row>
    <row r="121" spans="5:29" x14ac:dyDescent="0.2">
      <c r="E121" s="918"/>
      <c r="M121" s="919"/>
      <c r="N121" s="918"/>
      <c r="O121" s="918"/>
      <c r="P121" s="918"/>
      <c r="Q121" s="920"/>
      <c r="R121" s="918"/>
      <c r="S121" s="918"/>
      <c r="T121" s="918"/>
      <c r="U121" s="918"/>
      <c r="V121" s="918"/>
      <c r="W121" s="918"/>
      <c r="X121" s="918"/>
      <c r="Y121" s="921"/>
      <c r="Z121" s="921"/>
      <c r="AA121" s="921"/>
      <c r="AC121" s="919"/>
    </row>
    <row r="122" spans="5:29" x14ac:dyDescent="0.2">
      <c r="E122" s="918"/>
      <c r="M122" s="919"/>
      <c r="N122" s="918"/>
      <c r="O122" s="918"/>
      <c r="P122" s="918"/>
      <c r="Q122" s="920"/>
      <c r="R122" s="918"/>
      <c r="S122" s="918"/>
      <c r="T122" s="918"/>
      <c r="U122" s="918"/>
      <c r="V122" s="918"/>
      <c r="W122" s="918"/>
      <c r="X122" s="918"/>
      <c r="Y122" s="921"/>
      <c r="Z122" s="921"/>
      <c r="AA122" s="921"/>
      <c r="AC122" s="919"/>
    </row>
    <row r="123" spans="5:29" x14ac:dyDescent="0.2">
      <c r="E123" s="918"/>
      <c r="M123" s="919"/>
      <c r="N123" s="918"/>
      <c r="O123" s="918"/>
      <c r="P123" s="918"/>
      <c r="Q123" s="920"/>
      <c r="R123" s="918"/>
      <c r="S123" s="918"/>
      <c r="T123" s="918"/>
      <c r="U123" s="918"/>
      <c r="V123" s="918"/>
      <c r="W123" s="918"/>
      <c r="X123" s="918"/>
      <c r="Y123" s="921"/>
      <c r="Z123" s="921"/>
      <c r="AA123" s="921"/>
      <c r="AC123" s="919"/>
    </row>
    <row r="124" spans="5:29" x14ac:dyDescent="0.2">
      <c r="E124" s="918"/>
      <c r="M124" s="919"/>
      <c r="N124" s="918"/>
      <c r="O124" s="918"/>
      <c r="P124" s="918"/>
      <c r="Q124" s="920"/>
      <c r="R124" s="918"/>
      <c r="S124" s="918"/>
      <c r="T124" s="918"/>
      <c r="U124" s="918"/>
      <c r="V124" s="918"/>
      <c r="W124" s="918"/>
      <c r="X124" s="918"/>
      <c r="Y124" s="921"/>
      <c r="Z124" s="921"/>
      <c r="AA124" s="921"/>
      <c r="AC124" s="919"/>
    </row>
    <row r="125" spans="5:29" x14ac:dyDescent="0.2">
      <c r="E125" s="918"/>
      <c r="M125" s="919"/>
      <c r="N125" s="918"/>
      <c r="O125" s="918"/>
      <c r="P125" s="918"/>
      <c r="Q125" s="920"/>
      <c r="R125" s="918"/>
      <c r="S125" s="918"/>
      <c r="T125" s="918"/>
      <c r="U125" s="918"/>
      <c r="V125" s="918"/>
      <c r="W125" s="918"/>
      <c r="X125" s="918"/>
      <c r="Y125" s="921"/>
      <c r="Z125" s="921"/>
      <c r="AA125" s="921"/>
      <c r="AC125" s="919"/>
    </row>
    <row r="126" spans="5:29" x14ac:dyDescent="0.2">
      <c r="E126" s="918"/>
      <c r="M126" s="919"/>
      <c r="N126" s="918"/>
      <c r="O126" s="918"/>
      <c r="P126" s="918"/>
      <c r="Q126" s="920"/>
      <c r="R126" s="918"/>
      <c r="S126" s="918"/>
      <c r="T126" s="918"/>
      <c r="U126" s="918"/>
      <c r="V126" s="918"/>
      <c r="W126" s="918"/>
      <c r="X126" s="918"/>
      <c r="Y126" s="921"/>
      <c r="Z126" s="921"/>
      <c r="AA126" s="921"/>
      <c r="AC126" s="919"/>
    </row>
    <row r="127" spans="5:29" x14ac:dyDescent="0.2">
      <c r="E127" s="918"/>
      <c r="M127" s="919"/>
      <c r="N127" s="918"/>
      <c r="O127" s="918"/>
      <c r="P127" s="918"/>
      <c r="Q127" s="920"/>
      <c r="R127" s="918"/>
      <c r="S127" s="918"/>
      <c r="T127" s="918"/>
      <c r="U127" s="918"/>
      <c r="V127" s="918"/>
      <c r="W127" s="918"/>
      <c r="X127" s="918"/>
      <c r="Y127" s="921"/>
      <c r="Z127" s="921"/>
      <c r="AA127" s="921"/>
      <c r="AC127" s="919"/>
    </row>
    <row r="128" spans="5:29" x14ac:dyDescent="0.2">
      <c r="E128" s="918"/>
      <c r="M128" s="919"/>
      <c r="N128" s="918"/>
      <c r="O128" s="918"/>
      <c r="P128" s="918"/>
      <c r="Q128" s="920"/>
      <c r="R128" s="918"/>
      <c r="S128" s="918"/>
      <c r="T128" s="918"/>
      <c r="U128" s="918"/>
      <c r="V128" s="918"/>
      <c r="W128" s="918"/>
      <c r="X128" s="918"/>
      <c r="Y128" s="921"/>
      <c r="Z128" s="921"/>
      <c r="AA128" s="921"/>
      <c r="AC128" s="919"/>
    </row>
    <row r="129" spans="5:29" x14ac:dyDescent="0.2">
      <c r="E129" s="918"/>
      <c r="M129" s="919"/>
      <c r="N129" s="918"/>
      <c r="O129" s="918"/>
      <c r="P129" s="918"/>
      <c r="Q129" s="920"/>
      <c r="R129" s="918"/>
      <c r="S129" s="918"/>
      <c r="T129" s="918"/>
      <c r="U129" s="918"/>
      <c r="V129" s="918"/>
      <c r="W129" s="918"/>
      <c r="X129" s="918"/>
      <c r="Y129" s="921"/>
      <c r="Z129" s="921"/>
      <c r="AA129" s="921"/>
      <c r="AC129" s="919"/>
    </row>
    <row r="130" spans="5:29" x14ac:dyDescent="0.2">
      <c r="E130" s="918"/>
      <c r="M130" s="919"/>
      <c r="N130" s="918"/>
      <c r="O130" s="918"/>
      <c r="P130" s="918"/>
      <c r="Q130" s="920"/>
      <c r="R130" s="918"/>
      <c r="S130" s="918"/>
      <c r="T130" s="918"/>
      <c r="U130" s="918"/>
      <c r="V130" s="918"/>
      <c r="W130" s="918"/>
      <c r="X130" s="918"/>
      <c r="Y130" s="921"/>
      <c r="Z130" s="921"/>
      <c r="AA130" s="921"/>
      <c r="AC130" s="919"/>
    </row>
    <row r="131" spans="5:29" x14ac:dyDescent="0.2">
      <c r="E131" s="918"/>
      <c r="M131" s="919"/>
      <c r="N131" s="918"/>
      <c r="O131" s="918"/>
      <c r="P131" s="918"/>
      <c r="Q131" s="920"/>
      <c r="R131" s="918"/>
      <c r="S131" s="918"/>
      <c r="T131" s="918"/>
      <c r="U131" s="918"/>
      <c r="V131" s="918"/>
      <c r="W131" s="918"/>
      <c r="X131" s="918"/>
      <c r="Y131" s="921"/>
      <c r="Z131" s="921"/>
      <c r="AA131" s="921"/>
      <c r="AC131" s="919"/>
    </row>
    <row r="132" spans="5:29" x14ac:dyDescent="0.2">
      <c r="E132" s="918"/>
      <c r="M132" s="919"/>
      <c r="N132" s="918"/>
      <c r="O132" s="918"/>
      <c r="P132" s="918"/>
      <c r="Q132" s="920"/>
      <c r="R132" s="918"/>
      <c r="S132" s="918"/>
      <c r="T132" s="918"/>
      <c r="U132" s="918"/>
      <c r="V132" s="918"/>
      <c r="W132" s="918"/>
      <c r="X132" s="918"/>
      <c r="Y132" s="921"/>
      <c r="Z132" s="921"/>
      <c r="AA132" s="921"/>
      <c r="AC132" s="919"/>
    </row>
    <row r="133" spans="5:29" x14ac:dyDescent="0.2">
      <c r="E133" s="918"/>
      <c r="M133" s="919"/>
      <c r="N133" s="918"/>
      <c r="O133" s="918"/>
      <c r="P133" s="918"/>
      <c r="Q133" s="920"/>
      <c r="R133" s="918"/>
      <c r="S133" s="918"/>
      <c r="T133" s="918"/>
      <c r="U133" s="918"/>
      <c r="V133" s="918"/>
      <c r="W133" s="918"/>
      <c r="X133" s="918"/>
      <c r="Y133" s="921"/>
      <c r="Z133" s="921"/>
      <c r="AA133" s="921"/>
      <c r="AC133" s="919"/>
    </row>
    <row r="134" spans="5:29" x14ac:dyDescent="0.2">
      <c r="E134" s="918"/>
      <c r="M134" s="919"/>
      <c r="N134" s="918"/>
      <c r="O134" s="918"/>
      <c r="P134" s="918"/>
      <c r="Q134" s="920"/>
      <c r="R134" s="918"/>
      <c r="S134" s="918"/>
      <c r="T134" s="918"/>
      <c r="U134" s="918"/>
      <c r="V134" s="918"/>
      <c r="W134" s="918"/>
      <c r="X134" s="918"/>
      <c r="Y134" s="921"/>
      <c r="Z134" s="921"/>
      <c r="AA134" s="921"/>
      <c r="AC134" s="919"/>
    </row>
    <row r="135" spans="5:29" x14ac:dyDescent="0.2">
      <c r="E135" s="918"/>
      <c r="M135" s="919"/>
      <c r="N135" s="918"/>
      <c r="O135" s="918"/>
      <c r="P135" s="918"/>
      <c r="Q135" s="920"/>
      <c r="R135" s="918"/>
      <c r="S135" s="918"/>
      <c r="T135" s="918"/>
      <c r="U135" s="918"/>
      <c r="V135" s="918"/>
      <c r="W135" s="918"/>
      <c r="X135" s="918"/>
      <c r="Y135" s="921"/>
      <c r="Z135" s="921"/>
      <c r="AA135" s="921"/>
      <c r="AC135" s="919"/>
    </row>
    <row r="136" spans="5:29" x14ac:dyDescent="0.2">
      <c r="E136" s="918"/>
      <c r="M136" s="919"/>
      <c r="N136" s="918"/>
      <c r="O136" s="918"/>
      <c r="P136" s="918"/>
      <c r="Q136" s="920"/>
      <c r="R136" s="918"/>
      <c r="S136" s="918"/>
      <c r="T136" s="918"/>
      <c r="U136" s="918"/>
      <c r="V136" s="918"/>
      <c r="W136" s="918"/>
      <c r="X136" s="918"/>
      <c r="Y136" s="921"/>
      <c r="Z136" s="921"/>
      <c r="AA136" s="921"/>
      <c r="AC136" s="919"/>
    </row>
    <row r="137" spans="5:29" x14ac:dyDescent="0.2">
      <c r="E137" s="918"/>
      <c r="M137" s="919"/>
      <c r="N137" s="918"/>
      <c r="O137" s="918"/>
      <c r="P137" s="918"/>
      <c r="Q137" s="920"/>
      <c r="R137" s="918"/>
      <c r="S137" s="918"/>
      <c r="T137" s="918"/>
      <c r="U137" s="918"/>
      <c r="V137" s="918"/>
      <c r="W137" s="918"/>
      <c r="X137" s="918"/>
      <c r="Y137" s="921"/>
      <c r="Z137" s="921"/>
      <c r="AA137" s="921"/>
      <c r="AC137" s="919"/>
    </row>
    <row r="138" spans="5:29" x14ac:dyDescent="0.2">
      <c r="E138" s="918"/>
      <c r="M138" s="919"/>
      <c r="N138" s="918"/>
      <c r="O138" s="918"/>
      <c r="P138" s="918"/>
      <c r="Q138" s="920"/>
      <c r="R138" s="918"/>
      <c r="S138" s="918"/>
      <c r="T138" s="918"/>
      <c r="U138" s="918"/>
      <c r="V138" s="918"/>
      <c r="W138" s="918"/>
      <c r="X138" s="918"/>
      <c r="Y138" s="921"/>
      <c r="Z138" s="921"/>
      <c r="AA138" s="921"/>
      <c r="AC138" s="919"/>
    </row>
    <row r="139" spans="5:29" x14ac:dyDescent="0.2">
      <c r="E139" s="918"/>
      <c r="M139" s="919"/>
      <c r="N139" s="918"/>
      <c r="O139" s="918"/>
      <c r="P139" s="918"/>
      <c r="Q139" s="920"/>
      <c r="R139" s="918"/>
      <c r="S139" s="918"/>
      <c r="T139" s="918"/>
      <c r="U139" s="918"/>
      <c r="V139" s="918"/>
      <c r="W139" s="918"/>
      <c r="X139" s="918"/>
      <c r="Y139" s="921"/>
      <c r="Z139" s="921"/>
      <c r="AA139" s="921"/>
      <c r="AC139" s="919"/>
    </row>
    <row r="140" spans="5:29" x14ac:dyDescent="0.2">
      <c r="E140" s="918"/>
      <c r="M140" s="919"/>
      <c r="N140" s="918"/>
      <c r="O140" s="918"/>
      <c r="P140" s="918"/>
      <c r="Q140" s="920"/>
      <c r="R140" s="918"/>
      <c r="S140" s="918"/>
      <c r="T140" s="918"/>
      <c r="U140" s="918"/>
      <c r="V140" s="918"/>
      <c r="W140" s="918"/>
      <c r="X140" s="918"/>
      <c r="Y140" s="921"/>
      <c r="Z140" s="921"/>
      <c r="AA140" s="921"/>
      <c r="AC140" s="919"/>
    </row>
    <row r="141" spans="5:29" x14ac:dyDescent="0.2">
      <c r="E141" s="918"/>
      <c r="M141" s="919"/>
      <c r="N141" s="918"/>
      <c r="O141" s="918"/>
      <c r="P141" s="918"/>
      <c r="Q141" s="920"/>
      <c r="R141" s="918"/>
      <c r="S141" s="918"/>
      <c r="T141" s="918"/>
      <c r="U141" s="918"/>
      <c r="V141" s="918"/>
      <c r="W141" s="918"/>
      <c r="X141" s="918"/>
      <c r="Y141" s="921"/>
      <c r="Z141" s="921"/>
      <c r="AA141" s="921"/>
      <c r="AC141" s="919"/>
    </row>
    <row r="142" spans="5:29" x14ac:dyDescent="0.2">
      <c r="E142" s="918"/>
      <c r="M142" s="919"/>
      <c r="N142" s="918"/>
      <c r="O142" s="918"/>
      <c r="P142" s="918"/>
      <c r="Q142" s="920"/>
      <c r="R142" s="918"/>
      <c r="S142" s="918"/>
      <c r="T142" s="918"/>
      <c r="U142" s="918"/>
      <c r="V142" s="918"/>
      <c r="W142" s="918"/>
      <c r="X142" s="918"/>
      <c r="Y142" s="921"/>
      <c r="Z142" s="921"/>
      <c r="AA142" s="921"/>
      <c r="AC142" s="919"/>
    </row>
    <row r="143" spans="5:29" x14ac:dyDescent="0.2">
      <c r="E143" s="918"/>
      <c r="M143" s="919"/>
      <c r="N143" s="918"/>
      <c r="O143" s="918"/>
      <c r="P143" s="918"/>
      <c r="Q143" s="920"/>
      <c r="R143" s="918"/>
      <c r="S143" s="918"/>
      <c r="T143" s="918"/>
      <c r="U143" s="918"/>
      <c r="V143" s="918"/>
      <c r="W143" s="918"/>
      <c r="X143" s="918"/>
      <c r="Y143" s="921"/>
      <c r="Z143" s="921"/>
      <c r="AA143" s="921"/>
      <c r="AC143" s="919"/>
    </row>
    <row r="144" spans="5:29" x14ac:dyDescent="0.2">
      <c r="E144" s="918"/>
      <c r="M144" s="919"/>
      <c r="N144" s="918"/>
      <c r="O144" s="918"/>
      <c r="P144" s="918"/>
      <c r="Q144" s="920"/>
      <c r="R144" s="918"/>
      <c r="S144" s="918"/>
      <c r="T144" s="918"/>
      <c r="U144" s="918"/>
      <c r="V144" s="918"/>
      <c r="W144" s="918"/>
      <c r="X144" s="918"/>
      <c r="Y144" s="921"/>
      <c r="Z144" s="921"/>
      <c r="AA144" s="921"/>
      <c r="AC144" s="919"/>
    </row>
    <row r="145" spans="5:29" x14ac:dyDescent="0.2">
      <c r="E145" s="918"/>
      <c r="M145" s="919"/>
      <c r="N145" s="918"/>
      <c r="O145" s="918"/>
      <c r="P145" s="918"/>
      <c r="Q145" s="920"/>
      <c r="R145" s="918"/>
      <c r="S145" s="918"/>
      <c r="T145" s="918"/>
      <c r="U145" s="918"/>
      <c r="V145" s="918"/>
      <c r="W145" s="918"/>
      <c r="X145" s="918"/>
      <c r="Y145" s="921"/>
      <c r="Z145" s="921"/>
      <c r="AA145" s="921"/>
      <c r="AC145" s="919"/>
    </row>
    <row r="146" spans="5:29" x14ac:dyDescent="0.2">
      <c r="E146" s="918"/>
      <c r="M146" s="919"/>
      <c r="N146" s="918"/>
      <c r="O146" s="918"/>
      <c r="P146" s="918"/>
      <c r="Q146" s="920"/>
      <c r="R146" s="918"/>
      <c r="S146" s="918"/>
      <c r="T146" s="918"/>
      <c r="U146" s="918"/>
      <c r="V146" s="918"/>
      <c r="W146" s="918"/>
      <c r="X146" s="918"/>
      <c r="Y146" s="921"/>
      <c r="Z146" s="921"/>
      <c r="AA146" s="921"/>
      <c r="AC146" s="919"/>
    </row>
    <row r="147" spans="5:29" x14ac:dyDescent="0.2">
      <c r="E147" s="918"/>
      <c r="M147" s="919"/>
      <c r="N147" s="918"/>
      <c r="O147" s="918"/>
      <c r="P147" s="918"/>
      <c r="Q147" s="920"/>
      <c r="R147" s="918"/>
      <c r="S147" s="918"/>
      <c r="T147" s="918"/>
      <c r="U147" s="918"/>
      <c r="V147" s="918"/>
      <c r="W147" s="918"/>
      <c r="X147" s="918"/>
      <c r="Y147" s="921"/>
      <c r="Z147" s="921"/>
      <c r="AA147" s="921"/>
      <c r="AC147" s="919"/>
    </row>
    <row r="148" spans="5:29" x14ac:dyDescent="0.2">
      <c r="E148" s="918"/>
      <c r="M148" s="919"/>
      <c r="N148" s="918"/>
      <c r="O148" s="918"/>
      <c r="P148" s="918"/>
      <c r="Q148" s="920"/>
      <c r="R148" s="918"/>
      <c r="S148" s="918"/>
      <c r="T148" s="918"/>
      <c r="U148" s="918"/>
      <c r="V148" s="918"/>
      <c r="W148" s="918"/>
      <c r="X148" s="918"/>
      <c r="Y148" s="921"/>
      <c r="Z148" s="921"/>
      <c r="AA148" s="921"/>
      <c r="AC148" s="919"/>
    </row>
    <row r="149" spans="5:29" x14ac:dyDescent="0.2">
      <c r="E149" s="918"/>
      <c r="M149" s="919"/>
      <c r="N149" s="918"/>
      <c r="O149" s="918"/>
      <c r="P149" s="918"/>
      <c r="Q149" s="920"/>
      <c r="R149" s="918"/>
      <c r="S149" s="918"/>
      <c r="T149" s="918"/>
      <c r="U149" s="918"/>
      <c r="V149" s="918"/>
      <c r="W149" s="918"/>
      <c r="X149" s="918"/>
      <c r="Y149" s="921"/>
      <c r="Z149" s="921"/>
      <c r="AA149" s="921"/>
      <c r="AC149" s="919"/>
    </row>
    <row r="150" spans="5:29" x14ac:dyDescent="0.2">
      <c r="E150" s="918"/>
      <c r="M150" s="919"/>
      <c r="N150" s="918"/>
      <c r="O150" s="918"/>
      <c r="P150" s="918"/>
      <c r="Q150" s="920"/>
      <c r="R150" s="918"/>
      <c r="S150" s="918"/>
      <c r="T150" s="918"/>
      <c r="U150" s="918"/>
      <c r="V150" s="918"/>
      <c r="W150" s="918"/>
      <c r="X150" s="918"/>
      <c r="Y150" s="921"/>
      <c r="Z150" s="921"/>
      <c r="AA150" s="921"/>
      <c r="AC150" s="919"/>
    </row>
    <row r="151" spans="5:29" x14ac:dyDescent="0.2">
      <c r="E151" s="918"/>
      <c r="M151" s="919"/>
      <c r="N151" s="918"/>
      <c r="O151" s="918"/>
      <c r="P151" s="918"/>
      <c r="Q151" s="920"/>
      <c r="R151" s="918"/>
      <c r="S151" s="918"/>
      <c r="T151" s="918"/>
      <c r="U151" s="918"/>
      <c r="V151" s="918"/>
      <c r="W151" s="918"/>
      <c r="X151" s="918"/>
      <c r="Y151" s="921"/>
      <c r="Z151" s="921"/>
      <c r="AA151" s="921"/>
      <c r="AC151" s="919"/>
    </row>
    <row r="152" spans="5:29" x14ac:dyDescent="0.2">
      <c r="E152" s="918"/>
      <c r="M152" s="919"/>
      <c r="N152" s="918"/>
      <c r="O152" s="918"/>
      <c r="P152" s="918"/>
      <c r="Q152" s="920"/>
      <c r="R152" s="918"/>
      <c r="S152" s="918"/>
      <c r="T152" s="918"/>
      <c r="U152" s="918"/>
      <c r="V152" s="918"/>
      <c r="W152" s="918"/>
      <c r="X152" s="918"/>
      <c r="Y152" s="921"/>
      <c r="Z152" s="921"/>
      <c r="AA152" s="921"/>
      <c r="AC152" s="919"/>
    </row>
    <row r="153" spans="5:29" x14ac:dyDescent="0.2">
      <c r="E153" s="918"/>
      <c r="M153" s="919"/>
      <c r="N153" s="918"/>
      <c r="O153" s="918"/>
      <c r="P153" s="918"/>
      <c r="Q153" s="920"/>
      <c r="R153" s="918"/>
      <c r="S153" s="918"/>
      <c r="T153" s="918"/>
      <c r="U153" s="918"/>
      <c r="V153" s="918"/>
      <c r="W153" s="918"/>
      <c r="X153" s="918"/>
      <c r="Y153" s="921"/>
      <c r="Z153" s="921"/>
      <c r="AA153" s="921"/>
      <c r="AC153" s="919"/>
    </row>
    <row r="154" spans="5:29" x14ac:dyDescent="0.2">
      <c r="E154" s="918"/>
      <c r="M154" s="919"/>
      <c r="N154" s="918"/>
      <c r="O154" s="918"/>
      <c r="P154" s="918"/>
      <c r="Q154" s="920"/>
      <c r="R154" s="918"/>
      <c r="S154" s="918"/>
      <c r="T154" s="918"/>
      <c r="U154" s="918"/>
      <c r="V154" s="918"/>
      <c r="W154" s="918"/>
      <c r="X154" s="918"/>
      <c r="Y154" s="921"/>
      <c r="Z154" s="921"/>
      <c r="AA154" s="921"/>
      <c r="AC154" s="919"/>
    </row>
    <row r="155" spans="5:29" x14ac:dyDescent="0.2">
      <c r="E155" s="918"/>
      <c r="M155" s="919"/>
      <c r="N155" s="918"/>
      <c r="O155" s="918"/>
      <c r="P155" s="918"/>
      <c r="Q155" s="920"/>
      <c r="R155" s="918"/>
      <c r="S155" s="918"/>
      <c r="T155" s="918"/>
      <c r="U155" s="918"/>
      <c r="V155" s="918"/>
      <c r="W155" s="918"/>
      <c r="X155" s="918"/>
      <c r="Y155" s="921"/>
      <c r="Z155" s="921"/>
      <c r="AA155" s="921"/>
      <c r="AC155" s="919"/>
    </row>
    <row r="156" spans="5:29" x14ac:dyDescent="0.2">
      <c r="E156" s="918"/>
      <c r="M156" s="919"/>
      <c r="N156" s="918"/>
      <c r="O156" s="918"/>
      <c r="P156" s="918"/>
      <c r="Q156" s="920"/>
      <c r="R156" s="918"/>
      <c r="S156" s="918"/>
      <c r="T156" s="918"/>
      <c r="U156" s="918"/>
      <c r="V156" s="918"/>
      <c r="W156" s="918"/>
      <c r="X156" s="918"/>
      <c r="Y156" s="921"/>
      <c r="Z156" s="921"/>
      <c r="AA156" s="921"/>
      <c r="AC156" s="919"/>
    </row>
    <row r="157" spans="5:29" x14ac:dyDescent="0.2">
      <c r="E157" s="918"/>
      <c r="M157" s="919"/>
      <c r="N157" s="918"/>
      <c r="O157" s="918"/>
      <c r="P157" s="918"/>
      <c r="Q157" s="920"/>
      <c r="R157" s="918"/>
      <c r="S157" s="918"/>
      <c r="T157" s="918"/>
      <c r="U157" s="918"/>
      <c r="V157" s="918"/>
      <c r="W157" s="918"/>
      <c r="X157" s="918"/>
      <c r="Y157" s="921"/>
      <c r="Z157" s="921"/>
      <c r="AA157" s="921"/>
      <c r="AC157" s="919"/>
    </row>
    <row r="158" spans="5:29" x14ac:dyDescent="0.2">
      <c r="E158" s="918"/>
      <c r="M158" s="919"/>
      <c r="N158" s="918"/>
      <c r="O158" s="918"/>
      <c r="P158" s="918"/>
      <c r="Q158" s="920"/>
      <c r="R158" s="918"/>
      <c r="S158" s="918"/>
      <c r="T158" s="918"/>
      <c r="U158" s="918"/>
      <c r="V158" s="918"/>
      <c r="W158" s="918"/>
      <c r="X158" s="918"/>
      <c r="Y158" s="921"/>
      <c r="Z158" s="921"/>
      <c r="AA158" s="921"/>
      <c r="AC158" s="919"/>
    </row>
    <row r="159" spans="5:29" x14ac:dyDescent="0.2">
      <c r="E159" s="918"/>
      <c r="M159" s="919"/>
      <c r="N159" s="918"/>
      <c r="O159" s="918"/>
      <c r="P159" s="918"/>
      <c r="Q159" s="920"/>
      <c r="R159" s="918"/>
      <c r="S159" s="918"/>
      <c r="T159" s="918"/>
      <c r="U159" s="918"/>
      <c r="V159" s="918"/>
      <c r="W159" s="918"/>
      <c r="X159" s="918"/>
      <c r="Y159" s="921"/>
      <c r="Z159" s="921"/>
      <c r="AA159" s="921"/>
      <c r="AC159" s="919"/>
    </row>
    <row r="160" spans="5:29" x14ac:dyDescent="0.2">
      <c r="E160" s="918"/>
      <c r="M160" s="919"/>
      <c r="N160" s="918"/>
      <c r="O160" s="918"/>
      <c r="P160" s="918"/>
      <c r="Q160" s="920"/>
      <c r="R160" s="918"/>
      <c r="S160" s="918"/>
      <c r="T160" s="918"/>
      <c r="U160" s="918"/>
      <c r="V160" s="918"/>
      <c r="W160" s="918"/>
      <c r="X160" s="918"/>
      <c r="Y160" s="921"/>
      <c r="Z160" s="921"/>
      <c r="AA160" s="921"/>
      <c r="AC160" s="919"/>
    </row>
    <row r="161" spans="5:29" x14ac:dyDescent="0.2">
      <c r="E161" s="918"/>
      <c r="M161" s="919"/>
      <c r="N161" s="918"/>
      <c r="O161" s="918"/>
      <c r="P161" s="918"/>
      <c r="Q161" s="920"/>
      <c r="R161" s="918"/>
      <c r="S161" s="918"/>
      <c r="T161" s="918"/>
      <c r="U161" s="918"/>
      <c r="V161" s="918"/>
      <c r="W161" s="918"/>
      <c r="X161" s="918"/>
      <c r="Y161" s="921"/>
      <c r="Z161" s="921"/>
      <c r="AA161" s="921"/>
      <c r="AC161" s="919"/>
    </row>
    <row r="162" spans="5:29" x14ac:dyDescent="0.2">
      <c r="E162" s="918"/>
      <c r="M162" s="919"/>
      <c r="N162" s="918"/>
      <c r="O162" s="918"/>
      <c r="P162" s="918"/>
      <c r="Q162" s="920"/>
      <c r="R162" s="918"/>
      <c r="S162" s="918"/>
      <c r="T162" s="918"/>
      <c r="U162" s="918"/>
      <c r="V162" s="918"/>
      <c r="W162" s="918"/>
      <c r="X162" s="918"/>
      <c r="Y162" s="921"/>
      <c r="Z162" s="921"/>
      <c r="AA162" s="921"/>
      <c r="AC162" s="919"/>
    </row>
    <row r="163" spans="5:29" x14ac:dyDescent="0.2">
      <c r="E163" s="918"/>
      <c r="M163" s="919"/>
      <c r="N163" s="918"/>
      <c r="O163" s="918"/>
      <c r="P163" s="918"/>
      <c r="Q163" s="920"/>
      <c r="R163" s="918"/>
      <c r="S163" s="918"/>
      <c r="T163" s="918"/>
      <c r="U163" s="918"/>
      <c r="V163" s="918"/>
      <c r="W163" s="918"/>
      <c r="X163" s="918"/>
      <c r="Y163" s="921"/>
      <c r="Z163" s="921"/>
      <c r="AA163" s="921"/>
      <c r="AC163" s="919"/>
    </row>
    <row r="164" spans="5:29" x14ac:dyDescent="0.2">
      <c r="E164" s="918"/>
      <c r="M164" s="919"/>
      <c r="N164" s="918"/>
      <c r="O164" s="918"/>
      <c r="P164" s="918"/>
      <c r="Q164" s="920"/>
      <c r="R164" s="918"/>
      <c r="S164" s="918"/>
      <c r="T164" s="918"/>
      <c r="U164" s="918"/>
      <c r="V164" s="918"/>
      <c r="W164" s="918"/>
      <c r="X164" s="918"/>
      <c r="Y164" s="921"/>
      <c r="Z164" s="921"/>
      <c r="AA164" s="921"/>
      <c r="AC164" s="919"/>
    </row>
    <row r="165" spans="5:29" x14ac:dyDescent="0.2">
      <c r="E165" s="918"/>
      <c r="M165" s="919"/>
      <c r="N165" s="918"/>
      <c r="O165" s="918"/>
      <c r="P165" s="918"/>
      <c r="Q165" s="920"/>
      <c r="R165" s="918"/>
      <c r="S165" s="918"/>
      <c r="T165" s="918"/>
      <c r="U165" s="918"/>
      <c r="V165" s="918"/>
      <c r="W165" s="918"/>
      <c r="X165" s="918"/>
      <c r="Y165" s="921"/>
      <c r="Z165" s="921"/>
      <c r="AA165" s="921"/>
      <c r="AC165" s="919"/>
    </row>
    <row r="166" spans="5:29" x14ac:dyDescent="0.2">
      <c r="E166" s="918"/>
      <c r="M166" s="919"/>
      <c r="N166" s="918"/>
      <c r="O166" s="918"/>
      <c r="P166" s="918"/>
      <c r="Q166" s="920"/>
      <c r="R166" s="918"/>
      <c r="S166" s="918"/>
      <c r="T166" s="918"/>
      <c r="U166" s="918"/>
      <c r="V166" s="918"/>
      <c r="W166" s="918"/>
      <c r="X166" s="918"/>
      <c r="Y166" s="921"/>
      <c r="Z166" s="921"/>
      <c r="AA166" s="921"/>
      <c r="AC166" s="919"/>
    </row>
    <row r="167" spans="5:29" x14ac:dyDescent="0.2">
      <c r="E167" s="918"/>
      <c r="M167" s="919"/>
      <c r="N167" s="918"/>
      <c r="O167" s="918"/>
      <c r="P167" s="918"/>
      <c r="Q167" s="920"/>
      <c r="R167" s="918"/>
      <c r="S167" s="918"/>
      <c r="T167" s="918"/>
      <c r="U167" s="918"/>
      <c r="V167" s="918"/>
      <c r="W167" s="918"/>
      <c r="X167" s="918"/>
      <c r="Y167" s="921"/>
      <c r="Z167" s="921"/>
      <c r="AA167" s="921"/>
      <c r="AC167" s="919"/>
    </row>
    <row r="168" spans="5:29" x14ac:dyDescent="0.2">
      <c r="E168" s="918"/>
      <c r="M168" s="919"/>
      <c r="N168" s="918"/>
      <c r="O168" s="918"/>
      <c r="P168" s="918"/>
      <c r="Q168" s="920"/>
      <c r="R168" s="918"/>
      <c r="S168" s="918"/>
      <c r="T168" s="918"/>
      <c r="U168" s="918"/>
      <c r="V168" s="918"/>
      <c r="W168" s="918"/>
      <c r="X168" s="918"/>
      <c r="Y168" s="921"/>
      <c r="Z168" s="921"/>
      <c r="AA168" s="921"/>
      <c r="AC168" s="919"/>
    </row>
    <row r="169" spans="5:29" x14ac:dyDescent="0.2">
      <c r="E169" s="918"/>
      <c r="M169" s="919"/>
      <c r="N169" s="918"/>
      <c r="O169" s="918"/>
      <c r="P169" s="918"/>
      <c r="Q169" s="920"/>
      <c r="R169" s="918"/>
      <c r="S169" s="918"/>
      <c r="T169" s="918"/>
      <c r="U169" s="918"/>
      <c r="V169" s="918"/>
      <c r="W169" s="918"/>
      <c r="X169" s="918"/>
      <c r="Y169" s="921"/>
      <c r="Z169" s="921"/>
      <c r="AA169" s="921"/>
      <c r="AC169" s="919"/>
    </row>
    <row r="170" spans="5:29" x14ac:dyDescent="0.2">
      <c r="E170" s="918"/>
      <c r="M170" s="919"/>
      <c r="N170" s="918"/>
      <c r="O170" s="918"/>
      <c r="P170" s="918"/>
      <c r="Q170" s="920"/>
      <c r="R170" s="918"/>
      <c r="S170" s="918"/>
      <c r="T170" s="918"/>
      <c r="U170" s="918"/>
      <c r="V170" s="918"/>
      <c r="W170" s="918"/>
      <c r="X170" s="918"/>
      <c r="Y170" s="921"/>
      <c r="Z170" s="921"/>
      <c r="AA170" s="921"/>
      <c r="AC170" s="919"/>
    </row>
    <row r="171" spans="5:29" x14ac:dyDescent="0.2">
      <c r="E171" s="918"/>
      <c r="M171" s="919"/>
      <c r="N171" s="918"/>
      <c r="O171" s="918"/>
      <c r="P171" s="918"/>
      <c r="Q171" s="920"/>
      <c r="R171" s="918"/>
      <c r="S171" s="918"/>
      <c r="T171" s="918"/>
      <c r="U171" s="918"/>
      <c r="V171" s="918"/>
      <c r="W171" s="918"/>
      <c r="X171" s="918"/>
      <c r="Y171" s="921"/>
      <c r="Z171" s="921"/>
      <c r="AA171" s="921"/>
      <c r="AC171" s="919"/>
    </row>
    <row r="172" spans="5:29" x14ac:dyDescent="0.2">
      <c r="E172" s="918"/>
      <c r="M172" s="919"/>
      <c r="N172" s="918"/>
      <c r="O172" s="918"/>
      <c r="P172" s="918"/>
      <c r="Q172" s="920"/>
      <c r="R172" s="918"/>
      <c r="S172" s="918"/>
      <c r="T172" s="918"/>
      <c r="U172" s="918"/>
      <c r="V172" s="918"/>
      <c r="W172" s="918"/>
      <c r="X172" s="918"/>
      <c r="Y172" s="921"/>
      <c r="Z172" s="921"/>
      <c r="AA172" s="921"/>
      <c r="AC172" s="919"/>
    </row>
    <row r="173" spans="5:29" x14ac:dyDescent="0.2">
      <c r="E173" s="918"/>
      <c r="M173" s="919"/>
      <c r="N173" s="918"/>
      <c r="O173" s="918"/>
      <c r="P173" s="918"/>
      <c r="Q173" s="920"/>
      <c r="R173" s="918"/>
      <c r="S173" s="918"/>
      <c r="T173" s="918"/>
      <c r="U173" s="918"/>
      <c r="V173" s="918"/>
      <c r="W173" s="918"/>
      <c r="X173" s="918"/>
      <c r="Y173" s="921"/>
      <c r="Z173" s="921"/>
      <c r="AA173" s="921"/>
      <c r="AC173" s="919"/>
    </row>
    <row r="174" spans="5:29" x14ac:dyDescent="0.2">
      <c r="E174" s="918"/>
      <c r="M174" s="919"/>
      <c r="N174" s="918"/>
      <c r="O174" s="918"/>
      <c r="P174" s="918"/>
      <c r="Q174" s="920"/>
      <c r="R174" s="918"/>
      <c r="S174" s="918"/>
      <c r="T174" s="918"/>
      <c r="U174" s="918"/>
      <c r="V174" s="918"/>
      <c r="W174" s="918"/>
      <c r="X174" s="918"/>
      <c r="Y174" s="921"/>
      <c r="Z174" s="921"/>
      <c r="AA174" s="921"/>
      <c r="AC174" s="919"/>
    </row>
    <row r="175" spans="5:29" x14ac:dyDescent="0.2">
      <c r="E175" s="918"/>
      <c r="M175" s="919"/>
      <c r="N175" s="918"/>
      <c r="O175" s="918"/>
      <c r="P175" s="918"/>
      <c r="Q175" s="920"/>
      <c r="R175" s="918"/>
      <c r="S175" s="918"/>
      <c r="T175" s="918"/>
      <c r="U175" s="918"/>
      <c r="V175" s="918"/>
      <c r="W175" s="918"/>
      <c r="X175" s="918"/>
      <c r="Y175" s="921"/>
      <c r="Z175" s="921"/>
      <c r="AA175" s="921"/>
      <c r="AC175" s="919"/>
    </row>
    <row r="176" spans="5:29" x14ac:dyDescent="0.2">
      <c r="E176" s="918"/>
      <c r="M176" s="919"/>
      <c r="N176" s="918"/>
      <c r="O176" s="918"/>
      <c r="P176" s="918"/>
      <c r="Q176" s="920"/>
      <c r="R176" s="918"/>
      <c r="S176" s="918"/>
      <c r="T176" s="918"/>
      <c r="U176" s="918"/>
      <c r="V176" s="918"/>
      <c r="W176" s="918"/>
      <c r="X176" s="918"/>
      <c r="Y176" s="921"/>
      <c r="Z176" s="921"/>
      <c r="AA176" s="921"/>
      <c r="AC176" s="919"/>
    </row>
    <row r="177" spans="5:29" x14ac:dyDescent="0.2">
      <c r="E177" s="918"/>
      <c r="M177" s="919"/>
      <c r="N177" s="918"/>
      <c r="O177" s="918"/>
      <c r="P177" s="918"/>
      <c r="Q177" s="920"/>
      <c r="R177" s="918"/>
      <c r="S177" s="918"/>
      <c r="T177" s="918"/>
      <c r="U177" s="918"/>
      <c r="V177" s="918"/>
      <c r="W177" s="918"/>
      <c r="X177" s="918"/>
      <c r="Y177" s="921"/>
      <c r="Z177" s="921"/>
      <c r="AA177" s="921"/>
      <c r="AC177" s="919"/>
    </row>
    <row r="178" spans="5:29" x14ac:dyDescent="0.2">
      <c r="E178" s="918"/>
      <c r="M178" s="919"/>
      <c r="N178" s="918"/>
      <c r="O178" s="918"/>
      <c r="P178" s="918"/>
      <c r="Q178" s="920"/>
      <c r="R178" s="918"/>
      <c r="S178" s="918"/>
      <c r="T178" s="918"/>
      <c r="U178" s="918"/>
      <c r="V178" s="918"/>
      <c r="W178" s="918"/>
      <c r="X178" s="918"/>
      <c r="Y178" s="921"/>
      <c r="Z178" s="921"/>
      <c r="AA178" s="921"/>
      <c r="AC178" s="919"/>
    </row>
    <row r="179" spans="5:29" x14ac:dyDescent="0.2">
      <c r="E179" s="918"/>
      <c r="M179" s="919"/>
      <c r="N179" s="918"/>
      <c r="O179" s="918"/>
      <c r="P179" s="918"/>
      <c r="Q179" s="920"/>
      <c r="R179" s="918"/>
      <c r="S179" s="918"/>
      <c r="T179" s="918"/>
      <c r="U179" s="918"/>
      <c r="V179" s="918"/>
      <c r="W179" s="918"/>
      <c r="X179" s="918"/>
      <c r="Y179" s="921"/>
      <c r="Z179" s="921"/>
      <c r="AA179" s="921"/>
      <c r="AC179" s="919"/>
    </row>
    <row r="180" spans="5:29" x14ac:dyDescent="0.2">
      <c r="E180" s="918"/>
      <c r="M180" s="919"/>
      <c r="N180" s="918"/>
      <c r="O180" s="918"/>
      <c r="P180" s="918"/>
      <c r="Q180" s="920"/>
      <c r="R180" s="918"/>
      <c r="S180" s="918"/>
      <c r="T180" s="918"/>
      <c r="U180" s="918"/>
      <c r="V180" s="918"/>
      <c r="W180" s="918"/>
      <c r="X180" s="918"/>
      <c r="Y180" s="921"/>
      <c r="Z180" s="921"/>
      <c r="AA180" s="921"/>
      <c r="AC180" s="919"/>
    </row>
    <row r="181" spans="5:29" x14ac:dyDescent="0.2">
      <c r="E181" s="918"/>
      <c r="M181" s="919"/>
      <c r="N181" s="918"/>
      <c r="O181" s="918"/>
      <c r="P181" s="918"/>
      <c r="Q181" s="920"/>
      <c r="R181" s="918"/>
      <c r="S181" s="918"/>
      <c r="T181" s="918"/>
      <c r="U181" s="918"/>
      <c r="V181" s="918"/>
      <c r="W181" s="918"/>
      <c r="X181" s="918"/>
      <c r="Y181" s="921"/>
      <c r="Z181" s="921"/>
      <c r="AA181" s="921"/>
      <c r="AC181" s="919"/>
    </row>
    <row r="182" spans="5:29" x14ac:dyDescent="0.2">
      <c r="E182" s="918"/>
      <c r="M182" s="919"/>
      <c r="N182" s="918"/>
      <c r="O182" s="918"/>
      <c r="P182" s="918"/>
      <c r="Q182" s="920"/>
      <c r="R182" s="918"/>
      <c r="S182" s="918"/>
      <c r="T182" s="918"/>
      <c r="U182" s="918"/>
      <c r="V182" s="918"/>
      <c r="W182" s="918"/>
      <c r="X182" s="918"/>
      <c r="Y182" s="921"/>
      <c r="Z182" s="921"/>
      <c r="AA182" s="921"/>
      <c r="AC182" s="919"/>
    </row>
    <row r="183" spans="5:29" x14ac:dyDescent="0.2">
      <c r="E183" s="918"/>
      <c r="M183" s="919"/>
      <c r="N183" s="918"/>
      <c r="O183" s="918"/>
      <c r="P183" s="918"/>
      <c r="Q183" s="920"/>
      <c r="R183" s="918"/>
      <c r="S183" s="918"/>
      <c r="T183" s="918"/>
      <c r="U183" s="918"/>
      <c r="V183" s="918"/>
      <c r="W183" s="918"/>
      <c r="X183" s="918"/>
      <c r="Y183" s="921"/>
      <c r="Z183" s="921"/>
      <c r="AA183" s="921"/>
      <c r="AC183" s="919"/>
    </row>
    <row r="184" spans="5:29" x14ac:dyDescent="0.2">
      <c r="E184" s="918"/>
      <c r="M184" s="919"/>
      <c r="N184" s="918"/>
      <c r="O184" s="918"/>
      <c r="P184" s="918"/>
      <c r="Q184" s="920"/>
      <c r="R184" s="918"/>
      <c r="S184" s="918"/>
      <c r="T184" s="918"/>
      <c r="U184" s="918"/>
      <c r="V184" s="918"/>
      <c r="W184" s="918"/>
      <c r="X184" s="918"/>
      <c r="Y184" s="921"/>
      <c r="Z184" s="921"/>
      <c r="AA184" s="921"/>
      <c r="AC184" s="919"/>
    </row>
    <row r="185" spans="5:29" x14ac:dyDescent="0.2">
      <c r="E185" s="918"/>
      <c r="M185" s="919"/>
      <c r="N185" s="918"/>
      <c r="O185" s="918"/>
      <c r="P185" s="918"/>
      <c r="Q185" s="920"/>
      <c r="R185" s="918"/>
      <c r="S185" s="918"/>
      <c r="T185" s="918"/>
      <c r="U185" s="918"/>
      <c r="V185" s="918"/>
      <c r="W185" s="918"/>
      <c r="X185" s="918"/>
      <c r="Y185" s="921"/>
      <c r="Z185" s="921"/>
      <c r="AA185" s="921"/>
      <c r="AC185" s="919"/>
    </row>
    <row r="186" spans="5:29" x14ac:dyDescent="0.2">
      <c r="E186" s="918"/>
      <c r="M186" s="919"/>
      <c r="N186" s="918"/>
      <c r="O186" s="918"/>
      <c r="P186" s="918"/>
      <c r="Q186" s="920"/>
      <c r="R186" s="918"/>
      <c r="S186" s="918"/>
      <c r="T186" s="918"/>
      <c r="U186" s="918"/>
      <c r="V186" s="918"/>
      <c r="W186" s="918"/>
      <c r="X186" s="918"/>
      <c r="Y186" s="921"/>
      <c r="Z186" s="921"/>
      <c r="AA186" s="921"/>
      <c r="AC186" s="919"/>
    </row>
    <row r="187" spans="5:29" x14ac:dyDescent="0.2">
      <c r="E187" s="918"/>
      <c r="M187" s="919"/>
      <c r="N187" s="918"/>
      <c r="O187" s="918"/>
      <c r="P187" s="918"/>
      <c r="Q187" s="920"/>
      <c r="R187" s="918"/>
      <c r="S187" s="918"/>
      <c r="T187" s="918"/>
      <c r="U187" s="918"/>
      <c r="V187" s="918"/>
      <c r="W187" s="918"/>
      <c r="X187" s="918"/>
      <c r="Y187" s="921"/>
      <c r="Z187" s="921"/>
      <c r="AA187" s="921"/>
      <c r="AC187" s="919"/>
    </row>
    <row r="188" spans="5:29" x14ac:dyDescent="0.2">
      <c r="E188" s="918"/>
      <c r="M188" s="919"/>
      <c r="N188" s="918"/>
      <c r="O188" s="918"/>
      <c r="P188" s="918"/>
      <c r="Q188" s="920"/>
      <c r="R188" s="918"/>
      <c r="S188" s="918"/>
      <c r="T188" s="918"/>
      <c r="U188" s="918"/>
      <c r="V188" s="918"/>
      <c r="W188" s="918"/>
      <c r="X188" s="918"/>
      <c r="Y188" s="921"/>
      <c r="Z188" s="921"/>
      <c r="AA188" s="921"/>
      <c r="AC188" s="919"/>
    </row>
    <row r="189" spans="5:29" x14ac:dyDescent="0.2">
      <c r="E189" s="918"/>
      <c r="M189" s="919"/>
      <c r="N189" s="918"/>
      <c r="O189" s="918"/>
      <c r="P189" s="918"/>
      <c r="Q189" s="920"/>
      <c r="R189" s="918"/>
      <c r="S189" s="918"/>
      <c r="T189" s="918"/>
      <c r="U189" s="918"/>
      <c r="V189" s="918"/>
      <c r="W189" s="918"/>
      <c r="X189" s="918"/>
      <c r="Y189" s="921"/>
      <c r="Z189" s="921"/>
      <c r="AA189" s="921"/>
      <c r="AC189" s="919"/>
    </row>
    <row r="190" spans="5:29" x14ac:dyDescent="0.2">
      <c r="E190" s="918"/>
      <c r="M190" s="919"/>
      <c r="N190" s="918"/>
      <c r="O190" s="918"/>
      <c r="P190" s="918"/>
      <c r="Q190" s="920"/>
      <c r="R190" s="918"/>
      <c r="S190" s="918"/>
      <c r="T190" s="918"/>
      <c r="U190" s="918"/>
      <c r="V190" s="918"/>
      <c r="W190" s="918"/>
      <c r="X190" s="918"/>
      <c r="Y190" s="921"/>
      <c r="Z190" s="921"/>
      <c r="AA190" s="921"/>
      <c r="AC190" s="919"/>
    </row>
    <row r="191" spans="5:29" x14ac:dyDescent="0.2">
      <c r="E191" s="918"/>
      <c r="M191" s="919"/>
      <c r="N191" s="918"/>
      <c r="O191" s="918"/>
      <c r="P191" s="918"/>
      <c r="Q191" s="920"/>
      <c r="R191" s="918"/>
      <c r="S191" s="918"/>
      <c r="T191" s="918"/>
      <c r="U191" s="918"/>
      <c r="V191" s="918"/>
      <c r="W191" s="918"/>
      <c r="X191" s="918"/>
      <c r="Y191" s="921"/>
      <c r="Z191" s="921"/>
      <c r="AA191" s="921"/>
      <c r="AC191" s="919"/>
    </row>
    <row r="192" spans="5:29" x14ac:dyDescent="0.2">
      <c r="E192" s="918"/>
      <c r="M192" s="919"/>
      <c r="N192" s="918"/>
      <c r="O192" s="918"/>
      <c r="P192" s="918"/>
      <c r="Q192" s="920"/>
      <c r="R192" s="918"/>
      <c r="S192" s="918"/>
      <c r="T192" s="918"/>
      <c r="U192" s="918"/>
      <c r="V192" s="918"/>
      <c r="W192" s="918"/>
      <c r="X192" s="918"/>
      <c r="Y192" s="921"/>
      <c r="Z192" s="921"/>
      <c r="AA192" s="921"/>
      <c r="AC192" s="919"/>
    </row>
    <row r="193" spans="5:29" x14ac:dyDescent="0.2">
      <c r="E193" s="918"/>
      <c r="M193" s="919"/>
      <c r="N193" s="918"/>
      <c r="O193" s="918"/>
      <c r="P193" s="918"/>
      <c r="Q193" s="920"/>
      <c r="R193" s="918"/>
      <c r="S193" s="918"/>
      <c r="T193" s="918"/>
      <c r="U193" s="918"/>
      <c r="V193" s="918"/>
      <c r="W193" s="918"/>
      <c r="X193" s="918"/>
      <c r="Y193" s="921"/>
      <c r="Z193" s="921"/>
      <c r="AA193" s="921"/>
      <c r="AC193" s="919"/>
    </row>
    <row r="194" spans="5:29" x14ac:dyDescent="0.2">
      <c r="E194" s="918"/>
      <c r="M194" s="919"/>
      <c r="N194" s="918"/>
      <c r="O194" s="918"/>
      <c r="P194" s="918"/>
      <c r="Q194" s="920"/>
      <c r="R194" s="918"/>
      <c r="S194" s="918"/>
      <c r="T194" s="918"/>
      <c r="U194" s="918"/>
      <c r="V194" s="918"/>
      <c r="W194" s="918"/>
      <c r="X194" s="918"/>
      <c r="Y194" s="921"/>
      <c r="Z194" s="921"/>
      <c r="AA194" s="921"/>
      <c r="AC194" s="919"/>
    </row>
    <row r="195" spans="5:29" x14ac:dyDescent="0.2">
      <c r="E195" s="918"/>
      <c r="M195" s="919"/>
      <c r="N195" s="918"/>
      <c r="O195" s="918"/>
      <c r="P195" s="918"/>
      <c r="Q195" s="920"/>
      <c r="R195" s="918"/>
      <c r="S195" s="918"/>
      <c r="T195" s="918"/>
      <c r="U195" s="918"/>
      <c r="V195" s="918"/>
      <c r="W195" s="918"/>
      <c r="X195" s="918"/>
      <c r="Y195" s="921"/>
      <c r="Z195" s="921"/>
      <c r="AA195" s="921"/>
      <c r="AC195" s="919"/>
    </row>
    <row r="196" spans="5:29" x14ac:dyDescent="0.2">
      <c r="E196" s="918"/>
      <c r="M196" s="919"/>
      <c r="N196" s="918"/>
      <c r="O196" s="918"/>
      <c r="P196" s="918"/>
      <c r="Q196" s="920"/>
      <c r="R196" s="918"/>
      <c r="S196" s="918"/>
      <c r="T196" s="918"/>
      <c r="U196" s="918"/>
      <c r="V196" s="918"/>
      <c r="W196" s="918"/>
      <c r="X196" s="918"/>
      <c r="Y196" s="921"/>
      <c r="Z196" s="921"/>
      <c r="AA196" s="921"/>
      <c r="AC196" s="919"/>
    </row>
    <row r="197" spans="5:29" x14ac:dyDescent="0.2">
      <c r="E197" s="918"/>
      <c r="M197" s="919"/>
      <c r="N197" s="918"/>
      <c r="O197" s="918"/>
      <c r="P197" s="918"/>
      <c r="Q197" s="920"/>
      <c r="R197" s="918"/>
      <c r="S197" s="918"/>
      <c r="T197" s="918"/>
      <c r="U197" s="918"/>
      <c r="V197" s="918"/>
      <c r="W197" s="918"/>
      <c r="X197" s="918"/>
      <c r="Y197" s="921"/>
      <c r="Z197" s="921"/>
      <c r="AA197" s="921"/>
      <c r="AC197" s="919"/>
    </row>
    <row r="198" spans="5:29" x14ac:dyDescent="0.2">
      <c r="E198" s="918"/>
      <c r="M198" s="919"/>
      <c r="N198" s="918"/>
      <c r="O198" s="918"/>
      <c r="P198" s="918"/>
      <c r="Q198" s="920"/>
      <c r="R198" s="918"/>
      <c r="S198" s="918"/>
      <c r="T198" s="918"/>
      <c r="U198" s="918"/>
      <c r="V198" s="918"/>
      <c r="W198" s="918"/>
      <c r="X198" s="918"/>
      <c r="Y198" s="921"/>
      <c r="Z198" s="921"/>
      <c r="AA198" s="921"/>
      <c r="AC198" s="919"/>
    </row>
    <row r="199" spans="5:29" x14ac:dyDescent="0.2">
      <c r="E199" s="918"/>
      <c r="M199" s="919"/>
      <c r="N199" s="918"/>
      <c r="O199" s="918"/>
      <c r="P199" s="918"/>
      <c r="Q199" s="920"/>
      <c r="R199" s="918"/>
      <c r="S199" s="918"/>
      <c r="T199" s="918"/>
      <c r="U199" s="918"/>
      <c r="V199" s="918"/>
      <c r="W199" s="918"/>
      <c r="X199" s="918"/>
      <c r="Y199" s="921"/>
      <c r="Z199" s="921"/>
      <c r="AA199" s="921"/>
      <c r="AC199" s="919"/>
    </row>
    <row r="200" spans="5:29" x14ac:dyDescent="0.2">
      <c r="E200" s="918"/>
      <c r="M200" s="919"/>
      <c r="N200" s="918"/>
      <c r="O200" s="918"/>
      <c r="P200" s="918"/>
      <c r="Q200" s="920"/>
      <c r="R200" s="918"/>
      <c r="S200" s="918"/>
      <c r="T200" s="918"/>
      <c r="U200" s="918"/>
      <c r="V200" s="918"/>
      <c r="W200" s="918"/>
      <c r="X200" s="918"/>
      <c r="Y200" s="921"/>
      <c r="Z200" s="921"/>
      <c r="AA200" s="921"/>
      <c r="AC200" s="919"/>
    </row>
    <row r="201" spans="5:29" x14ac:dyDescent="0.2">
      <c r="E201" s="918"/>
      <c r="M201" s="919"/>
      <c r="N201" s="918"/>
      <c r="O201" s="918"/>
      <c r="P201" s="918"/>
      <c r="Q201" s="920"/>
      <c r="R201" s="918"/>
      <c r="S201" s="918"/>
      <c r="T201" s="918"/>
      <c r="U201" s="918"/>
      <c r="V201" s="918"/>
      <c r="W201" s="918"/>
      <c r="X201" s="918"/>
      <c r="Y201" s="921"/>
      <c r="Z201" s="921"/>
      <c r="AA201" s="921"/>
      <c r="AC201" s="919"/>
    </row>
    <row r="202" spans="5:29" x14ac:dyDescent="0.2">
      <c r="E202" s="918"/>
      <c r="M202" s="919"/>
      <c r="N202" s="918"/>
      <c r="O202" s="918"/>
      <c r="P202" s="918"/>
      <c r="Q202" s="920"/>
      <c r="R202" s="918"/>
      <c r="S202" s="918"/>
      <c r="T202" s="918"/>
      <c r="U202" s="918"/>
      <c r="V202" s="918"/>
      <c r="W202" s="918"/>
      <c r="X202" s="918"/>
      <c r="Y202" s="921"/>
      <c r="Z202" s="921"/>
      <c r="AA202" s="921"/>
      <c r="AC202" s="919"/>
    </row>
    <row r="203" spans="5:29" x14ac:dyDescent="0.2">
      <c r="E203" s="918"/>
      <c r="M203" s="919"/>
      <c r="N203" s="918"/>
      <c r="O203" s="918"/>
      <c r="P203" s="918"/>
      <c r="Q203" s="920"/>
      <c r="R203" s="918"/>
      <c r="S203" s="918"/>
      <c r="T203" s="918"/>
      <c r="U203" s="918"/>
      <c r="V203" s="918"/>
      <c r="W203" s="918"/>
      <c r="X203" s="918"/>
      <c r="Y203" s="921"/>
      <c r="Z203" s="921"/>
      <c r="AA203" s="921"/>
      <c r="AC203" s="919"/>
    </row>
    <row r="204" spans="5:29" x14ac:dyDescent="0.2">
      <c r="E204" s="918"/>
      <c r="M204" s="919"/>
      <c r="N204" s="918"/>
      <c r="O204" s="918"/>
      <c r="P204" s="918"/>
      <c r="Q204" s="920"/>
      <c r="R204" s="918"/>
      <c r="S204" s="918"/>
      <c r="T204" s="918"/>
      <c r="U204" s="918"/>
      <c r="V204" s="918"/>
      <c r="W204" s="918"/>
      <c r="X204" s="918"/>
      <c r="Y204" s="921"/>
      <c r="Z204" s="921"/>
      <c r="AA204" s="921"/>
      <c r="AC204" s="919"/>
    </row>
    <row r="205" spans="5:29" x14ac:dyDescent="0.2">
      <c r="E205" s="918"/>
      <c r="M205" s="919"/>
      <c r="N205" s="918"/>
      <c r="O205" s="918"/>
      <c r="P205" s="918"/>
      <c r="Q205" s="920"/>
      <c r="R205" s="918"/>
      <c r="S205" s="918"/>
      <c r="T205" s="918"/>
      <c r="U205" s="918"/>
      <c r="V205" s="918"/>
      <c r="W205" s="918"/>
      <c r="X205" s="918"/>
      <c r="Y205" s="921"/>
      <c r="Z205" s="921"/>
      <c r="AA205" s="921"/>
      <c r="AC205" s="919"/>
    </row>
    <row r="206" spans="5:29" x14ac:dyDescent="0.2">
      <c r="E206" s="918"/>
      <c r="M206" s="919"/>
      <c r="N206" s="918"/>
      <c r="O206" s="918"/>
      <c r="P206" s="918"/>
      <c r="Q206" s="920"/>
      <c r="R206" s="918"/>
      <c r="S206" s="918"/>
      <c r="T206" s="918"/>
      <c r="U206" s="918"/>
      <c r="V206" s="918"/>
      <c r="W206" s="918"/>
      <c r="X206" s="918"/>
      <c r="Y206" s="921"/>
      <c r="Z206" s="921"/>
      <c r="AA206" s="921"/>
      <c r="AC206" s="919"/>
    </row>
    <row r="207" spans="5:29" x14ac:dyDescent="0.2">
      <c r="E207" s="918"/>
      <c r="M207" s="919"/>
      <c r="N207" s="918"/>
      <c r="O207" s="918"/>
      <c r="P207" s="918"/>
      <c r="Q207" s="920"/>
      <c r="R207" s="918"/>
      <c r="S207" s="918"/>
      <c r="T207" s="918"/>
      <c r="U207" s="918"/>
      <c r="V207" s="918"/>
      <c r="W207" s="918"/>
      <c r="X207" s="918"/>
      <c r="Y207" s="921"/>
      <c r="Z207" s="921"/>
      <c r="AA207" s="921"/>
      <c r="AC207" s="919"/>
    </row>
    <row r="208" spans="5:29" x14ac:dyDescent="0.2">
      <c r="E208" s="918"/>
      <c r="M208" s="919"/>
      <c r="N208" s="918"/>
      <c r="O208" s="918"/>
      <c r="P208" s="918"/>
      <c r="Q208" s="920"/>
      <c r="R208" s="918"/>
      <c r="S208" s="918"/>
      <c r="T208" s="918"/>
      <c r="U208" s="918"/>
      <c r="V208" s="918"/>
      <c r="W208" s="918"/>
      <c r="X208" s="918"/>
      <c r="Y208" s="921"/>
      <c r="Z208" s="921"/>
      <c r="AA208" s="921"/>
      <c r="AC208" s="919"/>
    </row>
    <row r="209" spans="5:29" x14ac:dyDescent="0.2">
      <c r="E209" s="918"/>
      <c r="M209" s="919"/>
      <c r="N209" s="918"/>
      <c r="O209" s="918"/>
      <c r="P209" s="918"/>
      <c r="Q209" s="920"/>
      <c r="R209" s="918"/>
      <c r="S209" s="918"/>
      <c r="T209" s="918"/>
      <c r="U209" s="918"/>
      <c r="V209" s="918"/>
      <c r="W209" s="918"/>
      <c r="X209" s="918"/>
      <c r="Y209" s="921"/>
      <c r="Z209" s="921"/>
      <c r="AA209" s="921"/>
      <c r="AC209" s="919"/>
    </row>
    <row r="210" spans="5:29" x14ac:dyDescent="0.2">
      <c r="E210" s="918"/>
      <c r="M210" s="919"/>
      <c r="N210" s="918"/>
      <c r="O210" s="918"/>
      <c r="P210" s="918"/>
      <c r="Q210" s="920"/>
      <c r="R210" s="918"/>
      <c r="S210" s="918"/>
      <c r="T210" s="918"/>
      <c r="U210" s="918"/>
      <c r="V210" s="918"/>
      <c r="W210" s="918"/>
      <c r="X210" s="918"/>
      <c r="Y210" s="921"/>
      <c r="Z210" s="921"/>
      <c r="AA210" s="921"/>
      <c r="AC210" s="919"/>
    </row>
    <row r="211" spans="5:29" x14ac:dyDescent="0.2">
      <c r="E211" s="918"/>
      <c r="M211" s="919"/>
      <c r="N211" s="918"/>
      <c r="O211" s="918"/>
      <c r="P211" s="918"/>
      <c r="Q211" s="920"/>
      <c r="R211" s="918"/>
      <c r="S211" s="918"/>
      <c r="T211" s="918"/>
      <c r="U211" s="918"/>
      <c r="V211" s="918"/>
      <c r="W211" s="918"/>
      <c r="X211" s="918"/>
      <c r="Y211" s="921"/>
      <c r="Z211" s="921"/>
      <c r="AA211" s="921"/>
      <c r="AC211" s="919"/>
    </row>
    <row r="212" spans="5:29" x14ac:dyDescent="0.2">
      <c r="E212" s="918"/>
      <c r="M212" s="919"/>
      <c r="N212" s="918"/>
      <c r="O212" s="918"/>
      <c r="P212" s="918"/>
      <c r="Q212" s="920"/>
      <c r="R212" s="918"/>
      <c r="S212" s="918"/>
      <c r="T212" s="918"/>
      <c r="U212" s="918"/>
      <c r="V212" s="918"/>
      <c r="W212" s="918"/>
      <c r="X212" s="918"/>
      <c r="Y212" s="921"/>
      <c r="Z212" s="921"/>
      <c r="AA212" s="921"/>
      <c r="AC212" s="919"/>
    </row>
    <row r="213" spans="5:29" x14ac:dyDescent="0.2">
      <c r="E213" s="918"/>
      <c r="M213" s="919"/>
      <c r="N213" s="918"/>
      <c r="O213" s="918"/>
      <c r="P213" s="918"/>
      <c r="Q213" s="920"/>
      <c r="R213" s="918"/>
      <c r="S213" s="918"/>
      <c r="T213" s="918"/>
      <c r="U213" s="918"/>
      <c r="V213" s="918"/>
      <c r="W213" s="918"/>
      <c r="X213" s="918"/>
      <c r="Y213" s="921"/>
      <c r="Z213" s="921"/>
      <c r="AA213" s="921"/>
      <c r="AC213" s="919"/>
    </row>
    <row r="214" spans="5:29" x14ac:dyDescent="0.2">
      <c r="E214" s="918"/>
      <c r="M214" s="919"/>
      <c r="N214" s="918"/>
      <c r="O214" s="918"/>
      <c r="P214" s="918"/>
      <c r="Q214" s="920"/>
      <c r="R214" s="918"/>
      <c r="S214" s="918"/>
      <c r="T214" s="918"/>
      <c r="U214" s="918"/>
      <c r="V214" s="918"/>
      <c r="W214" s="918"/>
      <c r="X214" s="918"/>
      <c r="Y214" s="921"/>
      <c r="Z214" s="921"/>
      <c r="AA214" s="921"/>
      <c r="AC214" s="919"/>
    </row>
    <row r="215" spans="5:29" x14ac:dyDescent="0.2">
      <c r="E215" s="918"/>
      <c r="M215" s="919"/>
      <c r="N215" s="918"/>
      <c r="O215" s="918"/>
      <c r="P215" s="918"/>
      <c r="Q215" s="920"/>
      <c r="R215" s="918"/>
      <c r="S215" s="918"/>
      <c r="T215" s="918"/>
      <c r="U215" s="918"/>
      <c r="V215" s="918"/>
      <c r="W215" s="918"/>
      <c r="X215" s="918"/>
      <c r="Y215" s="921"/>
      <c r="Z215" s="921"/>
      <c r="AA215" s="921"/>
      <c r="AC215" s="919"/>
    </row>
    <row r="216" spans="5:29" x14ac:dyDescent="0.2">
      <c r="E216" s="918"/>
      <c r="M216" s="919"/>
      <c r="N216" s="918"/>
      <c r="O216" s="918"/>
      <c r="P216" s="918"/>
      <c r="Q216" s="920"/>
      <c r="R216" s="918"/>
      <c r="S216" s="918"/>
      <c r="T216" s="918"/>
      <c r="U216" s="918"/>
      <c r="V216" s="918"/>
      <c r="W216" s="918"/>
      <c r="X216" s="918"/>
      <c r="Y216" s="921"/>
      <c r="Z216" s="921"/>
      <c r="AA216" s="921"/>
      <c r="AC216" s="919"/>
    </row>
    <row r="217" spans="5:29" x14ac:dyDescent="0.2">
      <c r="E217" s="918"/>
      <c r="M217" s="919"/>
      <c r="N217" s="918"/>
      <c r="O217" s="918"/>
      <c r="P217" s="918"/>
      <c r="Q217" s="920"/>
      <c r="R217" s="918"/>
      <c r="S217" s="918"/>
      <c r="T217" s="918"/>
      <c r="U217" s="918"/>
      <c r="V217" s="918"/>
      <c r="W217" s="918"/>
      <c r="X217" s="918"/>
      <c r="Y217" s="921"/>
      <c r="Z217" s="921"/>
      <c r="AA217" s="921"/>
      <c r="AC217" s="919"/>
    </row>
    <row r="218" spans="5:29" x14ac:dyDescent="0.2">
      <c r="E218" s="918"/>
      <c r="M218" s="919"/>
      <c r="N218" s="918"/>
      <c r="O218" s="918"/>
      <c r="P218" s="918"/>
      <c r="Q218" s="920"/>
      <c r="R218" s="918"/>
      <c r="S218" s="918"/>
      <c r="T218" s="918"/>
      <c r="U218" s="918"/>
      <c r="V218" s="918"/>
      <c r="W218" s="918"/>
      <c r="X218" s="918"/>
      <c r="Y218" s="921"/>
      <c r="Z218" s="921"/>
      <c r="AA218" s="921"/>
      <c r="AC218" s="919"/>
    </row>
    <row r="219" spans="5:29" x14ac:dyDescent="0.2">
      <c r="E219" s="918"/>
      <c r="M219" s="919"/>
      <c r="N219" s="918"/>
      <c r="O219" s="918"/>
      <c r="P219" s="918"/>
      <c r="Q219" s="920"/>
      <c r="R219" s="918"/>
      <c r="S219" s="918"/>
      <c r="T219" s="918"/>
      <c r="U219" s="918"/>
      <c r="V219" s="918"/>
      <c r="W219" s="918"/>
      <c r="X219" s="918"/>
      <c r="Y219" s="921"/>
      <c r="Z219" s="921"/>
      <c r="AA219" s="921"/>
      <c r="AC219" s="919"/>
    </row>
    <row r="220" spans="5:29" x14ac:dyDescent="0.2">
      <c r="E220" s="918"/>
      <c r="M220" s="919"/>
      <c r="N220" s="918"/>
      <c r="O220" s="918"/>
      <c r="P220" s="918"/>
      <c r="Q220" s="920"/>
      <c r="R220" s="918"/>
      <c r="S220" s="918"/>
      <c r="T220" s="918"/>
      <c r="U220" s="918"/>
      <c r="V220" s="918"/>
      <c r="W220" s="918"/>
      <c r="X220" s="918"/>
      <c r="Y220" s="921"/>
      <c r="Z220" s="921"/>
      <c r="AA220" s="921"/>
      <c r="AC220" s="919"/>
    </row>
    <row r="221" spans="5:29" x14ac:dyDescent="0.2">
      <c r="E221" s="918"/>
      <c r="M221" s="919"/>
      <c r="N221" s="918"/>
      <c r="O221" s="918"/>
      <c r="P221" s="918"/>
      <c r="Q221" s="920"/>
      <c r="R221" s="918"/>
      <c r="S221" s="918"/>
      <c r="T221" s="918"/>
      <c r="U221" s="918"/>
      <c r="V221" s="918"/>
      <c r="W221" s="918"/>
      <c r="X221" s="918"/>
      <c r="Y221" s="921"/>
      <c r="Z221" s="921"/>
      <c r="AA221" s="921"/>
      <c r="AC221" s="919"/>
    </row>
    <row r="222" spans="5:29" x14ac:dyDescent="0.2">
      <c r="E222" s="918"/>
      <c r="M222" s="919"/>
      <c r="N222" s="918"/>
      <c r="O222" s="918"/>
      <c r="P222" s="918"/>
      <c r="Q222" s="920"/>
      <c r="R222" s="918"/>
      <c r="S222" s="918"/>
      <c r="T222" s="918"/>
      <c r="U222" s="918"/>
      <c r="V222" s="918"/>
      <c r="W222" s="918"/>
      <c r="X222" s="918"/>
      <c r="Y222" s="921"/>
      <c r="Z222" s="921"/>
      <c r="AA222" s="921"/>
      <c r="AC222" s="919"/>
    </row>
    <row r="223" spans="5:29" x14ac:dyDescent="0.2">
      <c r="E223" s="918"/>
      <c r="M223" s="919"/>
      <c r="N223" s="918"/>
      <c r="O223" s="918"/>
      <c r="P223" s="918"/>
      <c r="Q223" s="920"/>
      <c r="R223" s="918"/>
      <c r="S223" s="918"/>
      <c r="T223" s="918"/>
      <c r="U223" s="918"/>
      <c r="V223" s="918"/>
      <c r="W223" s="918"/>
      <c r="X223" s="918"/>
      <c r="Y223" s="921"/>
      <c r="Z223" s="921"/>
      <c r="AA223" s="921"/>
      <c r="AC223" s="919"/>
    </row>
    <row r="224" spans="5:29" x14ac:dyDescent="0.2">
      <c r="E224" s="918"/>
      <c r="M224" s="919"/>
      <c r="N224" s="918"/>
      <c r="O224" s="918"/>
      <c r="P224" s="918"/>
      <c r="Q224" s="920"/>
      <c r="R224" s="918"/>
      <c r="S224" s="918"/>
      <c r="T224" s="918"/>
      <c r="U224" s="918"/>
      <c r="V224" s="918"/>
      <c r="W224" s="918"/>
      <c r="X224" s="918"/>
      <c r="Y224" s="921"/>
      <c r="Z224" s="921"/>
      <c r="AA224" s="921"/>
      <c r="AC224" s="919"/>
    </row>
    <row r="225" spans="5:29" x14ac:dyDescent="0.2">
      <c r="E225" s="918"/>
      <c r="M225" s="919"/>
      <c r="N225" s="918"/>
      <c r="O225" s="918"/>
      <c r="P225" s="918"/>
      <c r="Q225" s="920"/>
      <c r="R225" s="918"/>
      <c r="S225" s="918"/>
      <c r="T225" s="918"/>
      <c r="U225" s="918"/>
      <c r="V225" s="918"/>
      <c r="W225" s="918"/>
      <c r="X225" s="918"/>
      <c r="Y225" s="921"/>
      <c r="Z225" s="921"/>
      <c r="AA225" s="921"/>
      <c r="AC225" s="919"/>
    </row>
    <row r="226" spans="5:29" x14ac:dyDescent="0.2">
      <c r="E226" s="918"/>
      <c r="M226" s="919"/>
      <c r="N226" s="918"/>
      <c r="O226" s="918"/>
      <c r="P226" s="918"/>
      <c r="Q226" s="920"/>
      <c r="R226" s="918"/>
      <c r="S226" s="918"/>
      <c r="T226" s="918"/>
      <c r="U226" s="918"/>
      <c r="V226" s="918"/>
      <c r="W226" s="918"/>
      <c r="X226" s="918"/>
      <c r="Y226" s="921"/>
      <c r="Z226" s="921"/>
      <c r="AA226" s="921"/>
      <c r="AC226" s="919"/>
    </row>
    <row r="227" spans="5:29" x14ac:dyDescent="0.2">
      <c r="E227" s="918"/>
      <c r="M227" s="919"/>
      <c r="N227" s="918"/>
      <c r="O227" s="918"/>
      <c r="P227" s="918"/>
      <c r="Q227" s="920"/>
      <c r="R227" s="918"/>
      <c r="S227" s="918"/>
      <c r="T227" s="918"/>
      <c r="U227" s="918"/>
      <c r="V227" s="918"/>
      <c r="W227" s="918"/>
      <c r="X227" s="918"/>
      <c r="Y227" s="921"/>
      <c r="Z227" s="921"/>
      <c r="AA227" s="921"/>
      <c r="AC227" s="919"/>
    </row>
    <row r="228" spans="5:29" x14ac:dyDescent="0.2">
      <c r="E228" s="918"/>
      <c r="M228" s="919"/>
      <c r="N228" s="918"/>
      <c r="O228" s="918"/>
      <c r="P228" s="918"/>
      <c r="Q228" s="920"/>
      <c r="R228" s="918"/>
      <c r="S228" s="918"/>
      <c r="T228" s="918"/>
      <c r="U228" s="918"/>
      <c r="V228" s="918"/>
      <c r="W228" s="918"/>
      <c r="X228" s="918"/>
      <c r="Y228" s="921"/>
      <c r="Z228" s="921"/>
      <c r="AA228" s="921"/>
      <c r="AC228" s="919"/>
    </row>
    <row r="229" spans="5:29" x14ac:dyDescent="0.2">
      <c r="E229" s="918"/>
      <c r="M229" s="919"/>
      <c r="N229" s="918"/>
      <c r="O229" s="918"/>
      <c r="P229" s="918"/>
      <c r="Q229" s="920"/>
      <c r="R229" s="918"/>
      <c r="S229" s="918"/>
      <c r="T229" s="918"/>
      <c r="U229" s="918"/>
      <c r="V229" s="918"/>
      <c r="W229" s="918"/>
      <c r="X229" s="918"/>
      <c r="Y229" s="921"/>
      <c r="Z229" s="921"/>
      <c r="AA229" s="921"/>
      <c r="AC229" s="919"/>
    </row>
    <row r="230" spans="5:29" x14ac:dyDescent="0.2">
      <c r="E230" s="918"/>
      <c r="M230" s="919"/>
      <c r="N230" s="918"/>
      <c r="O230" s="918"/>
      <c r="P230" s="918"/>
      <c r="Q230" s="920"/>
      <c r="R230" s="918"/>
      <c r="S230" s="918"/>
      <c r="T230" s="918"/>
      <c r="U230" s="918"/>
      <c r="V230" s="918"/>
      <c r="W230" s="918"/>
      <c r="X230" s="918"/>
      <c r="Y230" s="921"/>
      <c r="Z230" s="921"/>
      <c r="AA230" s="921"/>
      <c r="AC230" s="919"/>
    </row>
    <row r="231" spans="5:29" x14ac:dyDescent="0.2">
      <c r="E231" s="918"/>
      <c r="M231" s="919"/>
      <c r="N231" s="918"/>
      <c r="O231" s="918"/>
      <c r="P231" s="918"/>
      <c r="Q231" s="920"/>
      <c r="R231" s="918"/>
      <c r="S231" s="918"/>
      <c r="T231" s="918"/>
      <c r="U231" s="918"/>
      <c r="V231" s="918"/>
      <c r="W231" s="918"/>
      <c r="X231" s="918"/>
      <c r="Y231" s="921"/>
      <c r="Z231" s="921"/>
      <c r="AA231" s="921"/>
      <c r="AC231" s="919"/>
    </row>
    <row r="232" spans="5:29" x14ac:dyDescent="0.2">
      <c r="E232" s="918"/>
      <c r="M232" s="919"/>
      <c r="N232" s="918"/>
      <c r="O232" s="918"/>
      <c r="P232" s="918"/>
      <c r="Q232" s="920"/>
      <c r="R232" s="918"/>
      <c r="S232" s="918"/>
      <c r="T232" s="918"/>
      <c r="U232" s="918"/>
      <c r="V232" s="918"/>
      <c r="W232" s="918"/>
      <c r="X232" s="918"/>
      <c r="Y232" s="921"/>
      <c r="Z232" s="921"/>
      <c r="AA232" s="921"/>
      <c r="AC232" s="919"/>
    </row>
    <row r="233" spans="5:29" x14ac:dyDescent="0.2">
      <c r="E233" s="918"/>
      <c r="M233" s="919"/>
      <c r="N233" s="918"/>
      <c r="O233" s="918"/>
      <c r="P233" s="918"/>
      <c r="Q233" s="920"/>
      <c r="R233" s="918"/>
      <c r="S233" s="918"/>
      <c r="T233" s="918"/>
      <c r="U233" s="918"/>
      <c r="V233" s="918"/>
      <c r="W233" s="918"/>
      <c r="X233" s="918"/>
      <c r="Y233" s="921"/>
      <c r="Z233" s="921"/>
      <c r="AA233" s="921"/>
      <c r="AC233" s="919"/>
    </row>
    <row r="234" spans="5:29" x14ac:dyDescent="0.2">
      <c r="E234" s="918"/>
      <c r="M234" s="919"/>
      <c r="N234" s="918"/>
      <c r="O234" s="918"/>
      <c r="P234" s="918"/>
      <c r="Q234" s="920"/>
      <c r="R234" s="918"/>
      <c r="S234" s="918"/>
      <c r="T234" s="918"/>
      <c r="U234" s="918"/>
      <c r="V234" s="918"/>
      <c r="W234" s="918"/>
      <c r="X234" s="918"/>
      <c r="Y234" s="921"/>
      <c r="Z234" s="921"/>
      <c r="AA234" s="921"/>
      <c r="AC234" s="919"/>
    </row>
    <row r="235" spans="5:29" x14ac:dyDescent="0.2">
      <c r="E235" s="918"/>
      <c r="M235" s="919"/>
      <c r="N235" s="918"/>
      <c r="O235" s="918"/>
      <c r="P235" s="918"/>
      <c r="Q235" s="920"/>
      <c r="R235" s="918"/>
      <c r="S235" s="918"/>
      <c r="T235" s="918"/>
      <c r="U235" s="918"/>
      <c r="V235" s="918"/>
      <c r="W235" s="918"/>
      <c r="X235" s="918"/>
      <c r="Y235" s="921"/>
      <c r="Z235" s="921"/>
      <c r="AA235" s="921"/>
      <c r="AC235" s="919"/>
    </row>
    <row r="236" spans="5:29" x14ac:dyDescent="0.2">
      <c r="E236" s="918"/>
      <c r="M236" s="919"/>
      <c r="N236" s="918"/>
      <c r="O236" s="918"/>
      <c r="P236" s="918"/>
      <c r="Q236" s="920"/>
      <c r="R236" s="918"/>
      <c r="S236" s="918"/>
      <c r="T236" s="918"/>
      <c r="U236" s="918"/>
      <c r="V236" s="918"/>
      <c r="W236" s="918"/>
      <c r="X236" s="918"/>
      <c r="Y236" s="921"/>
      <c r="Z236" s="921"/>
      <c r="AA236" s="921"/>
      <c r="AC236" s="919"/>
    </row>
    <row r="237" spans="5:29" x14ac:dyDescent="0.2">
      <c r="E237" s="918"/>
      <c r="M237" s="919"/>
      <c r="N237" s="918"/>
      <c r="O237" s="918"/>
      <c r="P237" s="918"/>
      <c r="Q237" s="920"/>
      <c r="R237" s="918"/>
      <c r="S237" s="918"/>
      <c r="T237" s="918"/>
      <c r="U237" s="918"/>
      <c r="V237" s="918"/>
      <c r="W237" s="918"/>
      <c r="X237" s="918"/>
      <c r="Y237" s="921"/>
      <c r="Z237" s="921"/>
      <c r="AA237" s="921"/>
      <c r="AC237" s="919"/>
    </row>
    <row r="238" spans="5:29" x14ac:dyDescent="0.2">
      <c r="E238" s="918"/>
      <c r="M238" s="919"/>
      <c r="N238" s="918"/>
      <c r="O238" s="918"/>
      <c r="P238" s="918"/>
      <c r="Q238" s="920"/>
      <c r="R238" s="918"/>
      <c r="S238" s="918"/>
      <c r="T238" s="918"/>
      <c r="U238" s="918"/>
      <c r="V238" s="918"/>
      <c r="W238" s="918"/>
      <c r="X238" s="918"/>
      <c r="Y238" s="921"/>
      <c r="Z238" s="921"/>
      <c r="AA238" s="921"/>
      <c r="AC238" s="919"/>
    </row>
    <row r="239" spans="5:29" x14ac:dyDescent="0.2">
      <c r="E239" s="918"/>
      <c r="M239" s="919"/>
      <c r="N239" s="918"/>
      <c r="O239" s="918"/>
      <c r="P239" s="918"/>
      <c r="Q239" s="920"/>
      <c r="R239" s="918"/>
      <c r="S239" s="918"/>
      <c r="T239" s="918"/>
      <c r="U239" s="918"/>
      <c r="V239" s="918"/>
      <c r="W239" s="918"/>
      <c r="X239" s="918"/>
      <c r="Y239" s="921"/>
      <c r="Z239" s="921"/>
      <c r="AA239" s="921"/>
      <c r="AC239" s="919"/>
    </row>
    <row r="240" spans="5:29" x14ac:dyDescent="0.2">
      <c r="E240" s="918"/>
      <c r="M240" s="919"/>
      <c r="N240" s="918"/>
      <c r="O240" s="918"/>
      <c r="P240" s="918"/>
      <c r="Q240" s="920"/>
      <c r="R240" s="918"/>
      <c r="S240" s="918"/>
      <c r="T240" s="918"/>
      <c r="U240" s="918"/>
      <c r="V240" s="918"/>
      <c r="W240" s="918"/>
      <c r="X240" s="918"/>
      <c r="Y240" s="921"/>
      <c r="Z240" s="921"/>
      <c r="AA240" s="921"/>
      <c r="AC240" s="919"/>
    </row>
    <row r="241" spans="5:29" x14ac:dyDescent="0.2">
      <c r="E241" s="918"/>
      <c r="M241" s="919"/>
      <c r="N241" s="918"/>
      <c r="O241" s="918"/>
      <c r="P241" s="918"/>
      <c r="Q241" s="920"/>
      <c r="R241" s="918"/>
      <c r="S241" s="918"/>
      <c r="T241" s="918"/>
      <c r="U241" s="918"/>
      <c r="V241" s="918"/>
      <c r="W241" s="918"/>
      <c r="X241" s="918"/>
      <c r="Y241" s="921"/>
      <c r="Z241" s="921"/>
      <c r="AA241" s="921"/>
      <c r="AC241" s="919"/>
    </row>
    <row r="242" spans="5:29" x14ac:dyDescent="0.2">
      <c r="E242" s="918"/>
      <c r="M242" s="919"/>
      <c r="N242" s="918"/>
      <c r="O242" s="918"/>
      <c r="P242" s="918"/>
      <c r="Q242" s="920"/>
      <c r="R242" s="918"/>
      <c r="S242" s="918"/>
      <c r="T242" s="918"/>
      <c r="U242" s="918"/>
      <c r="V242" s="918"/>
      <c r="W242" s="918"/>
      <c r="X242" s="918"/>
      <c r="Y242" s="921"/>
      <c r="Z242" s="921"/>
      <c r="AA242" s="921"/>
      <c r="AC242" s="919"/>
    </row>
    <row r="243" spans="5:29" x14ac:dyDescent="0.2">
      <c r="E243" s="918"/>
      <c r="M243" s="919"/>
      <c r="N243" s="918"/>
      <c r="O243" s="918"/>
      <c r="P243" s="918"/>
      <c r="Q243" s="920"/>
      <c r="R243" s="918"/>
      <c r="S243" s="918"/>
      <c r="T243" s="918"/>
      <c r="U243" s="918"/>
      <c r="V243" s="918"/>
      <c r="W243" s="918"/>
      <c r="X243" s="918"/>
      <c r="Y243" s="921"/>
      <c r="Z243" s="921"/>
      <c r="AA243" s="921"/>
      <c r="AC243" s="919"/>
    </row>
    <row r="244" spans="5:29" x14ac:dyDescent="0.2">
      <c r="E244" s="918"/>
      <c r="M244" s="919"/>
      <c r="N244" s="918"/>
      <c r="O244" s="918"/>
      <c r="P244" s="918"/>
      <c r="Q244" s="920"/>
      <c r="R244" s="918"/>
      <c r="S244" s="918"/>
      <c r="T244" s="918"/>
      <c r="U244" s="918"/>
      <c r="V244" s="918"/>
      <c r="W244" s="918"/>
      <c r="X244" s="918"/>
      <c r="Y244" s="921"/>
      <c r="Z244" s="921"/>
      <c r="AA244" s="921"/>
      <c r="AC244" s="919"/>
    </row>
    <row r="245" spans="5:29" x14ac:dyDescent="0.2">
      <c r="E245" s="918"/>
      <c r="M245" s="919"/>
      <c r="N245" s="918"/>
      <c r="O245" s="918"/>
      <c r="P245" s="918"/>
      <c r="Q245" s="920"/>
      <c r="R245" s="918"/>
      <c r="S245" s="918"/>
      <c r="T245" s="918"/>
      <c r="U245" s="918"/>
      <c r="V245" s="918"/>
      <c r="W245" s="918"/>
      <c r="X245" s="918"/>
      <c r="Y245" s="921"/>
      <c r="Z245" s="921"/>
      <c r="AA245" s="921"/>
      <c r="AC245" s="919"/>
    </row>
    <row r="246" spans="5:29" x14ac:dyDescent="0.2">
      <c r="E246" s="918"/>
      <c r="M246" s="919"/>
      <c r="N246" s="918"/>
      <c r="O246" s="918"/>
      <c r="P246" s="918"/>
      <c r="Q246" s="920"/>
      <c r="R246" s="918"/>
      <c r="S246" s="918"/>
      <c r="T246" s="918"/>
      <c r="U246" s="918"/>
      <c r="V246" s="918"/>
      <c r="W246" s="918"/>
      <c r="X246" s="918"/>
      <c r="Y246" s="921"/>
      <c r="Z246" s="921"/>
      <c r="AA246" s="921"/>
      <c r="AC246" s="919"/>
    </row>
    <row r="247" spans="5:29" x14ac:dyDescent="0.2">
      <c r="E247" s="918"/>
      <c r="M247" s="919"/>
      <c r="N247" s="918"/>
      <c r="O247" s="918"/>
      <c r="P247" s="918"/>
      <c r="Q247" s="920"/>
      <c r="R247" s="918"/>
      <c r="S247" s="918"/>
      <c r="T247" s="918"/>
      <c r="U247" s="918"/>
      <c r="V247" s="918"/>
      <c r="W247" s="918"/>
      <c r="X247" s="918"/>
      <c r="Y247" s="921"/>
      <c r="Z247" s="921"/>
      <c r="AA247" s="921"/>
      <c r="AC247" s="919"/>
    </row>
    <row r="248" spans="5:29" x14ac:dyDescent="0.2">
      <c r="E248" s="918"/>
      <c r="M248" s="919"/>
      <c r="N248" s="918"/>
      <c r="O248" s="918"/>
      <c r="P248" s="918"/>
      <c r="Q248" s="920"/>
      <c r="R248" s="918"/>
      <c r="S248" s="918"/>
      <c r="T248" s="918"/>
      <c r="U248" s="918"/>
      <c r="V248" s="918"/>
      <c r="W248" s="918"/>
      <c r="X248" s="918"/>
      <c r="Y248" s="921"/>
      <c r="Z248" s="921"/>
      <c r="AA248" s="921"/>
      <c r="AC248" s="919"/>
    </row>
    <row r="249" spans="5:29" x14ac:dyDescent="0.2">
      <c r="E249" s="918"/>
      <c r="M249" s="919"/>
      <c r="N249" s="918"/>
      <c r="O249" s="918"/>
      <c r="P249" s="918"/>
      <c r="Q249" s="920"/>
      <c r="R249" s="918"/>
      <c r="S249" s="918"/>
      <c r="T249" s="918"/>
      <c r="U249" s="918"/>
      <c r="V249" s="918"/>
      <c r="W249" s="918"/>
      <c r="X249" s="918"/>
      <c r="Y249" s="921"/>
      <c r="Z249" s="921"/>
      <c r="AA249" s="921"/>
      <c r="AC249" s="919"/>
    </row>
    <row r="250" spans="5:29" x14ac:dyDescent="0.2">
      <c r="E250" s="918"/>
      <c r="M250" s="919"/>
      <c r="N250" s="918"/>
      <c r="O250" s="918"/>
      <c r="P250" s="918"/>
      <c r="Q250" s="920"/>
      <c r="R250" s="918"/>
      <c r="S250" s="918"/>
      <c r="T250" s="918"/>
      <c r="U250" s="918"/>
      <c r="V250" s="918"/>
      <c r="W250" s="918"/>
      <c r="X250" s="918"/>
      <c r="Y250" s="921"/>
      <c r="Z250" s="921"/>
      <c r="AA250" s="921"/>
      <c r="AC250" s="919"/>
    </row>
    <row r="251" spans="5:29" x14ac:dyDescent="0.2">
      <c r="E251" s="918"/>
      <c r="M251" s="919"/>
      <c r="N251" s="918"/>
      <c r="O251" s="918"/>
      <c r="P251" s="918"/>
      <c r="Q251" s="920"/>
      <c r="R251" s="918"/>
      <c r="S251" s="918"/>
      <c r="T251" s="918"/>
      <c r="U251" s="918"/>
      <c r="V251" s="918"/>
      <c r="W251" s="918"/>
      <c r="X251" s="918"/>
      <c r="Y251" s="921"/>
      <c r="Z251" s="921"/>
      <c r="AA251" s="921"/>
      <c r="AC251" s="919"/>
    </row>
    <row r="252" spans="5:29" x14ac:dyDescent="0.2">
      <c r="E252" s="918"/>
      <c r="M252" s="919"/>
      <c r="N252" s="918"/>
      <c r="O252" s="918"/>
      <c r="P252" s="918"/>
      <c r="Q252" s="920"/>
      <c r="R252" s="918"/>
      <c r="S252" s="918"/>
      <c r="T252" s="918"/>
      <c r="U252" s="918"/>
      <c r="V252" s="918"/>
      <c r="W252" s="918"/>
      <c r="X252" s="918"/>
      <c r="Y252" s="921"/>
      <c r="Z252" s="921"/>
      <c r="AA252" s="921"/>
      <c r="AC252" s="919"/>
    </row>
    <row r="253" spans="5:29" x14ac:dyDescent="0.2">
      <c r="E253" s="918"/>
      <c r="M253" s="919"/>
      <c r="N253" s="918"/>
      <c r="O253" s="918"/>
      <c r="P253" s="918"/>
      <c r="Q253" s="920"/>
      <c r="R253" s="918"/>
      <c r="S253" s="918"/>
      <c r="T253" s="918"/>
      <c r="U253" s="918"/>
      <c r="V253" s="918"/>
      <c r="W253" s="918"/>
      <c r="X253" s="918"/>
      <c r="Y253" s="921"/>
      <c r="Z253" s="921"/>
      <c r="AA253" s="921"/>
      <c r="AC253" s="919"/>
    </row>
    <row r="254" spans="5:29" x14ac:dyDescent="0.2">
      <c r="E254" s="918"/>
      <c r="M254" s="919"/>
      <c r="N254" s="918"/>
      <c r="O254" s="918"/>
      <c r="P254" s="918"/>
      <c r="Q254" s="920"/>
      <c r="R254" s="918"/>
      <c r="S254" s="918"/>
      <c r="T254" s="918"/>
      <c r="U254" s="918"/>
      <c r="V254" s="918"/>
      <c r="W254" s="918"/>
      <c r="X254" s="918"/>
      <c r="Y254" s="921"/>
      <c r="Z254" s="921"/>
      <c r="AA254" s="921"/>
      <c r="AC254" s="919"/>
    </row>
    <row r="255" spans="5:29" x14ac:dyDescent="0.2">
      <c r="E255" s="918"/>
      <c r="M255" s="919"/>
      <c r="N255" s="918"/>
      <c r="O255" s="918"/>
      <c r="P255" s="918"/>
      <c r="Q255" s="920"/>
      <c r="R255" s="918"/>
      <c r="S255" s="918"/>
      <c r="T255" s="918"/>
      <c r="U255" s="918"/>
      <c r="V255" s="918"/>
      <c r="W255" s="918"/>
      <c r="X255" s="918"/>
      <c r="Y255" s="921"/>
      <c r="Z255" s="921"/>
      <c r="AA255" s="921"/>
      <c r="AC255" s="919"/>
    </row>
    <row r="256" spans="5:29" x14ac:dyDescent="0.2">
      <c r="E256" s="918"/>
      <c r="M256" s="919"/>
      <c r="N256" s="918"/>
      <c r="O256" s="918"/>
      <c r="P256" s="918"/>
      <c r="Q256" s="920"/>
      <c r="R256" s="918"/>
      <c r="S256" s="918"/>
      <c r="T256" s="918"/>
      <c r="U256" s="918"/>
      <c r="V256" s="918"/>
      <c r="W256" s="918"/>
      <c r="X256" s="918"/>
      <c r="Y256" s="921"/>
      <c r="Z256" s="921"/>
      <c r="AA256" s="921"/>
      <c r="AC256" s="919"/>
    </row>
    <row r="257" spans="5:29" x14ac:dyDescent="0.2">
      <c r="E257" s="918"/>
      <c r="M257" s="919"/>
      <c r="N257" s="918"/>
      <c r="O257" s="918"/>
      <c r="P257" s="918"/>
      <c r="Q257" s="920"/>
      <c r="R257" s="918"/>
      <c r="S257" s="918"/>
      <c r="T257" s="918"/>
      <c r="U257" s="918"/>
      <c r="V257" s="918"/>
      <c r="W257" s="918"/>
      <c r="X257" s="918"/>
      <c r="Y257" s="921"/>
      <c r="Z257" s="921"/>
      <c r="AA257" s="921"/>
      <c r="AC257" s="919"/>
    </row>
    <row r="258" spans="5:29" x14ac:dyDescent="0.2">
      <c r="E258" s="918"/>
      <c r="M258" s="919"/>
      <c r="N258" s="918"/>
      <c r="O258" s="918"/>
      <c r="P258" s="918"/>
      <c r="Q258" s="920"/>
      <c r="R258" s="918"/>
      <c r="S258" s="918"/>
      <c r="T258" s="918"/>
      <c r="U258" s="918"/>
      <c r="V258" s="918"/>
      <c r="W258" s="918"/>
      <c r="X258" s="918"/>
      <c r="Y258" s="921"/>
      <c r="Z258" s="921"/>
      <c r="AA258" s="921"/>
      <c r="AC258" s="919"/>
    </row>
    <row r="259" spans="5:29" x14ac:dyDescent="0.2">
      <c r="E259" s="918"/>
      <c r="M259" s="919"/>
      <c r="N259" s="918"/>
      <c r="O259" s="918"/>
      <c r="P259" s="918"/>
      <c r="Q259" s="920"/>
      <c r="R259" s="918"/>
      <c r="S259" s="918"/>
      <c r="T259" s="918"/>
      <c r="U259" s="918"/>
      <c r="V259" s="918"/>
      <c r="W259" s="918"/>
      <c r="X259" s="918"/>
      <c r="Y259" s="921"/>
      <c r="Z259" s="921"/>
      <c r="AA259" s="921"/>
      <c r="AC259" s="919"/>
    </row>
    <row r="260" spans="5:29" x14ac:dyDescent="0.2">
      <c r="E260" s="918"/>
      <c r="M260" s="919"/>
      <c r="N260" s="918"/>
      <c r="O260" s="918"/>
      <c r="P260" s="918"/>
      <c r="Q260" s="920"/>
      <c r="R260" s="918"/>
      <c r="S260" s="918"/>
      <c r="T260" s="918"/>
      <c r="U260" s="918"/>
      <c r="V260" s="918"/>
      <c r="W260" s="918"/>
      <c r="X260" s="918"/>
      <c r="Y260" s="921"/>
      <c r="Z260" s="921"/>
      <c r="AA260" s="921"/>
      <c r="AC260" s="919"/>
    </row>
    <row r="261" spans="5:29" x14ac:dyDescent="0.2">
      <c r="E261" s="918"/>
      <c r="M261" s="919"/>
      <c r="N261" s="918"/>
      <c r="O261" s="918"/>
      <c r="P261" s="918"/>
      <c r="Q261" s="920"/>
      <c r="R261" s="918"/>
      <c r="S261" s="918"/>
      <c r="T261" s="918"/>
      <c r="U261" s="918"/>
      <c r="V261" s="918"/>
      <c r="W261" s="918"/>
      <c r="X261" s="918"/>
      <c r="Y261" s="921"/>
      <c r="Z261" s="921"/>
      <c r="AA261" s="921"/>
      <c r="AC261" s="919"/>
    </row>
    <row r="262" spans="5:29" x14ac:dyDescent="0.2">
      <c r="E262" s="918"/>
      <c r="M262" s="919"/>
      <c r="N262" s="918"/>
      <c r="O262" s="918"/>
      <c r="P262" s="918"/>
      <c r="Q262" s="920"/>
      <c r="R262" s="918"/>
      <c r="S262" s="918"/>
      <c r="T262" s="918"/>
      <c r="U262" s="918"/>
      <c r="V262" s="918"/>
      <c r="W262" s="918"/>
      <c r="X262" s="918"/>
      <c r="Y262" s="921"/>
      <c r="Z262" s="921"/>
      <c r="AA262" s="921"/>
      <c r="AC262" s="919"/>
    </row>
    <row r="263" spans="5:29" x14ac:dyDescent="0.2">
      <c r="E263" s="918"/>
      <c r="M263" s="919"/>
      <c r="N263" s="918"/>
      <c r="O263" s="918"/>
      <c r="P263" s="918"/>
      <c r="Q263" s="920"/>
      <c r="R263" s="918"/>
      <c r="S263" s="918"/>
      <c r="T263" s="918"/>
      <c r="U263" s="918"/>
      <c r="V263" s="918"/>
      <c r="W263" s="918"/>
      <c r="X263" s="918"/>
      <c r="Y263" s="921"/>
      <c r="Z263" s="921"/>
      <c r="AA263" s="921"/>
      <c r="AC263" s="919"/>
    </row>
    <row r="264" spans="5:29" x14ac:dyDescent="0.2">
      <c r="E264" s="918"/>
      <c r="M264" s="919"/>
      <c r="N264" s="918"/>
      <c r="O264" s="918"/>
      <c r="P264" s="918"/>
      <c r="Q264" s="920"/>
      <c r="R264" s="918"/>
      <c r="S264" s="918"/>
      <c r="T264" s="918"/>
      <c r="U264" s="918"/>
      <c r="V264" s="918"/>
      <c r="W264" s="918"/>
      <c r="X264" s="918"/>
      <c r="Y264" s="921"/>
      <c r="Z264" s="921"/>
      <c r="AA264" s="921"/>
      <c r="AC264" s="919"/>
    </row>
    <row r="265" spans="5:29" x14ac:dyDescent="0.2">
      <c r="E265" s="918"/>
      <c r="M265" s="919"/>
      <c r="N265" s="918"/>
      <c r="O265" s="918"/>
      <c r="P265" s="918"/>
      <c r="Q265" s="920"/>
      <c r="R265" s="918"/>
      <c r="S265" s="918"/>
      <c r="T265" s="918"/>
      <c r="U265" s="918"/>
      <c r="V265" s="918"/>
      <c r="W265" s="918"/>
      <c r="X265" s="918"/>
      <c r="Y265" s="921"/>
      <c r="Z265" s="921"/>
      <c r="AA265" s="921"/>
      <c r="AC265" s="919"/>
    </row>
    <row r="266" spans="5:29" x14ac:dyDescent="0.2">
      <c r="E266" s="918"/>
      <c r="M266" s="919"/>
      <c r="N266" s="918"/>
      <c r="O266" s="918"/>
      <c r="P266" s="918"/>
      <c r="Q266" s="920"/>
      <c r="R266" s="918"/>
      <c r="S266" s="918"/>
      <c r="T266" s="918"/>
      <c r="U266" s="918"/>
      <c r="V266" s="918"/>
      <c r="W266" s="918"/>
      <c r="X266" s="918"/>
      <c r="Y266" s="921"/>
      <c r="Z266" s="921"/>
      <c r="AA266" s="921"/>
      <c r="AC266" s="919"/>
    </row>
    <row r="267" spans="5:29" x14ac:dyDescent="0.2">
      <c r="E267" s="918"/>
      <c r="M267" s="919"/>
      <c r="N267" s="918"/>
      <c r="O267" s="918"/>
      <c r="P267" s="918"/>
      <c r="Q267" s="920"/>
      <c r="R267" s="918"/>
      <c r="S267" s="918"/>
      <c r="T267" s="918"/>
      <c r="U267" s="918"/>
      <c r="V267" s="918"/>
      <c r="W267" s="918"/>
      <c r="X267" s="918"/>
      <c r="Y267" s="921"/>
      <c r="Z267" s="921"/>
      <c r="AA267" s="921"/>
      <c r="AC267" s="919"/>
    </row>
    <row r="268" spans="5:29" x14ac:dyDescent="0.2">
      <c r="E268" s="918"/>
      <c r="M268" s="919"/>
      <c r="N268" s="918"/>
      <c r="O268" s="918"/>
      <c r="P268" s="918"/>
      <c r="Q268" s="920"/>
      <c r="R268" s="918"/>
      <c r="S268" s="918"/>
      <c r="T268" s="918"/>
      <c r="U268" s="918"/>
      <c r="V268" s="918"/>
      <c r="W268" s="918"/>
      <c r="X268" s="918"/>
      <c r="Y268" s="921"/>
      <c r="Z268" s="921"/>
      <c r="AA268" s="921"/>
      <c r="AC268" s="919"/>
    </row>
    <row r="269" spans="5:29" x14ac:dyDescent="0.2">
      <c r="E269" s="918"/>
      <c r="M269" s="919"/>
      <c r="N269" s="918"/>
      <c r="O269" s="918"/>
      <c r="P269" s="918"/>
      <c r="Q269" s="920"/>
      <c r="R269" s="918"/>
      <c r="S269" s="918"/>
      <c r="T269" s="918"/>
      <c r="U269" s="918"/>
      <c r="V269" s="918"/>
      <c r="W269" s="918"/>
      <c r="X269" s="918"/>
      <c r="Y269" s="921"/>
      <c r="Z269" s="921"/>
      <c r="AA269" s="921"/>
      <c r="AC269" s="919"/>
    </row>
    <row r="270" spans="5:29" x14ac:dyDescent="0.2">
      <c r="E270" s="918"/>
      <c r="M270" s="919"/>
      <c r="N270" s="918"/>
      <c r="O270" s="918"/>
      <c r="P270" s="918"/>
      <c r="Q270" s="920"/>
      <c r="R270" s="918"/>
      <c r="S270" s="918"/>
      <c r="T270" s="918"/>
      <c r="U270" s="918"/>
      <c r="V270" s="918"/>
      <c r="W270" s="918"/>
      <c r="X270" s="918"/>
      <c r="Y270" s="921"/>
      <c r="Z270" s="921"/>
      <c r="AA270" s="921"/>
      <c r="AC270" s="919"/>
    </row>
    <row r="271" spans="5:29" x14ac:dyDescent="0.2">
      <c r="E271" s="918"/>
      <c r="M271" s="919"/>
      <c r="N271" s="918"/>
      <c r="O271" s="918"/>
      <c r="P271" s="918"/>
      <c r="Q271" s="920"/>
      <c r="R271" s="918"/>
      <c r="S271" s="918"/>
      <c r="T271" s="918"/>
      <c r="U271" s="918"/>
      <c r="V271" s="918"/>
      <c r="W271" s="918"/>
      <c r="X271" s="918"/>
      <c r="Y271" s="921"/>
      <c r="Z271" s="921"/>
      <c r="AA271" s="921"/>
      <c r="AC271" s="919"/>
    </row>
    <row r="272" spans="5:29" x14ac:dyDescent="0.2">
      <c r="E272" s="918"/>
      <c r="M272" s="919"/>
      <c r="N272" s="918"/>
      <c r="O272" s="918"/>
      <c r="P272" s="918"/>
      <c r="Q272" s="920"/>
      <c r="R272" s="918"/>
      <c r="S272" s="918"/>
      <c r="T272" s="918"/>
      <c r="U272" s="918"/>
      <c r="V272" s="918"/>
      <c r="W272" s="918"/>
      <c r="X272" s="918"/>
      <c r="Y272" s="921"/>
      <c r="Z272" s="921"/>
      <c r="AA272" s="921"/>
      <c r="AC272" s="919"/>
    </row>
    <row r="273" spans="5:29" x14ac:dyDescent="0.2">
      <c r="E273" s="918"/>
      <c r="M273" s="919"/>
      <c r="N273" s="918"/>
      <c r="O273" s="918"/>
      <c r="P273" s="918"/>
      <c r="Q273" s="920"/>
      <c r="R273" s="918"/>
      <c r="S273" s="918"/>
      <c r="T273" s="918"/>
      <c r="U273" s="918"/>
      <c r="V273" s="918"/>
      <c r="W273" s="918"/>
      <c r="X273" s="918"/>
      <c r="Y273" s="921"/>
      <c r="Z273" s="921"/>
      <c r="AA273" s="921"/>
      <c r="AC273" s="919"/>
    </row>
    <row r="274" spans="5:29" x14ac:dyDescent="0.2">
      <c r="E274" s="918"/>
      <c r="M274" s="919"/>
      <c r="N274" s="918"/>
      <c r="O274" s="918"/>
      <c r="P274" s="918"/>
      <c r="Q274" s="920"/>
      <c r="R274" s="918"/>
      <c r="S274" s="918"/>
      <c r="T274" s="918"/>
      <c r="U274" s="918"/>
      <c r="V274" s="918"/>
      <c r="W274" s="918"/>
      <c r="X274" s="918"/>
      <c r="Y274" s="921"/>
      <c r="Z274" s="921"/>
      <c r="AA274" s="921"/>
      <c r="AC274" s="919"/>
    </row>
    <row r="275" spans="5:29" x14ac:dyDescent="0.2">
      <c r="E275" s="918"/>
      <c r="M275" s="919"/>
      <c r="N275" s="918"/>
      <c r="O275" s="918"/>
      <c r="P275" s="918"/>
      <c r="Q275" s="920"/>
      <c r="R275" s="918"/>
      <c r="S275" s="918"/>
      <c r="T275" s="918"/>
      <c r="U275" s="918"/>
      <c r="V275" s="918"/>
      <c r="W275" s="918"/>
      <c r="X275" s="918"/>
      <c r="Y275" s="921"/>
      <c r="Z275" s="921"/>
      <c r="AA275" s="921"/>
      <c r="AC275" s="919"/>
    </row>
    <row r="276" spans="5:29" x14ac:dyDescent="0.2">
      <c r="E276" s="918"/>
      <c r="M276" s="919"/>
      <c r="N276" s="918"/>
      <c r="O276" s="918"/>
      <c r="P276" s="918"/>
      <c r="Q276" s="920"/>
      <c r="R276" s="918"/>
      <c r="S276" s="918"/>
      <c r="T276" s="918"/>
      <c r="U276" s="918"/>
      <c r="V276" s="918"/>
      <c r="W276" s="918"/>
      <c r="X276" s="918"/>
      <c r="Y276" s="921"/>
      <c r="Z276" s="921"/>
      <c r="AA276" s="921"/>
      <c r="AC276" s="919"/>
    </row>
    <row r="277" spans="5:29" x14ac:dyDescent="0.2">
      <c r="E277" s="918"/>
      <c r="M277" s="919"/>
      <c r="N277" s="918"/>
      <c r="O277" s="918"/>
      <c r="P277" s="918"/>
      <c r="Q277" s="920"/>
      <c r="R277" s="918"/>
      <c r="S277" s="918"/>
      <c r="T277" s="918"/>
      <c r="U277" s="918"/>
      <c r="V277" s="918"/>
      <c r="W277" s="918"/>
      <c r="X277" s="918"/>
      <c r="Y277" s="921"/>
      <c r="Z277" s="921"/>
      <c r="AA277" s="921"/>
      <c r="AC277" s="919"/>
    </row>
    <row r="278" spans="5:29" x14ac:dyDescent="0.2">
      <c r="E278" s="918"/>
      <c r="M278" s="919"/>
      <c r="N278" s="918"/>
      <c r="O278" s="918"/>
      <c r="P278" s="918"/>
      <c r="Q278" s="920"/>
      <c r="R278" s="918"/>
      <c r="S278" s="918"/>
      <c r="T278" s="918"/>
      <c r="U278" s="918"/>
      <c r="V278" s="918"/>
      <c r="W278" s="918"/>
      <c r="X278" s="918"/>
      <c r="Y278" s="921"/>
      <c r="Z278" s="921"/>
      <c r="AA278" s="921"/>
      <c r="AC278" s="919"/>
    </row>
    <row r="279" spans="5:29" x14ac:dyDescent="0.2">
      <c r="E279" s="918"/>
      <c r="M279" s="919"/>
      <c r="N279" s="918"/>
      <c r="O279" s="918"/>
      <c r="P279" s="918"/>
      <c r="Q279" s="920"/>
      <c r="R279" s="918"/>
      <c r="S279" s="918"/>
      <c r="T279" s="918"/>
      <c r="U279" s="918"/>
      <c r="V279" s="918"/>
      <c r="W279" s="918"/>
      <c r="X279" s="918"/>
      <c r="Y279" s="921"/>
      <c r="Z279" s="921"/>
      <c r="AA279" s="921"/>
      <c r="AC279" s="919"/>
    </row>
    <row r="280" spans="5:29" x14ac:dyDescent="0.2">
      <c r="E280" s="918"/>
      <c r="M280" s="919"/>
      <c r="N280" s="918"/>
      <c r="O280" s="918"/>
      <c r="P280" s="918"/>
      <c r="Q280" s="920"/>
      <c r="R280" s="918"/>
      <c r="S280" s="918"/>
      <c r="T280" s="918"/>
      <c r="U280" s="918"/>
      <c r="V280" s="918"/>
      <c r="W280" s="918"/>
      <c r="X280" s="918"/>
      <c r="Y280" s="921"/>
      <c r="Z280" s="921"/>
      <c r="AA280" s="921"/>
      <c r="AC280" s="919"/>
    </row>
    <row r="281" spans="5:29" x14ac:dyDescent="0.2">
      <c r="E281" s="918"/>
      <c r="M281" s="919"/>
      <c r="N281" s="918"/>
      <c r="O281" s="918"/>
      <c r="P281" s="918"/>
      <c r="Q281" s="920"/>
      <c r="R281" s="918"/>
      <c r="S281" s="918"/>
      <c r="T281" s="918"/>
      <c r="U281" s="918"/>
      <c r="V281" s="918"/>
      <c r="W281" s="918"/>
      <c r="X281" s="918"/>
      <c r="Y281" s="921"/>
      <c r="Z281" s="921"/>
      <c r="AA281" s="921"/>
      <c r="AC281" s="919"/>
    </row>
    <row r="282" spans="5:29" x14ac:dyDescent="0.2">
      <c r="E282" s="918"/>
      <c r="M282" s="919"/>
      <c r="N282" s="918"/>
      <c r="O282" s="918"/>
      <c r="P282" s="918"/>
      <c r="Q282" s="920"/>
      <c r="R282" s="918"/>
      <c r="S282" s="918"/>
      <c r="T282" s="918"/>
      <c r="U282" s="918"/>
      <c r="V282" s="918"/>
      <c r="W282" s="918"/>
      <c r="X282" s="918"/>
      <c r="Y282" s="921"/>
      <c r="Z282" s="921"/>
      <c r="AA282" s="921"/>
      <c r="AC282" s="919"/>
    </row>
    <row r="283" spans="5:29" x14ac:dyDescent="0.2">
      <c r="E283" s="918"/>
      <c r="M283" s="919"/>
      <c r="N283" s="918"/>
      <c r="O283" s="918"/>
      <c r="P283" s="918"/>
      <c r="Q283" s="920"/>
      <c r="R283" s="918"/>
      <c r="S283" s="918"/>
      <c r="T283" s="918"/>
      <c r="U283" s="918"/>
      <c r="V283" s="918"/>
      <c r="W283" s="918"/>
      <c r="X283" s="918"/>
      <c r="Y283" s="921"/>
      <c r="Z283" s="921"/>
      <c r="AA283" s="921"/>
      <c r="AC283" s="919"/>
    </row>
    <row r="284" spans="5:29" x14ac:dyDescent="0.2">
      <c r="E284" s="918"/>
      <c r="M284" s="919"/>
      <c r="N284" s="918"/>
      <c r="O284" s="918"/>
      <c r="P284" s="918"/>
      <c r="Q284" s="920"/>
      <c r="R284" s="918"/>
      <c r="S284" s="918"/>
      <c r="T284" s="918"/>
      <c r="U284" s="918"/>
      <c r="V284" s="918"/>
      <c r="W284" s="918"/>
      <c r="X284" s="918"/>
      <c r="Y284" s="921"/>
      <c r="Z284" s="921"/>
      <c r="AA284" s="921"/>
      <c r="AC284" s="919"/>
    </row>
    <row r="285" spans="5:29" x14ac:dyDescent="0.2">
      <c r="E285" s="918"/>
      <c r="M285" s="919"/>
      <c r="N285" s="918"/>
      <c r="O285" s="918"/>
      <c r="P285" s="918"/>
      <c r="Q285" s="920"/>
      <c r="R285" s="918"/>
      <c r="S285" s="918"/>
      <c r="T285" s="918"/>
      <c r="U285" s="918"/>
      <c r="V285" s="918"/>
      <c r="W285" s="918"/>
      <c r="X285" s="918"/>
      <c r="Y285" s="921"/>
      <c r="Z285" s="921"/>
      <c r="AA285" s="921"/>
      <c r="AC285" s="919"/>
    </row>
    <row r="286" spans="5:29" x14ac:dyDescent="0.2">
      <c r="E286" s="918"/>
      <c r="M286" s="919"/>
      <c r="N286" s="918"/>
      <c r="O286" s="918"/>
      <c r="P286" s="918"/>
      <c r="Q286" s="920"/>
      <c r="R286" s="918"/>
      <c r="S286" s="918"/>
      <c r="T286" s="918"/>
      <c r="U286" s="918"/>
      <c r="V286" s="918"/>
      <c r="W286" s="918"/>
      <c r="X286" s="918"/>
      <c r="Y286" s="921"/>
      <c r="Z286" s="921"/>
      <c r="AA286" s="921"/>
      <c r="AC286" s="919"/>
    </row>
    <row r="287" spans="5:29" x14ac:dyDescent="0.2">
      <c r="E287" s="918"/>
      <c r="M287" s="919"/>
      <c r="N287" s="918"/>
      <c r="O287" s="918"/>
      <c r="P287" s="918"/>
      <c r="Q287" s="920"/>
      <c r="R287" s="918"/>
      <c r="S287" s="918"/>
      <c r="T287" s="918"/>
      <c r="U287" s="918"/>
      <c r="V287" s="918"/>
      <c r="W287" s="918"/>
      <c r="X287" s="918"/>
      <c r="Y287" s="921"/>
      <c r="Z287" s="921"/>
      <c r="AA287" s="921"/>
      <c r="AC287" s="919"/>
    </row>
    <row r="288" spans="5:29" x14ac:dyDescent="0.2">
      <c r="E288" s="918"/>
      <c r="M288" s="919"/>
      <c r="N288" s="918"/>
      <c r="O288" s="918"/>
      <c r="P288" s="918"/>
      <c r="Q288" s="920"/>
      <c r="R288" s="918"/>
      <c r="S288" s="918"/>
      <c r="T288" s="918"/>
      <c r="U288" s="918"/>
      <c r="V288" s="918"/>
      <c r="W288" s="918"/>
      <c r="X288" s="918"/>
      <c r="Y288" s="921"/>
      <c r="Z288" s="921"/>
      <c r="AA288" s="921"/>
      <c r="AC288" s="919"/>
    </row>
    <row r="289" spans="5:29" x14ac:dyDescent="0.2">
      <c r="E289" s="918"/>
      <c r="M289" s="919"/>
      <c r="N289" s="918"/>
      <c r="O289" s="918"/>
      <c r="P289" s="918"/>
      <c r="Q289" s="920"/>
      <c r="R289" s="918"/>
      <c r="S289" s="918"/>
      <c r="T289" s="918"/>
      <c r="U289" s="918"/>
      <c r="V289" s="918"/>
      <c r="W289" s="918"/>
      <c r="X289" s="918"/>
      <c r="Y289" s="921"/>
      <c r="Z289" s="921"/>
      <c r="AA289" s="921"/>
      <c r="AC289" s="919"/>
    </row>
    <row r="290" spans="5:29" x14ac:dyDescent="0.2">
      <c r="E290" s="918"/>
      <c r="M290" s="919"/>
      <c r="N290" s="918"/>
      <c r="O290" s="918"/>
      <c r="P290" s="918"/>
      <c r="Q290" s="920"/>
      <c r="R290" s="918"/>
      <c r="S290" s="918"/>
      <c r="T290" s="918"/>
      <c r="U290" s="918"/>
      <c r="V290" s="918"/>
      <c r="W290" s="918"/>
      <c r="X290" s="918"/>
      <c r="Y290" s="921"/>
      <c r="Z290" s="921"/>
      <c r="AA290" s="921"/>
      <c r="AC290" s="919"/>
    </row>
    <row r="291" spans="5:29" x14ac:dyDescent="0.2">
      <c r="E291" s="918"/>
      <c r="M291" s="919"/>
      <c r="N291" s="918"/>
      <c r="O291" s="918"/>
      <c r="P291" s="918"/>
      <c r="Q291" s="920"/>
      <c r="R291" s="918"/>
      <c r="S291" s="918"/>
      <c r="T291" s="918"/>
      <c r="U291" s="918"/>
      <c r="V291" s="918"/>
      <c r="W291" s="918"/>
      <c r="X291" s="918"/>
      <c r="Y291" s="921"/>
      <c r="Z291" s="921"/>
      <c r="AA291" s="921"/>
      <c r="AC291" s="919"/>
    </row>
    <row r="292" spans="5:29" x14ac:dyDescent="0.2">
      <c r="E292" s="918"/>
      <c r="M292" s="919"/>
      <c r="N292" s="918"/>
      <c r="O292" s="918"/>
      <c r="P292" s="918"/>
      <c r="Q292" s="920"/>
      <c r="R292" s="918"/>
      <c r="S292" s="918"/>
      <c r="T292" s="918"/>
      <c r="U292" s="918"/>
      <c r="V292" s="918"/>
      <c r="W292" s="918"/>
      <c r="X292" s="918"/>
      <c r="Y292" s="921"/>
      <c r="Z292" s="921"/>
      <c r="AA292" s="921"/>
      <c r="AC292" s="919"/>
    </row>
    <row r="293" spans="5:29" x14ac:dyDescent="0.2">
      <c r="E293" s="918"/>
      <c r="M293" s="919"/>
      <c r="N293" s="918"/>
      <c r="O293" s="918"/>
      <c r="P293" s="918"/>
      <c r="Q293" s="920"/>
      <c r="R293" s="918"/>
      <c r="S293" s="918"/>
      <c r="T293" s="918"/>
      <c r="U293" s="918"/>
      <c r="V293" s="918"/>
      <c r="W293" s="918"/>
      <c r="X293" s="918"/>
      <c r="Y293" s="921"/>
      <c r="Z293" s="921"/>
      <c r="AA293" s="921"/>
      <c r="AC293" s="919"/>
    </row>
    <row r="294" spans="5:29" x14ac:dyDescent="0.2">
      <c r="E294" s="918"/>
      <c r="M294" s="919"/>
      <c r="N294" s="918"/>
      <c r="O294" s="918"/>
      <c r="P294" s="918"/>
      <c r="Q294" s="920"/>
      <c r="R294" s="918"/>
      <c r="S294" s="918"/>
      <c r="T294" s="918"/>
      <c r="U294" s="918"/>
      <c r="V294" s="918"/>
      <c r="W294" s="918"/>
      <c r="X294" s="918"/>
      <c r="Y294" s="921"/>
      <c r="Z294" s="921"/>
      <c r="AA294" s="921"/>
      <c r="AC294" s="919"/>
    </row>
    <row r="295" spans="5:29" x14ac:dyDescent="0.2">
      <c r="E295" s="918"/>
      <c r="M295" s="919"/>
      <c r="N295" s="918"/>
      <c r="O295" s="918"/>
      <c r="P295" s="918"/>
      <c r="Q295" s="920"/>
      <c r="R295" s="918"/>
      <c r="S295" s="918"/>
      <c r="T295" s="918"/>
      <c r="U295" s="918"/>
      <c r="V295" s="918"/>
      <c r="W295" s="918"/>
      <c r="X295" s="918"/>
      <c r="Y295" s="921"/>
      <c r="Z295" s="921"/>
      <c r="AA295" s="921"/>
      <c r="AC295" s="919"/>
    </row>
    <row r="296" spans="5:29" x14ac:dyDescent="0.2">
      <c r="E296" s="918"/>
      <c r="M296" s="919"/>
      <c r="N296" s="918"/>
      <c r="O296" s="918"/>
      <c r="P296" s="918"/>
      <c r="Q296" s="920"/>
      <c r="R296" s="918"/>
      <c r="S296" s="918"/>
      <c r="T296" s="918"/>
      <c r="U296" s="918"/>
      <c r="V296" s="918"/>
      <c r="W296" s="918"/>
      <c r="X296" s="918"/>
      <c r="Y296" s="921"/>
      <c r="Z296" s="921"/>
      <c r="AA296" s="921"/>
      <c r="AC296" s="919"/>
    </row>
    <row r="297" spans="5:29" x14ac:dyDescent="0.2">
      <c r="E297" s="918"/>
      <c r="M297" s="919"/>
      <c r="N297" s="918"/>
      <c r="O297" s="918"/>
      <c r="P297" s="918"/>
      <c r="Q297" s="920"/>
      <c r="R297" s="918"/>
      <c r="S297" s="918"/>
      <c r="T297" s="918"/>
      <c r="U297" s="918"/>
      <c r="V297" s="918"/>
      <c r="W297" s="918"/>
      <c r="X297" s="918"/>
      <c r="Y297" s="921"/>
      <c r="Z297" s="921"/>
      <c r="AA297" s="921"/>
      <c r="AC297" s="919"/>
    </row>
    <row r="298" spans="5:29" x14ac:dyDescent="0.2">
      <c r="E298" s="918"/>
      <c r="M298" s="919"/>
      <c r="N298" s="918"/>
      <c r="O298" s="918"/>
      <c r="P298" s="918"/>
      <c r="Q298" s="920"/>
      <c r="R298" s="918"/>
      <c r="S298" s="918"/>
      <c r="T298" s="918"/>
      <c r="U298" s="918"/>
      <c r="V298" s="918"/>
      <c r="W298" s="918"/>
      <c r="X298" s="918"/>
      <c r="Y298" s="921"/>
      <c r="Z298" s="921"/>
      <c r="AA298" s="921"/>
      <c r="AC298" s="919"/>
    </row>
    <row r="299" spans="5:29" x14ac:dyDescent="0.2">
      <c r="E299" s="918"/>
      <c r="M299" s="919"/>
      <c r="N299" s="918"/>
      <c r="O299" s="918"/>
      <c r="P299" s="918"/>
      <c r="Q299" s="920"/>
      <c r="R299" s="918"/>
      <c r="S299" s="918"/>
      <c r="T299" s="918"/>
      <c r="U299" s="918"/>
      <c r="V299" s="918"/>
      <c r="W299" s="918"/>
      <c r="X299" s="918"/>
      <c r="Y299" s="921"/>
      <c r="Z299" s="921"/>
      <c r="AA299" s="921"/>
      <c r="AC299" s="919"/>
    </row>
    <row r="300" spans="5:29" x14ac:dyDescent="0.2">
      <c r="E300" s="918"/>
      <c r="M300" s="919"/>
      <c r="N300" s="918"/>
      <c r="O300" s="918"/>
      <c r="P300" s="918"/>
      <c r="Q300" s="920"/>
      <c r="R300" s="918"/>
      <c r="S300" s="918"/>
      <c r="T300" s="918"/>
      <c r="U300" s="918"/>
      <c r="V300" s="918"/>
      <c r="W300" s="918"/>
      <c r="X300" s="918"/>
      <c r="Y300" s="921"/>
      <c r="Z300" s="921"/>
      <c r="AA300" s="921"/>
      <c r="AC300" s="919"/>
    </row>
    <row r="301" spans="5:29" x14ac:dyDescent="0.2">
      <c r="E301" s="918"/>
      <c r="M301" s="919"/>
      <c r="N301" s="918"/>
      <c r="O301" s="918"/>
      <c r="P301" s="918"/>
      <c r="Q301" s="920"/>
      <c r="R301" s="918"/>
      <c r="S301" s="918"/>
      <c r="T301" s="918"/>
      <c r="U301" s="918"/>
      <c r="V301" s="918"/>
      <c r="W301" s="918"/>
      <c r="X301" s="918"/>
      <c r="Y301" s="921"/>
      <c r="Z301" s="921"/>
      <c r="AA301" s="921"/>
      <c r="AC301" s="919"/>
    </row>
    <row r="302" spans="5:29" x14ac:dyDescent="0.2">
      <c r="E302" s="918"/>
      <c r="M302" s="919"/>
      <c r="N302" s="918"/>
      <c r="O302" s="918"/>
      <c r="P302" s="918"/>
      <c r="Q302" s="920"/>
      <c r="R302" s="918"/>
      <c r="S302" s="918"/>
      <c r="T302" s="918"/>
      <c r="U302" s="918"/>
      <c r="V302" s="918"/>
      <c r="W302" s="918"/>
      <c r="X302" s="918"/>
      <c r="Y302" s="921"/>
      <c r="Z302" s="921"/>
      <c r="AA302" s="921"/>
      <c r="AC302" s="919"/>
    </row>
    <row r="303" spans="5:29" x14ac:dyDescent="0.2">
      <c r="E303" s="918"/>
      <c r="M303" s="919"/>
      <c r="N303" s="918"/>
      <c r="O303" s="918"/>
      <c r="P303" s="918"/>
      <c r="Q303" s="920"/>
      <c r="R303" s="918"/>
      <c r="S303" s="918"/>
      <c r="T303" s="918"/>
      <c r="U303" s="918"/>
      <c r="V303" s="918"/>
      <c r="W303" s="918"/>
      <c r="X303" s="918"/>
      <c r="Y303" s="921"/>
      <c r="Z303" s="921"/>
      <c r="AA303" s="921"/>
      <c r="AC303" s="919"/>
    </row>
    <row r="304" spans="5:29" x14ac:dyDescent="0.2">
      <c r="E304" s="918"/>
      <c r="M304" s="919"/>
      <c r="N304" s="918"/>
      <c r="O304" s="918"/>
      <c r="P304" s="918"/>
      <c r="Q304" s="920"/>
      <c r="R304" s="918"/>
      <c r="S304" s="918"/>
      <c r="T304" s="918"/>
      <c r="U304" s="918"/>
      <c r="V304" s="918"/>
      <c r="W304" s="918"/>
      <c r="X304" s="918"/>
      <c r="Y304" s="921"/>
      <c r="Z304" s="921"/>
      <c r="AA304" s="921"/>
      <c r="AC304" s="919"/>
    </row>
    <row r="305" spans="5:29" x14ac:dyDescent="0.2">
      <c r="E305" s="918"/>
      <c r="M305" s="919"/>
      <c r="N305" s="918"/>
      <c r="O305" s="918"/>
      <c r="P305" s="918"/>
      <c r="Q305" s="920"/>
      <c r="R305" s="918"/>
      <c r="S305" s="918"/>
      <c r="T305" s="918"/>
      <c r="U305" s="918"/>
      <c r="V305" s="918"/>
      <c r="W305" s="918"/>
      <c r="X305" s="918"/>
      <c r="Y305" s="921"/>
      <c r="Z305" s="921"/>
      <c r="AA305" s="921"/>
      <c r="AC305" s="919"/>
    </row>
    <row r="306" spans="5:29" x14ac:dyDescent="0.2">
      <c r="E306" s="918"/>
      <c r="M306" s="919"/>
      <c r="N306" s="918"/>
      <c r="O306" s="918"/>
      <c r="P306" s="918"/>
      <c r="Q306" s="920"/>
      <c r="R306" s="918"/>
      <c r="S306" s="918"/>
      <c r="T306" s="918"/>
      <c r="U306" s="918"/>
      <c r="V306" s="918"/>
      <c r="W306" s="918"/>
      <c r="X306" s="918"/>
      <c r="Y306" s="921"/>
      <c r="Z306" s="921"/>
      <c r="AA306" s="921"/>
      <c r="AC306" s="919"/>
    </row>
    <row r="307" spans="5:29" x14ac:dyDescent="0.2">
      <c r="E307" s="918"/>
      <c r="M307" s="919"/>
      <c r="N307" s="918"/>
      <c r="O307" s="918"/>
      <c r="P307" s="918"/>
      <c r="Q307" s="920"/>
      <c r="R307" s="918"/>
      <c r="S307" s="918"/>
      <c r="T307" s="918"/>
      <c r="U307" s="918"/>
      <c r="V307" s="918"/>
      <c r="W307" s="918"/>
      <c r="X307" s="918"/>
      <c r="Y307" s="921"/>
      <c r="Z307" s="921"/>
      <c r="AA307" s="921"/>
      <c r="AC307" s="919"/>
    </row>
    <row r="308" spans="5:29" x14ac:dyDescent="0.2">
      <c r="E308" s="918"/>
      <c r="M308" s="919"/>
      <c r="N308" s="918"/>
      <c r="O308" s="918"/>
      <c r="P308" s="918"/>
      <c r="Q308" s="920"/>
      <c r="R308" s="918"/>
      <c r="S308" s="918"/>
      <c r="T308" s="918"/>
      <c r="U308" s="918"/>
      <c r="V308" s="918"/>
      <c r="W308" s="918"/>
      <c r="X308" s="918"/>
      <c r="Y308" s="921"/>
      <c r="Z308" s="921"/>
      <c r="AA308" s="921"/>
      <c r="AC308" s="919"/>
    </row>
    <row r="309" spans="5:29" x14ac:dyDescent="0.2">
      <c r="E309" s="918"/>
      <c r="M309" s="919"/>
      <c r="N309" s="918"/>
      <c r="O309" s="918"/>
      <c r="P309" s="918"/>
      <c r="Q309" s="920"/>
      <c r="R309" s="918"/>
      <c r="S309" s="918"/>
      <c r="T309" s="918"/>
      <c r="U309" s="918"/>
      <c r="V309" s="918"/>
      <c r="W309" s="918"/>
      <c r="X309" s="918"/>
      <c r="Y309" s="921"/>
      <c r="Z309" s="921"/>
      <c r="AA309" s="921"/>
      <c r="AC309" s="919"/>
    </row>
    <row r="310" spans="5:29" x14ac:dyDescent="0.2">
      <c r="E310" s="918"/>
      <c r="M310" s="919"/>
      <c r="N310" s="918"/>
      <c r="O310" s="918"/>
      <c r="P310" s="918"/>
      <c r="Q310" s="920"/>
      <c r="R310" s="918"/>
      <c r="S310" s="918"/>
      <c r="T310" s="918"/>
      <c r="U310" s="918"/>
      <c r="V310" s="918"/>
      <c r="W310" s="918"/>
      <c r="X310" s="918"/>
      <c r="Y310" s="921"/>
      <c r="Z310" s="921"/>
      <c r="AA310" s="921"/>
      <c r="AC310" s="919"/>
    </row>
    <row r="311" spans="5:29" x14ac:dyDescent="0.2">
      <c r="E311" s="918"/>
      <c r="M311" s="919"/>
      <c r="N311" s="918"/>
      <c r="O311" s="918"/>
      <c r="P311" s="918"/>
      <c r="Q311" s="920"/>
      <c r="R311" s="918"/>
      <c r="S311" s="918"/>
      <c r="T311" s="918"/>
      <c r="U311" s="918"/>
      <c r="V311" s="918"/>
      <c r="W311" s="918"/>
      <c r="X311" s="918"/>
      <c r="Y311" s="921"/>
      <c r="Z311" s="921"/>
      <c r="AA311" s="921"/>
      <c r="AC311" s="919"/>
    </row>
    <row r="312" spans="5:29" x14ac:dyDescent="0.2">
      <c r="E312" s="918"/>
      <c r="M312" s="919"/>
      <c r="N312" s="918"/>
      <c r="O312" s="918"/>
      <c r="P312" s="918"/>
      <c r="Q312" s="920"/>
      <c r="R312" s="918"/>
      <c r="S312" s="918"/>
      <c r="T312" s="918"/>
      <c r="U312" s="918"/>
      <c r="V312" s="918"/>
      <c r="W312" s="918"/>
      <c r="X312" s="918"/>
      <c r="Y312" s="921"/>
      <c r="Z312" s="921"/>
      <c r="AA312" s="921"/>
      <c r="AC312" s="919"/>
    </row>
    <row r="313" spans="5:29" x14ac:dyDescent="0.2">
      <c r="E313" s="918"/>
      <c r="M313" s="919"/>
      <c r="N313" s="918"/>
      <c r="O313" s="918"/>
      <c r="P313" s="918"/>
      <c r="Q313" s="920"/>
      <c r="R313" s="918"/>
      <c r="S313" s="918"/>
      <c r="T313" s="918"/>
      <c r="U313" s="918"/>
      <c r="V313" s="918"/>
      <c r="W313" s="918"/>
      <c r="X313" s="918"/>
      <c r="Y313" s="921"/>
      <c r="Z313" s="921"/>
      <c r="AA313" s="921"/>
      <c r="AC313" s="919"/>
    </row>
    <row r="314" spans="5:29" x14ac:dyDescent="0.2">
      <c r="E314" s="918"/>
      <c r="M314" s="919"/>
      <c r="N314" s="918"/>
      <c r="O314" s="918"/>
      <c r="P314" s="918"/>
      <c r="Q314" s="920"/>
      <c r="R314" s="918"/>
      <c r="S314" s="918"/>
      <c r="T314" s="918"/>
      <c r="U314" s="918"/>
      <c r="V314" s="918"/>
      <c r="W314" s="918"/>
      <c r="X314" s="918"/>
      <c r="Y314" s="921"/>
      <c r="Z314" s="921"/>
      <c r="AA314" s="921"/>
      <c r="AC314" s="919"/>
    </row>
    <row r="315" spans="5:29" x14ac:dyDescent="0.2">
      <c r="E315" s="918"/>
      <c r="M315" s="919"/>
      <c r="N315" s="918"/>
      <c r="O315" s="918"/>
      <c r="P315" s="918"/>
      <c r="Q315" s="920"/>
      <c r="R315" s="918"/>
      <c r="S315" s="918"/>
      <c r="T315" s="918"/>
      <c r="U315" s="918"/>
      <c r="V315" s="918"/>
      <c r="W315" s="918"/>
      <c r="X315" s="918"/>
      <c r="Y315" s="921"/>
      <c r="Z315" s="921"/>
      <c r="AA315" s="921"/>
      <c r="AC315" s="919"/>
    </row>
    <row r="316" spans="5:29" x14ac:dyDescent="0.2">
      <c r="E316" s="918"/>
      <c r="M316" s="919"/>
      <c r="N316" s="918"/>
      <c r="O316" s="918"/>
      <c r="P316" s="918"/>
      <c r="Q316" s="920"/>
      <c r="R316" s="918"/>
      <c r="S316" s="918"/>
      <c r="T316" s="918"/>
      <c r="U316" s="918"/>
      <c r="V316" s="918"/>
      <c r="W316" s="918"/>
      <c r="X316" s="918"/>
      <c r="Y316" s="921"/>
      <c r="Z316" s="921"/>
      <c r="AA316" s="921"/>
      <c r="AC316" s="919"/>
    </row>
    <row r="317" spans="5:29" x14ac:dyDescent="0.2">
      <c r="E317" s="918"/>
      <c r="M317" s="919"/>
      <c r="N317" s="918"/>
      <c r="O317" s="918"/>
      <c r="P317" s="918"/>
      <c r="Q317" s="920"/>
      <c r="R317" s="918"/>
      <c r="S317" s="918"/>
      <c r="T317" s="918"/>
      <c r="U317" s="918"/>
      <c r="V317" s="918"/>
      <c r="W317" s="918"/>
      <c r="X317" s="918"/>
      <c r="Y317" s="921"/>
      <c r="Z317" s="921"/>
      <c r="AA317" s="921"/>
      <c r="AC317" s="919"/>
    </row>
    <row r="318" spans="5:29" x14ac:dyDescent="0.2">
      <c r="E318" s="918"/>
      <c r="M318" s="919"/>
      <c r="N318" s="918"/>
      <c r="O318" s="918"/>
      <c r="P318" s="918"/>
      <c r="Q318" s="920"/>
      <c r="R318" s="918"/>
      <c r="S318" s="918"/>
      <c r="T318" s="918"/>
      <c r="U318" s="918"/>
      <c r="V318" s="918"/>
      <c r="W318" s="918"/>
      <c r="X318" s="918"/>
      <c r="Y318" s="921"/>
      <c r="Z318" s="921"/>
      <c r="AA318" s="921"/>
      <c r="AC318" s="919"/>
    </row>
    <row r="319" spans="5:29" x14ac:dyDescent="0.2">
      <c r="E319" s="918"/>
      <c r="M319" s="919"/>
      <c r="N319" s="918"/>
      <c r="O319" s="918"/>
      <c r="P319" s="918"/>
      <c r="Q319" s="920"/>
      <c r="R319" s="918"/>
      <c r="S319" s="918"/>
      <c r="T319" s="918"/>
      <c r="U319" s="918"/>
      <c r="V319" s="918"/>
      <c r="W319" s="918"/>
      <c r="X319" s="918"/>
      <c r="Y319" s="921"/>
      <c r="Z319" s="921"/>
      <c r="AA319" s="921"/>
      <c r="AC319" s="919"/>
    </row>
    <row r="320" spans="5:29" x14ac:dyDescent="0.2">
      <c r="E320" s="918"/>
      <c r="M320" s="919"/>
      <c r="N320" s="918"/>
      <c r="O320" s="918"/>
      <c r="P320" s="918"/>
      <c r="Q320" s="920"/>
      <c r="R320" s="918"/>
      <c r="S320" s="918"/>
      <c r="T320" s="918"/>
      <c r="U320" s="918"/>
      <c r="V320" s="918"/>
      <c r="W320" s="918"/>
      <c r="X320" s="918"/>
      <c r="Y320" s="921"/>
      <c r="Z320" s="921"/>
      <c r="AA320" s="921"/>
      <c r="AC320" s="919"/>
    </row>
    <row r="321" spans="5:29" x14ac:dyDescent="0.2">
      <c r="E321" s="918"/>
      <c r="M321" s="919"/>
      <c r="N321" s="918"/>
      <c r="O321" s="918"/>
      <c r="P321" s="918"/>
      <c r="Q321" s="920"/>
      <c r="R321" s="918"/>
      <c r="S321" s="918"/>
      <c r="T321" s="918"/>
      <c r="U321" s="918"/>
      <c r="V321" s="918"/>
      <c r="W321" s="918"/>
      <c r="X321" s="918"/>
      <c r="Y321" s="921"/>
      <c r="Z321" s="921"/>
      <c r="AA321" s="921"/>
      <c r="AC321" s="919"/>
    </row>
    <row r="322" spans="5:29" x14ac:dyDescent="0.2">
      <c r="E322" s="918"/>
      <c r="M322" s="919"/>
      <c r="N322" s="918"/>
      <c r="O322" s="918"/>
      <c r="P322" s="918"/>
      <c r="Q322" s="920"/>
      <c r="R322" s="918"/>
      <c r="S322" s="918"/>
      <c r="T322" s="918"/>
      <c r="U322" s="918"/>
      <c r="V322" s="918"/>
      <c r="W322" s="918"/>
      <c r="X322" s="918"/>
      <c r="Y322" s="921"/>
      <c r="Z322" s="921"/>
      <c r="AA322" s="921"/>
      <c r="AC322" s="919"/>
    </row>
    <row r="323" spans="5:29" x14ac:dyDescent="0.2">
      <c r="E323" s="918"/>
      <c r="M323" s="919"/>
      <c r="N323" s="918"/>
      <c r="O323" s="918"/>
      <c r="P323" s="918"/>
      <c r="Q323" s="920"/>
      <c r="R323" s="918"/>
      <c r="S323" s="918"/>
      <c r="T323" s="918"/>
      <c r="U323" s="918"/>
      <c r="V323" s="918"/>
      <c r="W323" s="918"/>
      <c r="X323" s="918"/>
      <c r="Y323" s="921"/>
      <c r="Z323" s="921"/>
      <c r="AA323" s="921"/>
      <c r="AC323" s="919"/>
    </row>
    <row r="324" spans="5:29" x14ac:dyDescent="0.2">
      <c r="E324" s="918"/>
      <c r="M324" s="919"/>
      <c r="N324" s="918"/>
      <c r="O324" s="918"/>
      <c r="P324" s="918"/>
      <c r="Q324" s="920"/>
      <c r="R324" s="918"/>
      <c r="S324" s="918"/>
      <c r="T324" s="918"/>
      <c r="U324" s="918"/>
      <c r="V324" s="918"/>
      <c r="W324" s="918"/>
      <c r="X324" s="918"/>
      <c r="Y324" s="921"/>
      <c r="Z324" s="921"/>
      <c r="AA324" s="921"/>
      <c r="AC324" s="919"/>
    </row>
    <row r="325" spans="5:29" x14ac:dyDescent="0.2">
      <c r="E325" s="918"/>
      <c r="M325" s="919"/>
      <c r="N325" s="918"/>
      <c r="O325" s="918"/>
      <c r="P325" s="918"/>
      <c r="Q325" s="920"/>
      <c r="R325" s="918"/>
      <c r="S325" s="918"/>
      <c r="T325" s="918"/>
      <c r="U325" s="918"/>
      <c r="V325" s="918"/>
      <c r="W325" s="918"/>
      <c r="X325" s="918"/>
      <c r="Y325" s="921"/>
      <c r="Z325" s="921"/>
      <c r="AA325" s="921"/>
      <c r="AC325" s="919"/>
    </row>
    <row r="326" spans="5:29" x14ac:dyDescent="0.2">
      <c r="E326" s="918"/>
      <c r="M326" s="919"/>
      <c r="N326" s="918"/>
      <c r="O326" s="918"/>
      <c r="P326" s="918"/>
      <c r="Q326" s="920"/>
      <c r="R326" s="918"/>
      <c r="S326" s="918"/>
      <c r="T326" s="918"/>
      <c r="U326" s="918"/>
      <c r="V326" s="918"/>
      <c r="W326" s="918"/>
      <c r="X326" s="918"/>
      <c r="Y326" s="921"/>
      <c r="Z326" s="921"/>
      <c r="AA326" s="921"/>
      <c r="AC326" s="919"/>
    </row>
    <row r="327" spans="5:29" x14ac:dyDescent="0.2">
      <c r="E327" s="918"/>
      <c r="M327" s="919"/>
      <c r="N327" s="918"/>
      <c r="O327" s="918"/>
      <c r="P327" s="918"/>
      <c r="Q327" s="920"/>
      <c r="R327" s="918"/>
      <c r="S327" s="918"/>
      <c r="T327" s="918"/>
      <c r="U327" s="918"/>
      <c r="V327" s="918"/>
      <c r="W327" s="918"/>
      <c r="X327" s="918"/>
      <c r="Y327" s="921"/>
      <c r="Z327" s="921"/>
      <c r="AA327" s="921"/>
      <c r="AC327" s="919"/>
    </row>
    <row r="328" spans="5:29" x14ac:dyDescent="0.2">
      <c r="E328" s="918"/>
      <c r="M328" s="919"/>
      <c r="N328" s="918"/>
      <c r="O328" s="918"/>
      <c r="P328" s="918"/>
      <c r="Q328" s="920"/>
      <c r="R328" s="918"/>
      <c r="S328" s="918"/>
      <c r="T328" s="918"/>
      <c r="U328" s="918"/>
      <c r="V328" s="918"/>
      <c r="W328" s="918"/>
      <c r="X328" s="918"/>
      <c r="Y328" s="921"/>
      <c r="Z328" s="921"/>
      <c r="AA328" s="921"/>
      <c r="AC328" s="919"/>
    </row>
    <row r="329" spans="5:29" x14ac:dyDescent="0.2">
      <c r="E329" s="918"/>
      <c r="M329" s="919"/>
      <c r="N329" s="918"/>
      <c r="O329" s="918"/>
      <c r="P329" s="918"/>
      <c r="Q329" s="920"/>
      <c r="R329" s="918"/>
      <c r="S329" s="918"/>
      <c r="T329" s="918"/>
      <c r="U329" s="918"/>
      <c r="V329" s="918"/>
      <c r="W329" s="918"/>
      <c r="X329" s="918"/>
      <c r="Y329" s="921"/>
      <c r="Z329" s="921"/>
      <c r="AA329" s="921"/>
      <c r="AC329" s="919"/>
    </row>
    <row r="330" spans="5:29" x14ac:dyDescent="0.2">
      <c r="E330" s="918"/>
      <c r="M330" s="919"/>
      <c r="N330" s="918"/>
      <c r="O330" s="918"/>
      <c r="P330" s="918"/>
      <c r="Q330" s="920"/>
      <c r="R330" s="918"/>
      <c r="S330" s="918"/>
      <c r="T330" s="918"/>
      <c r="U330" s="918"/>
      <c r="V330" s="918"/>
      <c r="W330" s="918"/>
      <c r="X330" s="918"/>
      <c r="Y330" s="921"/>
      <c r="Z330" s="921"/>
      <c r="AA330" s="921"/>
      <c r="AC330" s="919"/>
    </row>
    <row r="331" spans="5:29" x14ac:dyDescent="0.2">
      <c r="E331" s="918"/>
      <c r="M331" s="919"/>
      <c r="N331" s="918"/>
      <c r="O331" s="918"/>
      <c r="P331" s="918"/>
      <c r="Q331" s="920"/>
      <c r="R331" s="918"/>
      <c r="S331" s="918"/>
      <c r="T331" s="918"/>
      <c r="U331" s="918"/>
      <c r="V331" s="918"/>
      <c r="W331" s="918"/>
      <c r="X331" s="918"/>
      <c r="Y331" s="921"/>
      <c r="Z331" s="921"/>
      <c r="AA331" s="921"/>
      <c r="AC331" s="919"/>
    </row>
    <row r="332" spans="5:29" x14ac:dyDescent="0.2">
      <c r="E332" s="918"/>
      <c r="M332" s="919"/>
      <c r="N332" s="918"/>
      <c r="O332" s="918"/>
      <c r="P332" s="918"/>
      <c r="Q332" s="920"/>
      <c r="R332" s="918"/>
      <c r="S332" s="918"/>
      <c r="T332" s="918"/>
      <c r="U332" s="918"/>
      <c r="V332" s="918"/>
      <c r="W332" s="918"/>
      <c r="X332" s="918"/>
      <c r="Y332" s="921"/>
      <c r="Z332" s="921"/>
      <c r="AA332" s="921"/>
      <c r="AC332" s="919"/>
    </row>
    <row r="333" spans="5:29" x14ac:dyDescent="0.2">
      <c r="E333" s="918"/>
      <c r="M333" s="919"/>
      <c r="N333" s="918"/>
      <c r="O333" s="918"/>
      <c r="P333" s="918"/>
      <c r="Q333" s="920"/>
      <c r="R333" s="918"/>
      <c r="S333" s="918"/>
      <c r="T333" s="918"/>
      <c r="U333" s="918"/>
      <c r="V333" s="918"/>
      <c r="W333" s="918"/>
      <c r="X333" s="918"/>
      <c r="Y333" s="921"/>
      <c r="Z333" s="921"/>
      <c r="AA333" s="921"/>
      <c r="AC333" s="919"/>
    </row>
    <row r="334" spans="5:29" x14ac:dyDescent="0.2">
      <c r="E334" s="918"/>
      <c r="M334" s="919"/>
      <c r="N334" s="918"/>
      <c r="O334" s="918"/>
      <c r="P334" s="918"/>
      <c r="Q334" s="920"/>
      <c r="R334" s="918"/>
      <c r="S334" s="918"/>
      <c r="T334" s="918"/>
      <c r="U334" s="918"/>
      <c r="V334" s="918"/>
      <c r="W334" s="918"/>
      <c r="X334" s="918"/>
      <c r="Y334" s="921"/>
      <c r="Z334" s="921"/>
      <c r="AA334" s="921"/>
      <c r="AC334" s="919"/>
    </row>
    <row r="335" spans="5:29" x14ac:dyDescent="0.2">
      <c r="E335" s="918"/>
      <c r="M335" s="919"/>
      <c r="N335" s="918"/>
      <c r="O335" s="918"/>
      <c r="P335" s="918"/>
      <c r="Q335" s="920"/>
      <c r="R335" s="918"/>
      <c r="S335" s="918"/>
      <c r="T335" s="918"/>
      <c r="U335" s="918"/>
      <c r="V335" s="918"/>
      <c r="W335" s="918"/>
      <c r="X335" s="918"/>
      <c r="Y335" s="921"/>
      <c r="Z335" s="921"/>
      <c r="AA335" s="921"/>
      <c r="AC335" s="919"/>
    </row>
    <row r="336" spans="5:29" x14ac:dyDescent="0.2">
      <c r="E336" s="918"/>
      <c r="M336" s="919"/>
      <c r="N336" s="918"/>
      <c r="O336" s="918"/>
      <c r="P336" s="918"/>
      <c r="Q336" s="920"/>
      <c r="R336" s="918"/>
      <c r="S336" s="918"/>
      <c r="T336" s="918"/>
      <c r="U336" s="918"/>
      <c r="V336" s="918"/>
      <c r="W336" s="918"/>
      <c r="X336" s="918"/>
      <c r="Y336" s="921"/>
      <c r="Z336" s="921"/>
      <c r="AA336" s="921"/>
      <c r="AC336" s="919"/>
    </row>
    <row r="337" spans="5:29" x14ac:dyDescent="0.2">
      <c r="E337" s="918"/>
      <c r="M337" s="919"/>
      <c r="N337" s="918"/>
      <c r="O337" s="918"/>
      <c r="P337" s="918"/>
      <c r="Q337" s="920"/>
      <c r="R337" s="918"/>
      <c r="S337" s="918"/>
      <c r="T337" s="918"/>
      <c r="U337" s="918"/>
      <c r="V337" s="918"/>
      <c r="W337" s="918"/>
      <c r="X337" s="918"/>
      <c r="Y337" s="921"/>
      <c r="Z337" s="921"/>
      <c r="AA337" s="921"/>
      <c r="AC337" s="919"/>
    </row>
    <row r="338" spans="5:29" x14ac:dyDescent="0.2">
      <c r="E338" s="918"/>
      <c r="M338" s="919"/>
      <c r="N338" s="918"/>
      <c r="O338" s="918"/>
      <c r="P338" s="918"/>
      <c r="Q338" s="920"/>
      <c r="R338" s="918"/>
      <c r="S338" s="918"/>
      <c r="T338" s="918"/>
      <c r="U338" s="918"/>
      <c r="V338" s="918"/>
      <c r="W338" s="918"/>
      <c r="X338" s="918"/>
      <c r="Y338" s="921"/>
      <c r="Z338" s="921"/>
      <c r="AA338" s="921"/>
      <c r="AC338" s="919"/>
    </row>
    <row r="339" spans="5:29" x14ac:dyDescent="0.2">
      <c r="E339" s="918"/>
      <c r="M339" s="919"/>
      <c r="N339" s="918"/>
      <c r="O339" s="918"/>
      <c r="P339" s="918"/>
      <c r="Q339" s="920"/>
      <c r="R339" s="918"/>
      <c r="S339" s="918"/>
      <c r="T339" s="918"/>
      <c r="U339" s="918"/>
      <c r="V339" s="918"/>
      <c r="W339" s="918"/>
      <c r="X339" s="918"/>
      <c r="Y339" s="921"/>
      <c r="Z339" s="921"/>
      <c r="AA339" s="921"/>
      <c r="AC339" s="919"/>
    </row>
    <row r="340" spans="5:29" x14ac:dyDescent="0.2">
      <c r="E340" s="918"/>
      <c r="M340" s="919"/>
      <c r="N340" s="918"/>
      <c r="O340" s="918"/>
      <c r="P340" s="918"/>
      <c r="Q340" s="920"/>
      <c r="R340" s="918"/>
      <c r="S340" s="918"/>
      <c r="T340" s="918"/>
      <c r="U340" s="918"/>
      <c r="V340" s="918"/>
      <c r="W340" s="918"/>
      <c r="X340" s="918"/>
      <c r="Y340" s="921"/>
      <c r="Z340" s="921"/>
      <c r="AA340" s="921"/>
      <c r="AC340" s="919"/>
    </row>
    <row r="341" spans="5:29" x14ac:dyDescent="0.2">
      <c r="E341" s="918"/>
      <c r="M341" s="919"/>
      <c r="N341" s="918"/>
      <c r="O341" s="918"/>
      <c r="P341" s="918"/>
      <c r="Q341" s="920"/>
      <c r="R341" s="918"/>
      <c r="S341" s="918"/>
      <c r="T341" s="918"/>
      <c r="U341" s="918"/>
      <c r="V341" s="918"/>
      <c r="W341" s="918"/>
      <c r="X341" s="918"/>
      <c r="Y341" s="921"/>
      <c r="Z341" s="921"/>
      <c r="AA341" s="921"/>
      <c r="AC341" s="919"/>
    </row>
    <row r="342" spans="5:29" x14ac:dyDescent="0.2">
      <c r="E342" s="918"/>
      <c r="M342" s="919"/>
      <c r="N342" s="918"/>
      <c r="O342" s="918"/>
      <c r="P342" s="918"/>
      <c r="Q342" s="920"/>
      <c r="R342" s="918"/>
      <c r="S342" s="918"/>
      <c r="T342" s="918"/>
      <c r="U342" s="918"/>
      <c r="V342" s="918"/>
      <c r="W342" s="918"/>
      <c r="X342" s="918"/>
      <c r="Y342" s="921"/>
      <c r="Z342" s="921"/>
      <c r="AA342" s="921"/>
      <c r="AC342" s="919"/>
    </row>
    <row r="343" spans="5:29" x14ac:dyDescent="0.2">
      <c r="E343" s="918"/>
      <c r="M343" s="919"/>
      <c r="N343" s="918"/>
      <c r="O343" s="918"/>
      <c r="P343" s="918"/>
      <c r="Q343" s="920"/>
      <c r="R343" s="918"/>
      <c r="S343" s="918"/>
      <c r="T343" s="918"/>
      <c r="U343" s="918"/>
      <c r="V343" s="918"/>
      <c r="W343" s="918"/>
      <c r="X343" s="918"/>
      <c r="Y343" s="921"/>
      <c r="Z343" s="921"/>
      <c r="AA343" s="921"/>
      <c r="AC343" s="919"/>
    </row>
    <row r="344" spans="5:29" x14ac:dyDescent="0.2">
      <c r="E344" s="918"/>
      <c r="M344" s="919"/>
      <c r="N344" s="918"/>
      <c r="O344" s="918"/>
      <c r="P344" s="918"/>
      <c r="Q344" s="920"/>
      <c r="R344" s="918"/>
      <c r="S344" s="918"/>
      <c r="T344" s="918"/>
      <c r="U344" s="918"/>
      <c r="V344" s="918"/>
      <c r="W344" s="918"/>
      <c r="X344" s="918"/>
      <c r="Y344" s="921"/>
      <c r="Z344" s="921"/>
      <c r="AA344" s="921"/>
      <c r="AC344" s="919"/>
    </row>
    <row r="345" spans="5:29" x14ac:dyDescent="0.2">
      <c r="E345" s="918"/>
      <c r="M345" s="919"/>
      <c r="N345" s="918"/>
      <c r="O345" s="918"/>
      <c r="P345" s="918"/>
      <c r="Q345" s="920"/>
      <c r="R345" s="918"/>
      <c r="S345" s="918"/>
      <c r="T345" s="918"/>
      <c r="U345" s="918"/>
      <c r="V345" s="918"/>
      <c r="W345" s="918"/>
      <c r="X345" s="918"/>
      <c r="Y345" s="921"/>
      <c r="Z345" s="921"/>
      <c r="AA345" s="921"/>
      <c r="AC345" s="919"/>
    </row>
    <row r="346" spans="5:29" x14ac:dyDescent="0.2">
      <c r="E346" s="918"/>
      <c r="M346" s="919"/>
      <c r="N346" s="918"/>
      <c r="O346" s="918"/>
      <c r="P346" s="918"/>
      <c r="Q346" s="920"/>
      <c r="R346" s="918"/>
      <c r="S346" s="918"/>
      <c r="T346" s="918"/>
      <c r="U346" s="918"/>
      <c r="V346" s="918"/>
      <c r="W346" s="918"/>
      <c r="X346" s="918"/>
      <c r="Y346" s="921"/>
      <c r="Z346" s="921"/>
      <c r="AA346" s="921"/>
      <c r="AC346" s="919"/>
    </row>
    <row r="347" spans="5:29" x14ac:dyDescent="0.2">
      <c r="E347" s="918"/>
      <c r="M347" s="919"/>
      <c r="N347" s="918"/>
      <c r="O347" s="918"/>
      <c r="P347" s="918"/>
      <c r="Q347" s="920"/>
      <c r="R347" s="918"/>
      <c r="S347" s="918"/>
      <c r="T347" s="918"/>
      <c r="U347" s="918"/>
      <c r="V347" s="918"/>
      <c r="W347" s="918"/>
      <c r="X347" s="918"/>
      <c r="Y347" s="921"/>
      <c r="Z347" s="921"/>
      <c r="AA347" s="921"/>
      <c r="AC347" s="919"/>
    </row>
    <row r="348" spans="5:29" x14ac:dyDescent="0.2">
      <c r="E348" s="918"/>
      <c r="M348" s="919"/>
      <c r="N348" s="918"/>
      <c r="O348" s="918"/>
      <c r="P348" s="918"/>
      <c r="Q348" s="920"/>
      <c r="R348" s="918"/>
      <c r="S348" s="918"/>
      <c r="T348" s="918"/>
      <c r="U348" s="918"/>
      <c r="V348" s="918"/>
      <c r="W348" s="918"/>
      <c r="X348" s="918"/>
      <c r="Y348" s="921"/>
      <c r="Z348" s="921"/>
      <c r="AA348" s="921"/>
      <c r="AC348" s="919"/>
    </row>
    <row r="349" spans="5:29" x14ac:dyDescent="0.2">
      <c r="E349" s="918"/>
      <c r="M349" s="919"/>
      <c r="N349" s="918"/>
      <c r="O349" s="918"/>
      <c r="P349" s="918"/>
      <c r="Q349" s="920"/>
      <c r="R349" s="918"/>
      <c r="S349" s="918"/>
      <c r="T349" s="918"/>
      <c r="U349" s="918"/>
      <c r="V349" s="918"/>
      <c r="W349" s="918"/>
      <c r="X349" s="918"/>
      <c r="Y349" s="921"/>
      <c r="Z349" s="921"/>
      <c r="AA349" s="921"/>
      <c r="AC349" s="919"/>
    </row>
    <row r="350" spans="5:29" x14ac:dyDescent="0.2">
      <c r="E350" s="918"/>
      <c r="M350" s="919"/>
      <c r="N350" s="918"/>
      <c r="O350" s="918"/>
      <c r="P350" s="918"/>
      <c r="Q350" s="920"/>
      <c r="R350" s="918"/>
      <c r="S350" s="918"/>
      <c r="T350" s="918"/>
      <c r="U350" s="918"/>
      <c r="V350" s="918"/>
      <c r="W350" s="918"/>
      <c r="X350" s="918"/>
      <c r="Y350" s="921"/>
      <c r="Z350" s="921"/>
      <c r="AA350" s="921"/>
      <c r="AC350" s="919"/>
    </row>
    <row r="351" spans="5:29" x14ac:dyDescent="0.2">
      <c r="E351" s="918"/>
      <c r="M351" s="919"/>
      <c r="N351" s="918"/>
      <c r="O351" s="918"/>
      <c r="P351" s="918"/>
      <c r="Q351" s="920"/>
      <c r="R351" s="918"/>
      <c r="S351" s="918"/>
      <c r="T351" s="918"/>
      <c r="U351" s="918"/>
      <c r="V351" s="918"/>
      <c r="W351" s="918"/>
      <c r="X351" s="918"/>
      <c r="Y351" s="921"/>
      <c r="Z351" s="921"/>
      <c r="AA351" s="921"/>
      <c r="AC351" s="919"/>
    </row>
    <row r="352" spans="5:29" x14ac:dyDescent="0.2">
      <c r="E352" s="918"/>
      <c r="M352" s="919"/>
      <c r="N352" s="918"/>
      <c r="O352" s="918"/>
      <c r="P352" s="918"/>
      <c r="Q352" s="920"/>
      <c r="R352" s="918"/>
      <c r="S352" s="918"/>
      <c r="T352" s="918"/>
      <c r="U352" s="918"/>
      <c r="V352" s="918"/>
      <c r="W352" s="918"/>
      <c r="X352" s="918"/>
      <c r="Y352" s="921"/>
      <c r="Z352" s="921"/>
      <c r="AA352" s="921"/>
      <c r="AC352" s="919"/>
    </row>
    <row r="353" spans="5:29" x14ac:dyDescent="0.2">
      <c r="E353" s="918"/>
      <c r="M353" s="919"/>
      <c r="N353" s="918"/>
      <c r="O353" s="918"/>
      <c r="P353" s="918"/>
      <c r="Q353" s="920"/>
      <c r="R353" s="918"/>
      <c r="S353" s="918"/>
      <c r="T353" s="918"/>
      <c r="U353" s="918"/>
      <c r="V353" s="918"/>
      <c r="W353" s="918"/>
      <c r="X353" s="918"/>
      <c r="Y353" s="921"/>
      <c r="Z353" s="921"/>
      <c r="AA353" s="921"/>
      <c r="AC353" s="919"/>
    </row>
    <row r="354" spans="5:29" x14ac:dyDescent="0.2">
      <c r="E354" s="918"/>
      <c r="M354" s="919"/>
      <c r="N354" s="918"/>
      <c r="O354" s="918"/>
      <c r="P354" s="918"/>
      <c r="Q354" s="920"/>
      <c r="R354" s="918"/>
      <c r="S354" s="918"/>
      <c r="T354" s="918"/>
      <c r="U354" s="918"/>
      <c r="V354" s="918"/>
      <c r="W354" s="918"/>
      <c r="X354" s="918"/>
      <c r="Y354" s="921"/>
      <c r="Z354" s="921"/>
      <c r="AA354" s="921"/>
      <c r="AC354" s="919"/>
    </row>
    <row r="355" spans="5:29" x14ac:dyDescent="0.2">
      <c r="E355" s="918"/>
      <c r="M355" s="919"/>
      <c r="N355" s="918"/>
      <c r="O355" s="918"/>
      <c r="P355" s="918"/>
      <c r="Q355" s="920"/>
      <c r="R355" s="918"/>
      <c r="S355" s="918"/>
      <c r="T355" s="918"/>
      <c r="U355" s="918"/>
      <c r="V355" s="918"/>
      <c r="W355" s="918"/>
      <c r="X355" s="918"/>
      <c r="Y355" s="921"/>
      <c r="Z355" s="921"/>
      <c r="AA355" s="921"/>
      <c r="AC355" s="919"/>
    </row>
    <row r="356" spans="5:29" x14ac:dyDescent="0.2">
      <c r="E356" s="918"/>
      <c r="M356" s="919"/>
      <c r="N356" s="918"/>
      <c r="O356" s="918"/>
      <c r="P356" s="918"/>
      <c r="Q356" s="920"/>
      <c r="R356" s="918"/>
      <c r="S356" s="918"/>
      <c r="T356" s="918"/>
      <c r="U356" s="918"/>
      <c r="V356" s="918"/>
      <c r="W356" s="918"/>
      <c r="X356" s="918"/>
      <c r="Y356" s="921"/>
      <c r="Z356" s="921"/>
      <c r="AA356" s="921"/>
      <c r="AC356" s="919"/>
    </row>
    <row r="357" spans="5:29" x14ac:dyDescent="0.2">
      <c r="E357" s="918"/>
      <c r="M357" s="919"/>
      <c r="N357" s="918"/>
      <c r="O357" s="918"/>
      <c r="P357" s="918"/>
      <c r="Q357" s="920"/>
      <c r="R357" s="918"/>
      <c r="S357" s="918"/>
      <c r="T357" s="918"/>
      <c r="U357" s="918"/>
      <c r="V357" s="918"/>
      <c r="W357" s="918"/>
      <c r="X357" s="918"/>
      <c r="Y357" s="921"/>
      <c r="Z357" s="921"/>
      <c r="AA357" s="921"/>
      <c r="AC357" s="919"/>
    </row>
    <row r="358" spans="5:29" x14ac:dyDescent="0.2">
      <c r="E358" s="918"/>
      <c r="M358" s="919"/>
      <c r="N358" s="918"/>
      <c r="O358" s="918"/>
      <c r="P358" s="918"/>
      <c r="Q358" s="920"/>
      <c r="R358" s="918"/>
      <c r="S358" s="918"/>
      <c r="T358" s="918"/>
      <c r="U358" s="918"/>
      <c r="V358" s="918"/>
      <c r="W358" s="918"/>
      <c r="X358" s="918"/>
      <c r="Y358" s="921"/>
      <c r="Z358" s="921"/>
      <c r="AA358" s="921"/>
      <c r="AC358" s="919"/>
    </row>
    <row r="359" spans="5:29" x14ac:dyDescent="0.2">
      <c r="E359" s="918"/>
      <c r="M359" s="919"/>
      <c r="N359" s="918"/>
      <c r="O359" s="918"/>
      <c r="P359" s="918"/>
      <c r="Q359" s="920"/>
      <c r="R359" s="918"/>
      <c r="S359" s="918"/>
      <c r="T359" s="918"/>
      <c r="U359" s="918"/>
      <c r="V359" s="918"/>
      <c r="W359" s="918"/>
      <c r="X359" s="918"/>
      <c r="Y359" s="921"/>
      <c r="Z359" s="921"/>
      <c r="AA359" s="921"/>
      <c r="AC359" s="919"/>
    </row>
    <row r="360" spans="5:29" x14ac:dyDescent="0.2">
      <c r="E360" s="918"/>
      <c r="M360" s="919"/>
      <c r="N360" s="918"/>
      <c r="O360" s="918"/>
      <c r="P360" s="918"/>
      <c r="Q360" s="920"/>
      <c r="R360" s="918"/>
      <c r="S360" s="918"/>
      <c r="T360" s="918"/>
      <c r="U360" s="918"/>
      <c r="V360" s="918"/>
      <c r="W360" s="918"/>
      <c r="X360" s="918"/>
      <c r="Y360" s="921"/>
      <c r="Z360" s="921"/>
      <c r="AA360" s="921"/>
      <c r="AC360" s="919"/>
    </row>
    <row r="361" spans="5:29" x14ac:dyDescent="0.2">
      <c r="E361" s="918"/>
      <c r="M361" s="919"/>
      <c r="N361" s="918"/>
      <c r="O361" s="918"/>
      <c r="P361" s="918"/>
      <c r="Q361" s="920"/>
      <c r="R361" s="918"/>
      <c r="S361" s="918"/>
      <c r="T361" s="918"/>
      <c r="U361" s="918"/>
      <c r="V361" s="918"/>
      <c r="W361" s="918"/>
      <c r="X361" s="918"/>
      <c r="Y361" s="921"/>
      <c r="Z361" s="921"/>
      <c r="AA361" s="921"/>
      <c r="AC361" s="919"/>
    </row>
    <row r="362" spans="5:29" x14ac:dyDescent="0.2">
      <c r="E362" s="918"/>
      <c r="M362" s="919"/>
      <c r="N362" s="918"/>
      <c r="O362" s="918"/>
      <c r="P362" s="918"/>
      <c r="Q362" s="920"/>
      <c r="R362" s="918"/>
      <c r="S362" s="918"/>
      <c r="T362" s="918"/>
      <c r="U362" s="918"/>
      <c r="V362" s="918"/>
      <c r="W362" s="918"/>
      <c r="X362" s="918"/>
      <c r="Y362" s="921"/>
      <c r="Z362" s="921"/>
      <c r="AA362" s="921"/>
      <c r="AC362" s="919"/>
    </row>
    <row r="363" spans="5:29" x14ac:dyDescent="0.2">
      <c r="E363" s="918"/>
      <c r="M363" s="919"/>
      <c r="N363" s="918"/>
      <c r="O363" s="918"/>
      <c r="P363" s="918"/>
      <c r="Q363" s="920"/>
      <c r="R363" s="918"/>
      <c r="S363" s="918"/>
      <c r="T363" s="918"/>
      <c r="U363" s="918"/>
      <c r="V363" s="918"/>
      <c r="W363" s="918"/>
      <c r="X363" s="918"/>
      <c r="Y363" s="921"/>
      <c r="Z363" s="921"/>
      <c r="AA363" s="921"/>
      <c r="AC363" s="919"/>
    </row>
    <row r="364" spans="5:29" x14ac:dyDescent="0.2">
      <c r="E364" s="918"/>
      <c r="M364" s="919"/>
      <c r="N364" s="918"/>
      <c r="O364" s="918"/>
      <c r="P364" s="918"/>
      <c r="Q364" s="920"/>
      <c r="R364" s="918"/>
      <c r="S364" s="918"/>
      <c r="T364" s="918"/>
      <c r="U364" s="918"/>
      <c r="V364" s="918"/>
      <c r="W364" s="918"/>
      <c r="X364" s="918"/>
      <c r="Y364" s="921"/>
      <c r="Z364" s="921"/>
      <c r="AA364" s="921"/>
      <c r="AC364" s="919"/>
    </row>
    <row r="365" spans="5:29" x14ac:dyDescent="0.2">
      <c r="E365" s="918"/>
      <c r="M365" s="919"/>
      <c r="N365" s="918"/>
      <c r="O365" s="918"/>
      <c r="P365" s="918"/>
      <c r="Q365" s="920"/>
      <c r="R365" s="918"/>
      <c r="S365" s="918"/>
      <c r="T365" s="918"/>
      <c r="U365" s="918"/>
      <c r="V365" s="918"/>
      <c r="W365" s="918"/>
      <c r="X365" s="918"/>
      <c r="Y365" s="921"/>
      <c r="Z365" s="921"/>
      <c r="AA365" s="921"/>
      <c r="AC365" s="919"/>
    </row>
    <row r="366" spans="5:29" x14ac:dyDescent="0.2">
      <c r="E366" s="918"/>
      <c r="M366" s="919"/>
      <c r="N366" s="918"/>
      <c r="O366" s="918"/>
      <c r="P366" s="918"/>
      <c r="Q366" s="920"/>
      <c r="R366" s="918"/>
      <c r="S366" s="918"/>
      <c r="T366" s="918"/>
      <c r="U366" s="918"/>
      <c r="V366" s="918"/>
      <c r="W366" s="918"/>
      <c r="X366" s="918"/>
      <c r="Y366" s="921"/>
      <c r="Z366" s="921"/>
      <c r="AA366" s="921"/>
      <c r="AC366" s="919"/>
    </row>
    <row r="367" spans="5:29" x14ac:dyDescent="0.2">
      <c r="E367" s="918"/>
      <c r="M367" s="919"/>
      <c r="N367" s="918"/>
      <c r="O367" s="918"/>
      <c r="P367" s="918"/>
      <c r="Q367" s="920"/>
      <c r="R367" s="918"/>
      <c r="S367" s="918"/>
      <c r="T367" s="918"/>
      <c r="U367" s="918"/>
      <c r="V367" s="918"/>
      <c r="W367" s="918"/>
      <c r="X367" s="918"/>
      <c r="Y367" s="921"/>
      <c r="Z367" s="921"/>
      <c r="AA367" s="921"/>
      <c r="AC367" s="919"/>
    </row>
    <row r="368" spans="5:29" x14ac:dyDescent="0.2">
      <c r="E368" s="918"/>
      <c r="M368" s="919"/>
      <c r="N368" s="918"/>
      <c r="O368" s="918"/>
      <c r="P368" s="918"/>
      <c r="Q368" s="920"/>
      <c r="R368" s="918"/>
      <c r="S368" s="918"/>
      <c r="T368" s="918"/>
      <c r="U368" s="918"/>
      <c r="V368" s="918"/>
      <c r="W368" s="918"/>
      <c r="X368" s="918"/>
      <c r="Y368" s="921"/>
      <c r="Z368" s="921"/>
      <c r="AA368" s="921"/>
      <c r="AC368" s="919"/>
    </row>
    <row r="369" spans="5:29" x14ac:dyDescent="0.2">
      <c r="E369" s="918"/>
      <c r="M369" s="919"/>
      <c r="N369" s="918"/>
      <c r="O369" s="918"/>
      <c r="P369" s="918"/>
      <c r="Q369" s="920"/>
      <c r="R369" s="918"/>
      <c r="S369" s="918"/>
      <c r="T369" s="918"/>
      <c r="U369" s="918"/>
      <c r="V369" s="918"/>
      <c r="W369" s="918"/>
      <c r="X369" s="918"/>
      <c r="Y369" s="921"/>
      <c r="Z369" s="921"/>
      <c r="AA369" s="921"/>
      <c r="AC369" s="919"/>
    </row>
    <row r="370" spans="5:29" x14ac:dyDescent="0.2">
      <c r="E370" s="918"/>
      <c r="M370" s="919"/>
      <c r="N370" s="918"/>
      <c r="O370" s="918"/>
      <c r="P370" s="918"/>
      <c r="Q370" s="920"/>
      <c r="R370" s="918"/>
      <c r="S370" s="918"/>
      <c r="T370" s="918"/>
      <c r="U370" s="918"/>
      <c r="V370" s="918"/>
      <c r="W370" s="918"/>
      <c r="X370" s="918"/>
      <c r="Y370" s="921"/>
      <c r="Z370" s="921"/>
      <c r="AA370" s="921"/>
      <c r="AC370" s="919"/>
    </row>
    <row r="371" spans="5:29" x14ac:dyDescent="0.2">
      <c r="E371" s="918"/>
      <c r="M371" s="919"/>
      <c r="N371" s="918"/>
      <c r="O371" s="918"/>
      <c r="P371" s="918"/>
      <c r="Q371" s="920"/>
      <c r="R371" s="918"/>
      <c r="S371" s="918"/>
      <c r="T371" s="918"/>
      <c r="U371" s="918"/>
      <c r="V371" s="918"/>
      <c r="W371" s="918"/>
      <c r="X371" s="918"/>
      <c r="Y371" s="921"/>
      <c r="Z371" s="921"/>
      <c r="AA371" s="921"/>
      <c r="AC371" s="919"/>
    </row>
    <row r="372" spans="5:29" x14ac:dyDescent="0.2">
      <c r="E372" s="918"/>
      <c r="M372" s="919"/>
      <c r="N372" s="918"/>
      <c r="O372" s="918"/>
      <c r="P372" s="918"/>
      <c r="Q372" s="920"/>
      <c r="R372" s="918"/>
      <c r="S372" s="918"/>
      <c r="T372" s="918"/>
      <c r="U372" s="918"/>
      <c r="V372" s="918"/>
      <c r="W372" s="918"/>
      <c r="X372" s="918"/>
      <c r="Y372" s="921"/>
      <c r="Z372" s="921"/>
      <c r="AA372" s="921"/>
      <c r="AC372" s="919"/>
    </row>
    <row r="373" spans="5:29" x14ac:dyDescent="0.2">
      <c r="E373" s="918"/>
      <c r="M373" s="919"/>
      <c r="N373" s="918"/>
      <c r="O373" s="918"/>
      <c r="P373" s="918"/>
      <c r="Q373" s="920"/>
      <c r="R373" s="918"/>
      <c r="S373" s="918"/>
      <c r="T373" s="918"/>
      <c r="U373" s="918"/>
      <c r="V373" s="918"/>
      <c r="W373" s="918"/>
      <c r="X373" s="918"/>
      <c r="Y373" s="921"/>
      <c r="Z373" s="921"/>
      <c r="AA373" s="921"/>
      <c r="AC373" s="919"/>
    </row>
    <row r="374" spans="5:29" x14ac:dyDescent="0.2">
      <c r="E374" s="918"/>
      <c r="M374" s="919"/>
      <c r="N374" s="918"/>
      <c r="O374" s="918"/>
      <c r="P374" s="918"/>
      <c r="Q374" s="920"/>
      <c r="R374" s="918"/>
      <c r="S374" s="918"/>
      <c r="T374" s="918"/>
      <c r="U374" s="918"/>
      <c r="V374" s="918"/>
      <c r="W374" s="918"/>
      <c r="X374" s="918"/>
      <c r="Y374" s="921"/>
      <c r="Z374" s="921"/>
      <c r="AA374" s="921"/>
      <c r="AC374" s="919"/>
    </row>
    <row r="375" spans="5:29" x14ac:dyDescent="0.2">
      <c r="E375" s="918"/>
      <c r="M375" s="919"/>
      <c r="N375" s="918"/>
      <c r="O375" s="918"/>
      <c r="P375" s="918"/>
      <c r="Q375" s="920"/>
      <c r="R375" s="918"/>
      <c r="S375" s="918"/>
      <c r="T375" s="918"/>
      <c r="U375" s="918"/>
      <c r="V375" s="918"/>
      <c r="W375" s="918"/>
      <c r="X375" s="918"/>
      <c r="Y375" s="921"/>
      <c r="Z375" s="921"/>
      <c r="AA375" s="921"/>
      <c r="AC375" s="919"/>
    </row>
    <row r="376" spans="5:29" x14ac:dyDescent="0.2">
      <c r="E376" s="918"/>
      <c r="M376" s="919"/>
      <c r="N376" s="918"/>
      <c r="O376" s="918"/>
      <c r="P376" s="918"/>
      <c r="Q376" s="920"/>
      <c r="R376" s="918"/>
      <c r="S376" s="918"/>
      <c r="T376" s="918"/>
      <c r="U376" s="918"/>
      <c r="V376" s="918"/>
      <c r="W376" s="918"/>
      <c r="X376" s="918"/>
      <c r="Y376" s="921"/>
      <c r="Z376" s="921"/>
      <c r="AA376" s="921"/>
      <c r="AC376" s="919"/>
    </row>
    <row r="377" spans="5:29" x14ac:dyDescent="0.2">
      <c r="E377" s="918"/>
      <c r="M377" s="919"/>
      <c r="N377" s="918"/>
      <c r="O377" s="918"/>
      <c r="P377" s="918"/>
      <c r="Q377" s="920"/>
      <c r="R377" s="918"/>
      <c r="S377" s="918"/>
      <c r="T377" s="918"/>
      <c r="U377" s="918"/>
      <c r="V377" s="918"/>
      <c r="W377" s="918"/>
      <c r="X377" s="918"/>
      <c r="Y377" s="921"/>
      <c r="Z377" s="921"/>
      <c r="AA377" s="921"/>
      <c r="AC377" s="919"/>
    </row>
    <row r="378" spans="5:29" x14ac:dyDescent="0.2">
      <c r="E378" s="918"/>
      <c r="M378" s="919"/>
      <c r="N378" s="918"/>
      <c r="O378" s="918"/>
      <c r="P378" s="918"/>
      <c r="Q378" s="920"/>
      <c r="R378" s="918"/>
      <c r="S378" s="918"/>
      <c r="T378" s="918"/>
      <c r="U378" s="918"/>
      <c r="V378" s="918"/>
      <c r="W378" s="918"/>
      <c r="X378" s="918"/>
      <c r="Y378" s="921"/>
      <c r="Z378" s="921"/>
      <c r="AA378" s="921"/>
      <c r="AC378" s="919"/>
    </row>
    <row r="379" spans="5:29" x14ac:dyDescent="0.2">
      <c r="E379" s="918"/>
      <c r="M379" s="919"/>
      <c r="N379" s="918"/>
      <c r="O379" s="918"/>
      <c r="P379" s="918"/>
      <c r="Q379" s="920"/>
      <c r="R379" s="918"/>
      <c r="S379" s="918"/>
      <c r="T379" s="918"/>
      <c r="U379" s="918"/>
      <c r="V379" s="918"/>
      <c r="W379" s="918"/>
      <c r="X379" s="918"/>
      <c r="Y379" s="921"/>
      <c r="Z379" s="921"/>
      <c r="AA379" s="921"/>
      <c r="AC379" s="919"/>
    </row>
    <row r="380" spans="5:29" x14ac:dyDescent="0.2">
      <c r="E380" s="918"/>
      <c r="M380" s="919"/>
      <c r="N380" s="918"/>
      <c r="O380" s="918"/>
      <c r="P380" s="918"/>
      <c r="Q380" s="920"/>
      <c r="R380" s="918"/>
      <c r="S380" s="918"/>
      <c r="T380" s="918"/>
      <c r="U380" s="918"/>
      <c r="V380" s="918"/>
      <c r="W380" s="918"/>
      <c r="X380" s="918"/>
      <c r="Y380" s="921"/>
      <c r="Z380" s="921"/>
      <c r="AA380" s="921"/>
      <c r="AC380" s="919"/>
    </row>
    <row r="381" spans="5:29" x14ac:dyDescent="0.2">
      <c r="E381" s="918"/>
      <c r="M381" s="919"/>
      <c r="N381" s="918"/>
      <c r="O381" s="918"/>
      <c r="P381" s="918"/>
      <c r="Q381" s="920"/>
      <c r="R381" s="918"/>
      <c r="S381" s="918"/>
      <c r="T381" s="918"/>
      <c r="U381" s="918"/>
      <c r="V381" s="918"/>
      <c r="W381" s="918"/>
      <c r="X381" s="918"/>
      <c r="Y381" s="921"/>
      <c r="Z381" s="921"/>
      <c r="AA381" s="921"/>
      <c r="AC381" s="919"/>
    </row>
    <row r="382" spans="5:29" x14ac:dyDescent="0.2">
      <c r="E382" s="918"/>
      <c r="M382" s="919"/>
      <c r="N382" s="918"/>
      <c r="O382" s="918"/>
      <c r="P382" s="918"/>
      <c r="Q382" s="920"/>
      <c r="R382" s="918"/>
      <c r="S382" s="918"/>
      <c r="T382" s="918"/>
      <c r="U382" s="918"/>
      <c r="V382" s="918"/>
      <c r="W382" s="918"/>
      <c r="X382" s="918"/>
      <c r="Y382" s="921"/>
      <c r="Z382" s="921"/>
      <c r="AA382" s="921"/>
      <c r="AC382" s="919"/>
    </row>
    <row r="383" spans="5:29" x14ac:dyDescent="0.2">
      <c r="E383" s="918"/>
      <c r="M383" s="919"/>
      <c r="N383" s="918"/>
      <c r="O383" s="918"/>
      <c r="P383" s="918"/>
      <c r="Q383" s="920"/>
      <c r="R383" s="918"/>
      <c r="S383" s="918"/>
      <c r="T383" s="918"/>
      <c r="U383" s="918"/>
      <c r="V383" s="918"/>
      <c r="W383" s="918"/>
      <c r="X383" s="918"/>
      <c r="Y383" s="921"/>
      <c r="Z383" s="921"/>
      <c r="AA383" s="921"/>
      <c r="AC383" s="919"/>
    </row>
    <row r="384" spans="5:29" x14ac:dyDescent="0.2">
      <c r="E384" s="918"/>
      <c r="M384" s="919"/>
      <c r="N384" s="918"/>
      <c r="O384" s="918"/>
      <c r="P384" s="918"/>
      <c r="Q384" s="920"/>
      <c r="R384" s="918"/>
      <c r="S384" s="918"/>
      <c r="T384" s="918"/>
      <c r="U384" s="918"/>
      <c r="V384" s="918"/>
      <c r="W384" s="918"/>
      <c r="X384" s="918"/>
      <c r="Y384" s="921"/>
      <c r="Z384" s="921"/>
      <c r="AA384" s="921"/>
      <c r="AC384" s="919"/>
    </row>
    <row r="385" spans="5:29" x14ac:dyDescent="0.2">
      <c r="E385" s="918"/>
      <c r="M385" s="919"/>
      <c r="N385" s="918"/>
      <c r="O385" s="918"/>
      <c r="P385" s="918"/>
      <c r="Q385" s="920"/>
      <c r="R385" s="918"/>
      <c r="S385" s="918"/>
      <c r="T385" s="918"/>
      <c r="U385" s="918"/>
      <c r="V385" s="918"/>
      <c r="W385" s="918"/>
      <c r="X385" s="918"/>
      <c r="Y385" s="921"/>
      <c r="Z385" s="921"/>
      <c r="AA385" s="921"/>
      <c r="AC385" s="919"/>
    </row>
    <row r="386" spans="5:29" x14ac:dyDescent="0.2">
      <c r="E386" s="918"/>
      <c r="M386" s="919"/>
      <c r="N386" s="918"/>
      <c r="O386" s="918"/>
      <c r="P386" s="918"/>
      <c r="Q386" s="920"/>
      <c r="R386" s="918"/>
      <c r="S386" s="918"/>
      <c r="T386" s="918"/>
      <c r="U386" s="918"/>
      <c r="V386" s="918"/>
      <c r="W386" s="918"/>
      <c r="X386" s="918"/>
      <c r="Y386" s="921"/>
      <c r="Z386" s="921"/>
      <c r="AA386" s="921"/>
      <c r="AC386" s="919"/>
    </row>
    <row r="387" spans="5:29" x14ac:dyDescent="0.2">
      <c r="E387" s="918"/>
      <c r="M387" s="919"/>
      <c r="N387" s="918"/>
      <c r="O387" s="918"/>
      <c r="P387" s="918"/>
      <c r="Q387" s="920"/>
      <c r="R387" s="918"/>
      <c r="S387" s="918"/>
      <c r="T387" s="918"/>
      <c r="U387" s="918"/>
      <c r="V387" s="918"/>
      <c r="W387" s="918"/>
      <c r="X387" s="918"/>
      <c r="Y387" s="921"/>
      <c r="Z387" s="921"/>
      <c r="AA387" s="921"/>
      <c r="AC387" s="919"/>
    </row>
    <row r="388" spans="5:29" x14ac:dyDescent="0.2">
      <c r="E388" s="918"/>
      <c r="M388" s="919"/>
      <c r="N388" s="918"/>
      <c r="O388" s="918"/>
      <c r="P388" s="918"/>
      <c r="Q388" s="920"/>
      <c r="R388" s="918"/>
      <c r="S388" s="918"/>
      <c r="T388" s="918"/>
      <c r="U388" s="918"/>
      <c r="V388" s="918"/>
      <c r="W388" s="918"/>
      <c r="X388" s="918"/>
      <c r="Y388" s="921"/>
      <c r="Z388" s="921"/>
      <c r="AA388" s="921"/>
      <c r="AC388" s="919"/>
    </row>
    <row r="389" spans="5:29" x14ac:dyDescent="0.2">
      <c r="E389" s="918"/>
      <c r="M389" s="919"/>
      <c r="N389" s="918"/>
      <c r="O389" s="918"/>
      <c r="P389" s="918"/>
      <c r="Q389" s="920"/>
      <c r="R389" s="918"/>
      <c r="S389" s="918"/>
      <c r="T389" s="918"/>
      <c r="U389" s="918"/>
      <c r="V389" s="918"/>
      <c r="W389" s="918"/>
      <c r="X389" s="918"/>
      <c r="Y389" s="921"/>
      <c r="Z389" s="921"/>
      <c r="AA389" s="921"/>
      <c r="AC389" s="919"/>
    </row>
    <row r="390" spans="5:29" x14ac:dyDescent="0.2">
      <c r="E390" s="918"/>
      <c r="M390" s="919"/>
      <c r="N390" s="918"/>
      <c r="O390" s="918"/>
      <c r="P390" s="918"/>
      <c r="Q390" s="920"/>
      <c r="R390" s="918"/>
      <c r="S390" s="918"/>
      <c r="T390" s="918"/>
      <c r="U390" s="918"/>
      <c r="V390" s="918"/>
      <c r="W390" s="918"/>
      <c r="X390" s="918"/>
      <c r="Y390" s="921"/>
      <c r="Z390" s="921"/>
      <c r="AA390" s="921"/>
      <c r="AC390" s="919"/>
    </row>
    <row r="391" spans="5:29" x14ac:dyDescent="0.2">
      <c r="E391" s="918"/>
      <c r="M391" s="919"/>
      <c r="N391" s="918"/>
      <c r="O391" s="918"/>
      <c r="P391" s="918"/>
      <c r="Q391" s="920"/>
      <c r="R391" s="918"/>
      <c r="S391" s="918"/>
      <c r="T391" s="918"/>
      <c r="U391" s="918"/>
      <c r="V391" s="918"/>
      <c r="W391" s="918"/>
      <c r="X391" s="918"/>
      <c r="Y391" s="921"/>
      <c r="Z391" s="921"/>
      <c r="AA391" s="921"/>
      <c r="AC391" s="919"/>
    </row>
    <row r="392" spans="5:29" x14ac:dyDescent="0.2">
      <c r="E392" s="918"/>
      <c r="M392" s="919"/>
      <c r="N392" s="918"/>
      <c r="O392" s="918"/>
      <c r="P392" s="918"/>
      <c r="Q392" s="920"/>
      <c r="R392" s="918"/>
      <c r="S392" s="918"/>
      <c r="T392" s="918"/>
      <c r="U392" s="918"/>
      <c r="V392" s="918"/>
      <c r="W392" s="918"/>
      <c r="X392" s="918"/>
      <c r="Y392" s="921"/>
      <c r="Z392" s="921"/>
      <c r="AA392" s="921"/>
      <c r="AC392" s="919"/>
    </row>
    <row r="393" spans="5:29" x14ac:dyDescent="0.2">
      <c r="E393" s="918"/>
      <c r="M393" s="919"/>
      <c r="N393" s="918"/>
      <c r="O393" s="918"/>
      <c r="P393" s="918"/>
      <c r="Q393" s="920"/>
      <c r="R393" s="918"/>
      <c r="S393" s="918"/>
      <c r="T393" s="918"/>
      <c r="U393" s="918"/>
      <c r="V393" s="918"/>
      <c r="W393" s="918"/>
      <c r="X393" s="918"/>
      <c r="Y393" s="921"/>
      <c r="Z393" s="921"/>
      <c r="AA393" s="921"/>
      <c r="AC393" s="919"/>
    </row>
    <row r="394" spans="5:29" x14ac:dyDescent="0.2">
      <c r="E394" s="918"/>
      <c r="M394" s="919"/>
      <c r="N394" s="918"/>
      <c r="O394" s="918"/>
      <c r="P394" s="918"/>
      <c r="Q394" s="920"/>
      <c r="R394" s="918"/>
      <c r="S394" s="918"/>
      <c r="T394" s="918"/>
      <c r="U394" s="918"/>
      <c r="V394" s="918"/>
      <c r="W394" s="918"/>
      <c r="X394" s="918"/>
      <c r="Y394" s="921"/>
      <c r="Z394" s="921"/>
      <c r="AA394" s="921"/>
      <c r="AC394" s="919"/>
    </row>
    <row r="395" spans="5:29" x14ac:dyDescent="0.2">
      <c r="E395" s="918"/>
      <c r="M395" s="919"/>
      <c r="N395" s="918"/>
      <c r="O395" s="918"/>
      <c r="P395" s="918"/>
      <c r="Q395" s="920"/>
      <c r="R395" s="918"/>
      <c r="S395" s="918"/>
      <c r="T395" s="918"/>
      <c r="U395" s="918"/>
      <c r="V395" s="918"/>
      <c r="W395" s="918"/>
      <c r="X395" s="918"/>
      <c r="Y395" s="921"/>
      <c r="Z395" s="921"/>
      <c r="AA395" s="921"/>
      <c r="AC395" s="919"/>
    </row>
    <row r="396" spans="5:29" x14ac:dyDescent="0.2">
      <c r="E396" s="918"/>
      <c r="M396" s="919"/>
      <c r="N396" s="918"/>
      <c r="O396" s="918"/>
      <c r="P396" s="918"/>
      <c r="Q396" s="920"/>
      <c r="R396" s="918"/>
      <c r="S396" s="918"/>
      <c r="T396" s="918"/>
      <c r="U396" s="918"/>
      <c r="V396" s="918"/>
      <c r="W396" s="918"/>
      <c r="X396" s="918"/>
      <c r="Y396" s="921"/>
      <c r="Z396" s="921"/>
      <c r="AA396" s="921"/>
      <c r="AC396" s="919"/>
    </row>
    <row r="397" spans="5:29" x14ac:dyDescent="0.2">
      <c r="E397" s="918"/>
      <c r="M397" s="919"/>
      <c r="N397" s="918"/>
      <c r="O397" s="918"/>
      <c r="P397" s="918"/>
      <c r="Q397" s="920"/>
      <c r="R397" s="918"/>
      <c r="S397" s="918"/>
      <c r="T397" s="918"/>
      <c r="U397" s="918"/>
      <c r="V397" s="918"/>
      <c r="W397" s="918"/>
      <c r="X397" s="918"/>
      <c r="Y397" s="921"/>
      <c r="Z397" s="921"/>
      <c r="AA397" s="921"/>
      <c r="AC397" s="919"/>
    </row>
    <row r="398" spans="5:29" x14ac:dyDescent="0.2">
      <c r="E398" s="918"/>
      <c r="M398" s="919"/>
      <c r="N398" s="918"/>
      <c r="O398" s="918"/>
      <c r="P398" s="918"/>
      <c r="Q398" s="920"/>
      <c r="R398" s="918"/>
      <c r="S398" s="918"/>
      <c r="T398" s="918"/>
      <c r="U398" s="918"/>
      <c r="V398" s="918"/>
      <c r="W398" s="918"/>
      <c r="X398" s="918"/>
      <c r="Y398" s="921"/>
      <c r="Z398" s="921"/>
      <c r="AA398" s="921"/>
      <c r="AC398" s="919"/>
    </row>
    <row r="399" spans="5:29" x14ac:dyDescent="0.2">
      <c r="E399" s="918"/>
      <c r="M399" s="919"/>
      <c r="N399" s="918"/>
      <c r="O399" s="918"/>
      <c r="P399" s="918"/>
      <c r="Q399" s="920"/>
      <c r="R399" s="918"/>
      <c r="S399" s="918"/>
      <c r="T399" s="918"/>
      <c r="U399" s="918"/>
      <c r="V399" s="918"/>
      <c r="W399" s="918"/>
      <c r="X399" s="918"/>
      <c r="Y399" s="921"/>
      <c r="Z399" s="921"/>
      <c r="AA399" s="921"/>
      <c r="AC399" s="919"/>
    </row>
    <row r="400" spans="5:29" x14ac:dyDescent="0.2">
      <c r="E400" s="918"/>
      <c r="M400" s="919"/>
      <c r="N400" s="918"/>
      <c r="O400" s="918"/>
      <c r="P400" s="918"/>
      <c r="Q400" s="920"/>
      <c r="R400" s="918"/>
      <c r="S400" s="918"/>
      <c r="T400" s="918"/>
      <c r="U400" s="918"/>
      <c r="V400" s="918"/>
      <c r="W400" s="918"/>
      <c r="X400" s="918"/>
      <c r="Y400" s="921"/>
      <c r="Z400" s="921"/>
      <c r="AA400" s="921"/>
      <c r="AC400" s="919"/>
    </row>
    <row r="401" spans="5:29" x14ac:dyDescent="0.2">
      <c r="E401" s="918"/>
      <c r="M401" s="919"/>
      <c r="N401" s="918"/>
      <c r="O401" s="918"/>
      <c r="P401" s="918"/>
      <c r="Q401" s="920"/>
      <c r="R401" s="918"/>
      <c r="S401" s="918"/>
      <c r="T401" s="918"/>
      <c r="U401" s="918"/>
      <c r="V401" s="918"/>
      <c r="W401" s="918"/>
      <c r="X401" s="918"/>
      <c r="Y401" s="921"/>
      <c r="Z401" s="921"/>
      <c r="AA401" s="921"/>
      <c r="AC401" s="919"/>
    </row>
    <row r="402" spans="5:29" x14ac:dyDescent="0.2">
      <c r="E402" s="918"/>
      <c r="M402" s="919"/>
      <c r="N402" s="918"/>
      <c r="O402" s="918"/>
      <c r="P402" s="918"/>
      <c r="Q402" s="920"/>
      <c r="R402" s="918"/>
      <c r="S402" s="918"/>
      <c r="T402" s="918"/>
      <c r="U402" s="918"/>
      <c r="V402" s="918"/>
      <c r="W402" s="918"/>
      <c r="X402" s="918"/>
      <c r="Y402" s="921"/>
      <c r="Z402" s="921"/>
      <c r="AA402" s="921"/>
      <c r="AC402" s="919"/>
    </row>
    <row r="403" spans="5:29" x14ac:dyDescent="0.2">
      <c r="E403" s="918"/>
      <c r="M403" s="919"/>
      <c r="N403" s="918"/>
      <c r="O403" s="918"/>
      <c r="P403" s="918"/>
      <c r="Q403" s="920"/>
      <c r="R403" s="918"/>
      <c r="S403" s="918"/>
      <c r="T403" s="918"/>
      <c r="U403" s="918"/>
      <c r="V403" s="918"/>
      <c r="W403" s="918"/>
      <c r="X403" s="918"/>
      <c r="Y403" s="921"/>
      <c r="Z403" s="921"/>
      <c r="AA403" s="921"/>
      <c r="AC403" s="919"/>
    </row>
    <row r="404" spans="5:29" x14ac:dyDescent="0.2">
      <c r="E404" s="918"/>
      <c r="M404" s="919"/>
      <c r="N404" s="918"/>
      <c r="O404" s="918"/>
      <c r="P404" s="918"/>
      <c r="Q404" s="920"/>
      <c r="R404" s="918"/>
      <c r="S404" s="918"/>
      <c r="T404" s="918"/>
      <c r="U404" s="918"/>
      <c r="V404" s="918"/>
      <c r="W404" s="918"/>
      <c r="X404" s="918"/>
      <c r="Y404" s="921"/>
      <c r="Z404" s="921"/>
      <c r="AA404" s="921"/>
      <c r="AC404" s="919"/>
    </row>
    <row r="405" spans="5:29" x14ac:dyDescent="0.2">
      <c r="E405" s="918"/>
      <c r="M405" s="919"/>
      <c r="N405" s="918"/>
      <c r="O405" s="918"/>
      <c r="P405" s="918"/>
      <c r="Q405" s="920"/>
      <c r="R405" s="918"/>
      <c r="S405" s="918"/>
      <c r="T405" s="918"/>
      <c r="U405" s="918"/>
      <c r="V405" s="918"/>
      <c r="W405" s="918"/>
      <c r="X405" s="918"/>
      <c r="Y405" s="921"/>
      <c r="Z405" s="921"/>
      <c r="AA405" s="921"/>
      <c r="AC405" s="919"/>
    </row>
    <row r="406" spans="5:29" x14ac:dyDescent="0.2">
      <c r="E406" s="918"/>
      <c r="M406" s="919"/>
      <c r="N406" s="918"/>
      <c r="O406" s="918"/>
      <c r="P406" s="918"/>
      <c r="Q406" s="920"/>
      <c r="R406" s="918"/>
      <c r="S406" s="918"/>
      <c r="T406" s="918"/>
      <c r="U406" s="918"/>
      <c r="V406" s="918"/>
      <c r="W406" s="918"/>
      <c r="X406" s="918"/>
      <c r="Y406" s="921"/>
      <c r="Z406" s="921"/>
      <c r="AA406" s="921"/>
      <c r="AC406" s="919"/>
    </row>
    <row r="407" spans="5:29" x14ac:dyDescent="0.2">
      <c r="E407" s="918"/>
      <c r="M407" s="919"/>
      <c r="N407" s="918"/>
      <c r="O407" s="918"/>
      <c r="P407" s="918"/>
      <c r="Q407" s="920"/>
      <c r="R407" s="918"/>
      <c r="S407" s="918"/>
      <c r="T407" s="918"/>
      <c r="U407" s="918"/>
      <c r="V407" s="918"/>
      <c r="W407" s="918"/>
      <c r="X407" s="918"/>
      <c r="Y407" s="921"/>
      <c r="Z407" s="921"/>
      <c r="AA407" s="921"/>
      <c r="AC407" s="919"/>
    </row>
    <row r="408" spans="5:29" x14ac:dyDescent="0.2">
      <c r="E408" s="918"/>
      <c r="M408" s="919"/>
      <c r="N408" s="918"/>
      <c r="O408" s="918"/>
      <c r="P408" s="918"/>
      <c r="Q408" s="920"/>
      <c r="R408" s="918"/>
      <c r="S408" s="918"/>
      <c r="T408" s="918"/>
      <c r="U408" s="918"/>
      <c r="V408" s="918"/>
      <c r="W408" s="918"/>
      <c r="X408" s="918"/>
      <c r="Y408" s="921"/>
      <c r="Z408" s="921"/>
      <c r="AA408" s="921"/>
      <c r="AC408" s="919"/>
    </row>
    <row r="409" spans="5:29" x14ac:dyDescent="0.2">
      <c r="E409" s="918"/>
      <c r="M409" s="919"/>
      <c r="N409" s="918"/>
      <c r="O409" s="918"/>
      <c r="P409" s="918"/>
      <c r="Q409" s="920"/>
      <c r="R409" s="918"/>
      <c r="S409" s="918"/>
      <c r="T409" s="918"/>
      <c r="U409" s="918"/>
      <c r="V409" s="918"/>
      <c r="W409" s="918"/>
      <c r="X409" s="918"/>
      <c r="Y409" s="921"/>
      <c r="Z409" s="921"/>
      <c r="AA409" s="921"/>
      <c r="AC409" s="919"/>
    </row>
    <row r="410" spans="5:29" x14ac:dyDescent="0.2">
      <c r="E410" s="918"/>
      <c r="M410" s="919"/>
      <c r="N410" s="918"/>
      <c r="O410" s="918"/>
      <c r="P410" s="918"/>
      <c r="Q410" s="920"/>
      <c r="R410" s="918"/>
      <c r="S410" s="918"/>
      <c r="T410" s="918"/>
      <c r="U410" s="918"/>
      <c r="V410" s="918"/>
      <c r="W410" s="918"/>
      <c r="X410" s="918"/>
      <c r="Y410" s="921"/>
      <c r="Z410" s="921"/>
      <c r="AA410" s="921"/>
      <c r="AC410" s="919"/>
    </row>
    <row r="411" spans="5:29" x14ac:dyDescent="0.2">
      <c r="E411" s="918"/>
      <c r="M411" s="919"/>
      <c r="N411" s="918"/>
      <c r="O411" s="918"/>
      <c r="P411" s="918"/>
      <c r="Q411" s="920"/>
      <c r="R411" s="918"/>
      <c r="S411" s="918"/>
      <c r="T411" s="918"/>
      <c r="U411" s="918"/>
      <c r="V411" s="918"/>
      <c r="W411" s="918"/>
      <c r="X411" s="918"/>
      <c r="Y411" s="921"/>
      <c r="Z411" s="921"/>
      <c r="AA411" s="921"/>
      <c r="AC411" s="919"/>
    </row>
    <row r="412" spans="5:29" x14ac:dyDescent="0.2">
      <c r="E412" s="918"/>
      <c r="M412" s="919"/>
      <c r="N412" s="918"/>
      <c r="O412" s="918"/>
      <c r="P412" s="918"/>
      <c r="Q412" s="920"/>
      <c r="R412" s="918"/>
      <c r="S412" s="918"/>
      <c r="T412" s="918"/>
      <c r="U412" s="918"/>
      <c r="V412" s="918"/>
      <c r="W412" s="918"/>
      <c r="X412" s="918"/>
      <c r="Y412" s="921"/>
      <c r="Z412" s="921"/>
      <c r="AA412" s="921"/>
      <c r="AC412" s="919"/>
    </row>
    <row r="413" spans="5:29" x14ac:dyDescent="0.2">
      <c r="E413" s="918"/>
      <c r="M413" s="919"/>
      <c r="N413" s="918"/>
      <c r="O413" s="918"/>
      <c r="P413" s="918"/>
      <c r="Q413" s="920"/>
      <c r="R413" s="918"/>
      <c r="S413" s="918"/>
      <c r="T413" s="918"/>
      <c r="U413" s="918"/>
      <c r="V413" s="918"/>
      <c r="W413" s="918"/>
      <c r="X413" s="918"/>
      <c r="Y413" s="921"/>
      <c r="Z413" s="921"/>
      <c r="AA413" s="921"/>
      <c r="AC413" s="919"/>
    </row>
    <row r="414" spans="5:29" x14ac:dyDescent="0.2">
      <c r="E414" s="918"/>
      <c r="M414" s="919"/>
      <c r="N414" s="918"/>
      <c r="O414" s="918"/>
      <c r="P414" s="918"/>
      <c r="Q414" s="920"/>
      <c r="R414" s="918"/>
      <c r="S414" s="918"/>
      <c r="T414" s="918"/>
      <c r="U414" s="918"/>
      <c r="V414" s="918"/>
      <c r="W414" s="918"/>
      <c r="X414" s="918"/>
      <c r="Y414" s="921"/>
      <c r="Z414" s="921"/>
      <c r="AA414" s="921"/>
      <c r="AC414" s="919"/>
    </row>
    <row r="415" spans="5:29" x14ac:dyDescent="0.2">
      <c r="E415" s="918"/>
      <c r="M415" s="919"/>
      <c r="N415" s="918"/>
      <c r="O415" s="918"/>
      <c r="P415" s="918"/>
      <c r="Q415" s="920"/>
      <c r="R415" s="918"/>
      <c r="S415" s="918"/>
      <c r="T415" s="918"/>
      <c r="U415" s="918"/>
      <c r="V415" s="918"/>
      <c r="W415" s="918"/>
      <c r="X415" s="918"/>
      <c r="Y415" s="921"/>
      <c r="Z415" s="921"/>
      <c r="AA415" s="921"/>
      <c r="AC415" s="919"/>
    </row>
    <row r="416" spans="5:29" x14ac:dyDescent="0.2">
      <c r="E416" s="918"/>
      <c r="M416" s="919"/>
      <c r="N416" s="918"/>
      <c r="O416" s="918"/>
      <c r="P416" s="918"/>
      <c r="Q416" s="920"/>
      <c r="R416" s="918"/>
      <c r="S416" s="918"/>
      <c r="T416" s="918"/>
      <c r="U416" s="918"/>
      <c r="V416" s="918"/>
      <c r="W416" s="918"/>
      <c r="X416" s="918"/>
      <c r="Y416" s="921"/>
      <c r="Z416" s="921"/>
      <c r="AA416" s="921"/>
      <c r="AC416" s="919"/>
    </row>
    <row r="417" spans="5:29" x14ac:dyDescent="0.2">
      <c r="E417" s="918"/>
      <c r="M417" s="919"/>
      <c r="N417" s="918"/>
      <c r="O417" s="918"/>
      <c r="P417" s="918"/>
      <c r="Q417" s="920"/>
      <c r="R417" s="918"/>
      <c r="S417" s="918"/>
      <c r="T417" s="918"/>
      <c r="U417" s="918"/>
      <c r="V417" s="918"/>
      <c r="W417" s="918"/>
      <c r="X417" s="918"/>
      <c r="Y417" s="921"/>
      <c r="Z417" s="921"/>
      <c r="AA417" s="921"/>
      <c r="AC417" s="919"/>
    </row>
    <row r="418" spans="5:29" x14ac:dyDescent="0.2">
      <c r="E418" s="918"/>
      <c r="M418" s="919"/>
      <c r="N418" s="918"/>
      <c r="O418" s="918"/>
      <c r="P418" s="918"/>
      <c r="Q418" s="920"/>
      <c r="R418" s="918"/>
      <c r="S418" s="918"/>
      <c r="T418" s="918"/>
      <c r="U418" s="918"/>
      <c r="V418" s="918"/>
      <c r="W418" s="918"/>
      <c r="X418" s="918"/>
      <c r="Y418" s="921"/>
      <c r="Z418" s="921"/>
      <c r="AA418" s="921"/>
      <c r="AC418" s="919"/>
    </row>
    <row r="419" spans="5:29" x14ac:dyDescent="0.2">
      <c r="E419" s="918"/>
      <c r="M419" s="919"/>
      <c r="N419" s="918"/>
      <c r="O419" s="918"/>
      <c r="P419" s="918"/>
      <c r="Q419" s="920"/>
      <c r="R419" s="918"/>
      <c r="S419" s="918"/>
      <c r="T419" s="918"/>
      <c r="U419" s="918"/>
      <c r="V419" s="918"/>
      <c r="W419" s="918"/>
      <c r="X419" s="918"/>
      <c r="Y419" s="921"/>
      <c r="Z419" s="921"/>
      <c r="AA419" s="921"/>
      <c r="AC419" s="919"/>
    </row>
    <row r="420" spans="5:29" x14ac:dyDescent="0.2">
      <c r="E420" s="918"/>
      <c r="M420" s="919"/>
      <c r="N420" s="918"/>
      <c r="O420" s="918"/>
      <c r="P420" s="918"/>
      <c r="Q420" s="920"/>
      <c r="R420" s="918"/>
      <c r="S420" s="918"/>
      <c r="T420" s="918"/>
      <c r="U420" s="918"/>
      <c r="V420" s="918"/>
      <c r="W420" s="918"/>
      <c r="X420" s="918"/>
      <c r="Y420" s="921"/>
      <c r="Z420" s="921"/>
      <c r="AA420" s="921"/>
      <c r="AC420" s="919"/>
    </row>
    <row r="421" spans="5:29" x14ac:dyDescent="0.2">
      <c r="E421" s="918"/>
      <c r="M421" s="919"/>
      <c r="N421" s="918"/>
      <c r="O421" s="918"/>
      <c r="P421" s="918"/>
      <c r="Q421" s="920"/>
      <c r="R421" s="918"/>
      <c r="S421" s="918"/>
      <c r="T421" s="918"/>
      <c r="U421" s="918"/>
      <c r="V421" s="918"/>
      <c r="W421" s="918"/>
      <c r="X421" s="918"/>
      <c r="Y421" s="921"/>
      <c r="Z421" s="921"/>
      <c r="AA421" s="921"/>
      <c r="AC421" s="919"/>
    </row>
    <row r="422" spans="5:29" x14ac:dyDescent="0.2">
      <c r="E422" s="918"/>
      <c r="M422" s="919"/>
      <c r="N422" s="918"/>
      <c r="O422" s="918"/>
      <c r="P422" s="918"/>
      <c r="Q422" s="920"/>
      <c r="R422" s="918"/>
      <c r="S422" s="918"/>
      <c r="T422" s="918"/>
      <c r="U422" s="918"/>
      <c r="V422" s="918"/>
      <c r="W422" s="918"/>
      <c r="X422" s="918"/>
      <c r="Y422" s="921"/>
      <c r="Z422" s="921"/>
      <c r="AA422" s="921"/>
      <c r="AC422" s="919"/>
    </row>
    <row r="423" spans="5:29" x14ac:dyDescent="0.2">
      <c r="E423" s="918"/>
      <c r="M423" s="919"/>
      <c r="N423" s="918"/>
      <c r="O423" s="918"/>
      <c r="P423" s="918"/>
      <c r="Q423" s="920"/>
      <c r="R423" s="918"/>
      <c r="S423" s="918"/>
      <c r="T423" s="918"/>
      <c r="U423" s="918"/>
      <c r="V423" s="918"/>
      <c r="W423" s="918"/>
      <c r="X423" s="918"/>
      <c r="Y423" s="921"/>
      <c r="Z423" s="921"/>
      <c r="AA423" s="921"/>
      <c r="AC423" s="919"/>
    </row>
    <row r="424" spans="5:29" x14ac:dyDescent="0.2">
      <c r="E424" s="918"/>
      <c r="M424" s="919"/>
      <c r="N424" s="918"/>
      <c r="O424" s="918"/>
      <c r="P424" s="918"/>
      <c r="Q424" s="920"/>
      <c r="R424" s="918"/>
      <c r="S424" s="918"/>
      <c r="T424" s="918"/>
      <c r="U424" s="918"/>
      <c r="V424" s="918"/>
      <c r="W424" s="918"/>
      <c r="X424" s="918"/>
      <c r="Y424" s="921"/>
      <c r="Z424" s="921"/>
      <c r="AA424" s="921"/>
      <c r="AC424" s="919"/>
    </row>
    <row r="425" spans="5:29" x14ac:dyDescent="0.2">
      <c r="E425" s="918"/>
      <c r="M425" s="919"/>
      <c r="N425" s="918"/>
      <c r="O425" s="918"/>
      <c r="P425" s="918"/>
      <c r="Q425" s="920"/>
      <c r="R425" s="918"/>
      <c r="S425" s="918"/>
      <c r="T425" s="918"/>
      <c r="U425" s="918"/>
      <c r="V425" s="918"/>
      <c r="W425" s="918"/>
      <c r="X425" s="918"/>
      <c r="Y425" s="921"/>
      <c r="Z425" s="921"/>
      <c r="AA425" s="921"/>
      <c r="AC425" s="919"/>
    </row>
    <row r="426" spans="5:29" x14ac:dyDescent="0.2">
      <c r="E426" s="918"/>
      <c r="M426" s="919"/>
      <c r="N426" s="918"/>
      <c r="O426" s="918"/>
      <c r="P426" s="918"/>
      <c r="Q426" s="920"/>
      <c r="R426" s="918"/>
      <c r="S426" s="918"/>
      <c r="T426" s="918"/>
      <c r="U426" s="918"/>
      <c r="V426" s="918"/>
      <c r="W426" s="918"/>
      <c r="X426" s="918"/>
      <c r="Y426" s="921"/>
      <c r="Z426" s="921"/>
      <c r="AA426" s="921"/>
      <c r="AC426" s="919"/>
    </row>
    <row r="427" spans="5:29" x14ac:dyDescent="0.2">
      <c r="E427" s="918"/>
      <c r="M427" s="919"/>
      <c r="N427" s="918"/>
      <c r="O427" s="918"/>
      <c r="P427" s="918"/>
      <c r="Q427" s="920"/>
      <c r="R427" s="918"/>
      <c r="S427" s="918"/>
      <c r="T427" s="918"/>
      <c r="U427" s="918"/>
      <c r="V427" s="918"/>
      <c r="W427" s="918"/>
      <c r="X427" s="918"/>
      <c r="Y427" s="921"/>
      <c r="Z427" s="921"/>
      <c r="AA427" s="921"/>
      <c r="AC427" s="919"/>
    </row>
    <row r="428" spans="5:29" x14ac:dyDescent="0.2">
      <c r="E428" s="918"/>
      <c r="M428" s="919"/>
      <c r="N428" s="918"/>
      <c r="O428" s="918"/>
      <c r="P428" s="918"/>
      <c r="Q428" s="920"/>
      <c r="R428" s="918"/>
      <c r="S428" s="918"/>
      <c r="T428" s="918"/>
      <c r="U428" s="918"/>
      <c r="V428" s="918"/>
      <c r="W428" s="918"/>
      <c r="X428" s="918"/>
      <c r="Y428" s="921"/>
      <c r="Z428" s="921"/>
      <c r="AA428" s="921"/>
      <c r="AC428" s="919"/>
    </row>
    <row r="429" spans="5:29" x14ac:dyDescent="0.2">
      <c r="E429" s="918"/>
      <c r="M429" s="919"/>
      <c r="N429" s="918"/>
      <c r="O429" s="918"/>
      <c r="P429" s="918"/>
      <c r="Q429" s="920"/>
      <c r="R429" s="918"/>
      <c r="S429" s="918"/>
      <c r="T429" s="918"/>
      <c r="U429" s="918"/>
      <c r="V429" s="918"/>
      <c r="W429" s="918"/>
      <c r="X429" s="918"/>
      <c r="Y429" s="921"/>
      <c r="Z429" s="921"/>
      <c r="AA429" s="921"/>
      <c r="AC429" s="919"/>
    </row>
    <row r="430" spans="5:29" x14ac:dyDescent="0.2">
      <c r="E430" s="918"/>
      <c r="M430" s="919"/>
      <c r="N430" s="918"/>
      <c r="O430" s="918"/>
      <c r="P430" s="918"/>
      <c r="Q430" s="920"/>
      <c r="R430" s="918"/>
      <c r="S430" s="918"/>
      <c r="T430" s="918"/>
      <c r="U430" s="918"/>
      <c r="V430" s="918"/>
      <c r="W430" s="918"/>
      <c r="X430" s="918"/>
      <c r="Y430" s="921"/>
      <c r="Z430" s="921"/>
      <c r="AA430" s="921"/>
      <c r="AC430" s="919"/>
    </row>
    <row r="431" spans="5:29" x14ac:dyDescent="0.2">
      <c r="E431" s="918"/>
      <c r="M431" s="919"/>
      <c r="N431" s="918"/>
      <c r="O431" s="918"/>
      <c r="P431" s="918"/>
      <c r="Q431" s="920"/>
      <c r="R431" s="918"/>
      <c r="S431" s="918"/>
      <c r="T431" s="918"/>
      <c r="U431" s="918"/>
      <c r="V431" s="918"/>
      <c r="W431" s="918"/>
      <c r="X431" s="918"/>
      <c r="Y431" s="921"/>
      <c r="Z431" s="921"/>
      <c r="AA431" s="921"/>
      <c r="AC431" s="919"/>
    </row>
    <row r="432" spans="5:29" x14ac:dyDescent="0.2">
      <c r="E432" s="918"/>
      <c r="M432" s="919"/>
      <c r="N432" s="918"/>
      <c r="O432" s="918"/>
      <c r="P432" s="918"/>
      <c r="Q432" s="920"/>
      <c r="R432" s="918"/>
      <c r="S432" s="918"/>
      <c r="T432" s="918"/>
      <c r="U432" s="918"/>
      <c r="V432" s="918"/>
      <c r="W432" s="918"/>
      <c r="X432" s="918"/>
      <c r="Y432" s="921"/>
      <c r="Z432" s="921"/>
      <c r="AA432" s="921"/>
      <c r="AC432" s="919"/>
    </row>
    <row r="433" spans="5:29" x14ac:dyDescent="0.2">
      <c r="E433" s="918"/>
      <c r="M433" s="919"/>
      <c r="N433" s="918"/>
      <c r="O433" s="918"/>
      <c r="P433" s="918"/>
      <c r="Q433" s="920"/>
      <c r="R433" s="918"/>
      <c r="S433" s="918"/>
      <c r="T433" s="918"/>
      <c r="U433" s="918"/>
      <c r="V433" s="918"/>
      <c r="W433" s="918"/>
      <c r="X433" s="918"/>
      <c r="Y433" s="921"/>
      <c r="Z433" s="921"/>
      <c r="AA433" s="921"/>
      <c r="AC433" s="919"/>
    </row>
    <row r="434" spans="5:29" x14ac:dyDescent="0.2">
      <c r="E434" s="918"/>
      <c r="M434" s="919"/>
      <c r="N434" s="918"/>
      <c r="O434" s="918"/>
      <c r="P434" s="918"/>
      <c r="Q434" s="920"/>
      <c r="R434" s="918"/>
      <c r="S434" s="918"/>
      <c r="T434" s="918"/>
      <c r="U434" s="918"/>
      <c r="V434" s="918"/>
      <c r="W434" s="918"/>
      <c r="X434" s="918"/>
      <c r="Y434" s="921"/>
      <c r="Z434" s="921"/>
      <c r="AA434" s="921"/>
      <c r="AC434" s="919"/>
    </row>
    <row r="435" spans="5:29" x14ac:dyDescent="0.2">
      <c r="E435" s="918"/>
      <c r="M435" s="919"/>
      <c r="N435" s="918"/>
      <c r="O435" s="918"/>
      <c r="P435" s="918"/>
      <c r="Q435" s="920"/>
      <c r="R435" s="918"/>
      <c r="S435" s="918"/>
      <c r="T435" s="918"/>
      <c r="U435" s="918"/>
      <c r="V435" s="918"/>
      <c r="W435" s="918"/>
      <c r="X435" s="918"/>
      <c r="Y435" s="921"/>
      <c r="Z435" s="921"/>
      <c r="AA435" s="921"/>
      <c r="AC435" s="919"/>
    </row>
    <row r="436" spans="5:29" x14ac:dyDescent="0.2">
      <c r="E436" s="918"/>
      <c r="M436" s="919"/>
      <c r="N436" s="918"/>
      <c r="O436" s="918"/>
      <c r="P436" s="918"/>
      <c r="Q436" s="920"/>
      <c r="R436" s="918"/>
      <c r="S436" s="918"/>
      <c r="T436" s="918"/>
      <c r="U436" s="918"/>
      <c r="V436" s="918"/>
      <c r="W436" s="918"/>
      <c r="X436" s="918"/>
      <c r="Y436" s="921"/>
      <c r="Z436" s="921"/>
      <c r="AA436" s="921"/>
      <c r="AC436" s="919"/>
    </row>
    <row r="437" spans="5:29" x14ac:dyDescent="0.2">
      <c r="E437" s="918"/>
      <c r="M437" s="919"/>
      <c r="N437" s="918"/>
      <c r="O437" s="918"/>
      <c r="P437" s="918"/>
      <c r="Q437" s="920"/>
      <c r="R437" s="918"/>
      <c r="S437" s="918"/>
      <c r="T437" s="918"/>
      <c r="U437" s="918"/>
      <c r="V437" s="918"/>
      <c r="W437" s="918"/>
      <c r="X437" s="918"/>
      <c r="Y437" s="921"/>
      <c r="Z437" s="921"/>
      <c r="AA437" s="921"/>
      <c r="AC437" s="919"/>
    </row>
    <row r="438" spans="5:29" x14ac:dyDescent="0.2">
      <c r="E438" s="918"/>
      <c r="M438" s="919"/>
      <c r="N438" s="918"/>
      <c r="O438" s="918"/>
      <c r="P438" s="918"/>
      <c r="Q438" s="920"/>
      <c r="R438" s="918"/>
      <c r="S438" s="918"/>
      <c r="T438" s="918"/>
      <c r="U438" s="918"/>
      <c r="V438" s="918"/>
      <c r="W438" s="918"/>
      <c r="X438" s="918"/>
      <c r="Y438" s="921"/>
      <c r="Z438" s="921"/>
      <c r="AA438" s="921"/>
      <c r="AC438" s="919"/>
    </row>
    <row r="439" spans="5:29" x14ac:dyDescent="0.2">
      <c r="E439" s="918"/>
      <c r="M439" s="919"/>
      <c r="N439" s="918"/>
      <c r="O439" s="918"/>
      <c r="P439" s="918"/>
      <c r="Q439" s="920"/>
      <c r="R439" s="918"/>
      <c r="S439" s="918"/>
      <c r="T439" s="918"/>
      <c r="U439" s="918"/>
      <c r="V439" s="918"/>
      <c r="W439" s="918"/>
      <c r="X439" s="918"/>
      <c r="Y439" s="921"/>
      <c r="Z439" s="921"/>
      <c r="AA439" s="921"/>
      <c r="AC439" s="919"/>
    </row>
    <row r="440" spans="5:29" x14ac:dyDescent="0.2">
      <c r="E440" s="918"/>
      <c r="M440" s="919"/>
      <c r="N440" s="918"/>
      <c r="O440" s="918"/>
      <c r="P440" s="918"/>
      <c r="Q440" s="920"/>
      <c r="R440" s="918"/>
      <c r="S440" s="918"/>
      <c r="T440" s="918"/>
      <c r="U440" s="918"/>
      <c r="V440" s="918"/>
      <c r="W440" s="918"/>
      <c r="X440" s="918"/>
      <c r="Y440" s="921"/>
      <c r="Z440" s="921"/>
      <c r="AA440" s="921"/>
      <c r="AC440" s="919"/>
    </row>
    <row r="441" spans="5:29" x14ac:dyDescent="0.2">
      <c r="E441" s="918"/>
      <c r="M441" s="919"/>
      <c r="N441" s="918"/>
      <c r="O441" s="918"/>
      <c r="P441" s="918"/>
      <c r="Q441" s="920"/>
      <c r="R441" s="918"/>
      <c r="S441" s="918"/>
      <c r="T441" s="918"/>
      <c r="U441" s="918"/>
      <c r="V441" s="918"/>
      <c r="W441" s="918"/>
      <c r="X441" s="918"/>
      <c r="Y441" s="921"/>
      <c r="Z441" s="921"/>
      <c r="AA441" s="921"/>
      <c r="AC441" s="919"/>
    </row>
    <row r="442" spans="5:29" x14ac:dyDescent="0.2">
      <c r="E442" s="918"/>
      <c r="M442" s="919"/>
      <c r="N442" s="918"/>
      <c r="O442" s="918"/>
      <c r="P442" s="918"/>
      <c r="Q442" s="920"/>
      <c r="R442" s="918"/>
      <c r="S442" s="918"/>
      <c r="T442" s="918"/>
      <c r="U442" s="918"/>
      <c r="V442" s="918"/>
      <c r="W442" s="918"/>
      <c r="X442" s="918"/>
      <c r="Y442" s="921"/>
      <c r="Z442" s="921"/>
      <c r="AA442" s="921"/>
      <c r="AC442" s="919"/>
    </row>
    <row r="443" spans="5:29" x14ac:dyDescent="0.2">
      <c r="E443" s="918"/>
      <c r="M443" s="919"/>
      <c r="N443" s="918"/>
      <c r="O443" s="918"/>
      <c r="P443" s="918"/>
      <c r="Q443" s="920"/>
      <c r="R443" s="918"/>
      <c r="S443" s="918"/>
      <c r="T443" s="918"/>
      <c r="U443" s="918"/>
      <c r="V443" s="918"/>
      <c r="W443" s="918"/>
      <c r="X443" s="918"/>
      <c r="Y443" s="921"/>
      <c r="Z443" s="921"/>
      <c r="AA443" s="921"/>
      <c r="AC443" s="919"/>
    </row>
    <row r="444" spans="5:29" x14ac:dyDescent="0.2">
      <c r="E444" s="918"/>
      <c r="M444" s="919"/>
      <c r="N444" s="918"/>
      <c r="O444" s="918"/>
      <c r="P444" s="918"/>
      <c r="Q444" s="920"/>
      <c r="R444" s="918"/>
      <c r="S444" s="918"/>
      <c r="T444" s="918"/>
      <c r="U444" s="918"/>
      <c r="V444" s="918"/>
      <c r="W444" s="918"/>
      <c r="X444" s="918"/>
      <c r="Y444" s="921"/>
      <c r="Z444" s="921"/>
      <c r="AA444" s="921"/>
      <c r="AC444" s="919"/>
    </row>
    <row r="445" spans="5:29" x14ac:dyDescent="0.2">
      <c r="E445" s="918"/>
      <c r="M445" s="919"/>
      <c r="N445" s="918"/>
      <c r="O445" s="918"/>
      <c r="P445" s="918"/>
      <c r="Q445" s="920"/>
      <c r="R445" s="918"/>
      <c r="S445" s="918"/>
      <c r="T445" s="918"/>
      <c r="U445" s="918"/>
      <c r="V445" s="918"/>
      <c r="W445" s="918"/>
      <c r="X445" s="918"/>
      <c r="Y445" s="921"/>
      <c r="Z445" s="921"/>
      <c r="AA445" s="921"/>
      <c r="AC445" s="919"/>
    </row>
    <row r="446" spans="5:29" x14ac:dyDescent="0.2">
      <c r="E446" s="918"/>
      <c r="M446" s="919"/>
      <c r="N446" s="918"/>
      <c r="O446" s="918"/>
      <c r="P446" s="918"/>
      <c r="Q446" s="920"/>
      <c r="R446" s="918"/>
      <c r="S446" s="918"/>
      <c r="T446" s="918"/>
      <c r="U446" s="918"/>
      <c r="V446" s="918"/>
      <c r="W446" s="918"/>
      <c r="X446" s="918"/>
      <c r="Y446" s="921"/>
      <c r="Z446" s="921"/>
      <c r="AA446" s="921"/>
      <c r="AC446" s="919"/>
    </row>
    <row r="447" spans="5:29" x14ac:dyDescent="0.2">
      <c r="E447" s="918"/>
      <c r="M447" s="919"/>
      <c r="N447" s="918"/>
      <c r="O447" s="918"/>
      <c r="P447" s="918"/>
      <c r="Q447" s="920"/>
      <c r="R447" s="918"/>
      <c r="S447" s="918"/>
      <c r="T447" s="918"/>
      <c r="U447" s="918"/>
      <c r="V447" s="918"/>
      <c r="W447" s="918"/>
      <c r="X447" s="918"/>
      <c r="Y447" s="921"/>
      <c r="Z447" s="921"/>
      <c r="AA447" s="921"/>
      <c r="AC447" s="919"/>
    </row>
    <row r="448" spans="5:29" x14ac:dyDescent="0.2">
      <c r="E448" s="918"/>
      <c r="M448" s="919"/>
      <c r="N448" s="918"/>
      <c r="O448" s="918"/>
      <c r="P448" s="918"/>
      <c r="Q448" s="920"/>
      <c r="R448" s="918"/>
      <c r="S448" s="918"/>
      <c r="T448" s="918"/>
      <c r="U448" s="918"/>
      <c r="V448" s="918"/>
      <c r="W448" s="918"/>
      <c r="X448" s="918"/>
      <c r="Y448" s="921"/>
      <c r="Z448" s="921"/>
      <c r="AA448" s="921"/>
      <c r="AC448" s="919"/>
    </row>
    <row r="449" spans="5:29" x14ac:dyDescent="0.2">
      <c r="E449" s="918"/>
      <c r="M449" s="919"/>
      <c r="N449" s="918"/>
      <c r="O449" s="918"/>
      <c r="P449" s="918"/>
      <c r="Q449" s="920"/>
      <c r="R449" s="918"/>
      <c r="S449" s="918"/>
      <c r="T449" s="918"/>
      <c r="U449" s="918"/>
      <c r="V449" s="918"/>
      <c r="W449" s="918"/>
      <c r="X449" s="918"/>
      <c r="Y449" s="921"/>
      <c r="Z449" s="921"/>
      <c r="AA449" s="921"/>
      <c r="AC449" s="919"/>
    </row>
    <row r="450" spans="5:29" x14ac:dyDescent="0.2">
      <c r="E450" s="918"/>
      <c r="M450" s="919"/>
      <c r="N450" s="918"/>
      <c r="O450" s="918"/>
      <c r="P450" s="918"/>
      <c r="Q450" s="920"/>
      <c r="R450" s="918"/>
      <c r="S450" s="918"/>
      <c r="T450" s="918"/>
      <c r="U450" s="918"/>
      <c r="V450" s="918"/>
      <c r="W450" s="918"/>
      <c r="X450" s="918"/>
      <c r="Y450" s="921"/>
      <c r="Z450" s="921"/>
      <c r="AA450" s="921"/>
      <c r="AC450" s="919"/>
    </row>
    <row r="451" spans="5:29" x14ac:dyDescent="0.2">
      <c r="E451" s="918"/>
      <c r="M451" s="919"/>
      <c r="N451" s="918"/>
      <c r="O451" s="918"/>
      <c r="P451" s="918"/>
      <c r="Q451" s="920"/>
      <c r="R451" s="918"/>
      <c r="S451" s="918"/>
      <c r="T451" s="918"/>
      <c r="U451" s="918"/>
      <c r="V451" s="918"/>
      <c r="W451" s="918"/>
      <c r="X451" s="918"/>
      <c r="Y451" s="921"/>
      <c r="Z451" s="921"/>
      <c r="AA451" s="921"/>
      <c r="AC451" s="919"/>
    </row>
    <row r="452" spans="5:29" x14ac:dyDescent="0.2">
      <c r="E452" s="918"/>
      <c r="M452" s="919"/>
      <c r="N452" s="918"/>
      <c r="O452" s="918"/>
      <c r="P452" s="918"/>
      <c r="Q452" s="920"/>
      <c r="R452" s="918"/>
      <c r="S452" s="918"/>
      <c r="T452" s="918"/>
      <c r="U452" s="918"/>
      <c r="V452" s="918"/>
      <c r="W452" s="918"/>
      <c r="X452" s="918"/>
      <c r="Y452" s="921"/>
      <c r="Z452" s="921"/>
      <c r="AA452" s="921"/>
      <c r="AC452" s="919"/>
    </row>
    <row r="453" spans="5:29" x14ac:dyDescent="0.2">
      <c r="E453" s="918"/>
      <c r="M453" s="919"/>
      <c r="N453" s="918"/>
      <c r="O453" s="918"/>
      <c r="P453" s="918"/>
      <c r="Q453" s="920"/>
      <c r="R453" s="918"/>
      <c r="S453" s="918"/>
      <c r="T453" s="918"/>
      <c r="U453" s="918"/>
      <c r="V453" s="918"/>
      <c r="W453" s="918"/>
      <c r="X453" s="918"/>
      <c r="Y453" s="921"/>
      <c r="Z453" s="921"/>
      <c r="AA453" s="921"/>
      <c r="AC453" s="919"/>
    </row>
    <row r="454" spans="5:29" x14ac:dyDescent="0.2">
      <c r="E454" s="918"/>
      <c r="M454" s="919"/>
      <c r="N454" s="918"/>
      <c r="O454" s="918"/>
      <c r="P454" s="918"/>
      <c r="Q454" s="920"/>
      <c r="R454" s="918"/>
      <c r="S454" s="918"/>
      <c r="T454" s="918"/>
      <c r="U454" s="918"/>
      <c r="V454" s="918"/>
      <c r="W454" s="918"/>
      <c r="X454" s="918"/>
      <c r="Y454" s="921"/>
      <c r="Z454" s="921"/>
      <c r="AA454" s="921"/>
      <c r="AC454" s="919"/>
    </row>
    <row r="455" spans="5:29" x14ac:dyDescent="0.2">
      <c r="E455" s="918"/>
      <c r="M455" s="919"/>
      <c r="N455" s="918"/>
      <c r="O455" s="918"/>
      <c r="P455" s="918"/>
      <c r="Q455" s="920"/>
      <c r="R455" s="918"/>
      <c r="S455" s="918"/>
      <c r="T455" s="918"/>
      <c r="U455" s="918"/>
      <c r="V455" s="918"/>
      <c r="W455" s="918"/>
      <c r="X455" s="918"/>
      <c r="Y455" s="921"/>
      <c r="Z455" s="921"/>
      <c r="AA455" s="921"/>
      <c r="AC455" s="919"/>
    </row>
    <row r="456" spans="5:29" x14ac:dyDescent="0.2">
      <c r="E456" s="918"/>
      <c r="M456" s="919"/>
      <c r="N456" s="918"/>
      <c r="O456" s="918"/>
      <c r="P456" s="918"/>
      <c r="Q456" s="920"/>
      <c r="R456" s="918"/>
      <c r="S456" s="918"/>
      <c r="T456" s="918"/>
      <c r="U456" s="918"/>
      <c r="V456" s="918"/>
      <c r="W456" s="918"/>
      <c r="X456" s="918"/>
      <c r="Y456" s="921"/>
      <c r="Z456" s="921"/>
      <c r="AA456" s="921"/>
      <c r="AC456" s="919"/>
    </row>
    <row r="457" spans="5:29" x14ac:dyDescent="0.2">
      <c r="E457" s="918"/>
      <c r="M457" s="919"/>
      <c r="N457" s="918"/>
      <c r="O457" s="918"/>
      <c r="P457" s="918"/>
      <c r="Q457" s="920"/>
      <c r="R457" s="918"/>
      <c r="S457" s="918"/>
      <c r="T457" s="918"/>
      <c r="U457" s="918"/>
      <c r="V457" s="918"/>
      <c r="W457" s="918"/>
      <c r="X457" s="918"/>
      <c r="Y457" s="921"/>
      <c r="Z457" s="921"/>
      <c r="AA457" s="921"/>
      <c r="AC457" s="919"/>
    </row>
    <row r="458" spans="5:29" x14ac:dyDescent="0.2">
      <c r="E458" s="918"/>
      <c r="M458" s="919"/>
      <c r="N458" s="918"/>
      <c r="O458" s="918"/>
      <c r="P458" s="918"/>
      <c r="Q458" s="920"/>
      <c r="R458" s="918"/>
      <c r="S458" s="918"/>
      <c r="T458" s="918"/>
      <c r="U458" s="918"/>
      <c r="V458" s="918"/>
      <c r="W458" s="918"/>
      <c r="X458" s="918"/>
      <c r="Y458" s="921"/>
      <c r="Z458" s="921"/>
      <c r="AA458" s="921"/>
      <c r="AC458" s="919"/>
    </row>
    <row r="459" spans="5:29" x14ac:dyDescent="0.2">
      <c r="E459" s="918"/>
      <c r="M459" s="919"/>
      <c r="N459" s="918"/>
      <c r="O459" s="918"/>
      <c r="P459" s="918"/>
      <c r="Q459" s="920"/>
      <c r="R459" s="918"/>
      <c r="S459" s="918"/>
      <c r="T459" s="918"/>
      <c r="U459" s="918"/>
      <c r="V459" s="918"/>
      <c r="W459" s="918"/>
      <c r="X459" s="918"/>
      <c r="Y459" s="921"/>
      <c r="Z459" s="921"/>
      <c r="AA459" s="921"/>
      <c r="AC459" s="919"/>
    </row>
    <row r="460" spans="5:29" x14ac:dyDescent="0.2">
      <c r="E460" s="918"/>
      <c r="M460" s="919"/>
      <c r="N460" s="918"/>
      <c r="O460" s="918"/>
      <c r="P460" s="918"/>
      <c r="Q460" s="920"/>
      <c r="R460" s="918"/>
      <c r="S460" s="918"/>
      <c r="T460" s="918"/>
      <c r="U460" s="918"/>
      <c r="V460" s="918"/>
      <c r="W460" s="918"/>
      <c r="X460" s="918"/>
      <c r="Y460" s="921"/>
      <c r="Z460" s="921"/>
      <c r="AA460" s="921"/>
      <c r="AC460" s="919"/>
    </row>
    <row r="461" spans="5:29" x14ac:dyDescent="0.2">
      <c r="E461" s="918"/>
      <c r="M461" s="919"/>
      <c r="N461" s="918"/>
      <c r="O461" s="918"/>
      <c r="P461" s="918"/>
      <c r="Q461" s="920"/>
      <c r="R461" s="918"/>
      <c r="S461" s="918"/>
      <c r="T461" s="918"/>
      <c r="U461" s="918"/>
      <c r="V461" s="918"/>
      <c r="W461" s="918"/>
      <c r="X461" s="918"/>
      <c r="Y461" s="921"/>
      <c r="Z461" s="921"/>
      <c r="AA461" s="921"/>
      <c r="AC461" s="919"/>
    </row>
    <row r="462" spans="5:29" x14ac:dyDescent="0.2">
      <c r="E462" s="918"/>
      <c r="M462" s="919"/>
      <c r="N462" s="918"/>
      <c r="O462" s="918"/>
      <c r="P462" s="918"/>
      <c r="Q462" s="920"/>
      <c r="R462" s="918"/>
      <c r="S462" s="918"/>
      <c r="T462" s="918"/>
      <c r="U462" s="918"/>
      <c r="V462" s="918"/>
      <c r="W462" s="918"/>
      <c r="X462" s="918"/>
      <c r="Y462" s="921"/>
      <c r="Z462" s="921"/>
      <c r="AA462" s="921"/>
      <c r="AC462" s="919"/>
    </row>
    <row r="463" spans="5:29" x14ac:dyDescent="0.2">
      <c r="E463" s="918"/>
      <c r="M463" s="919"/>
      <c r="N463" s="918"/>
      <c r="O463" s="918"/>
      <c r="P463" s="918"/>
      <c r="Q463" s="920"/>
      <c r="R463" s="918"/>
      <c r="S463" s="918"/>
      <c r="T463" s="918"/>
      <c r="U463" s="918"/>
      <c r="V463" s="918"/>
      <c r="W463" s="918"/>
      <c r="X463" s="918"/>
      <c r="Y463" s="921"/>
      <c r="Z463" s="921"/>
      <c r="AA463" s="921"/>
      <c r="AC463" s="919"/>
    </row>
    <row r="464" spans="5:29" x14ac:dyDescent="0.2">
      <c r="E464" s="918"/>
      <c r="M464" s="919"/>
      <c r="N464" s="918"/>
      <c r="O464" s="918"/>
      <c r="P464" s="918"/>
      <c r="Q464" s="920"/>
      <c r="R464" s="918"/>
      <c r="S464" s="918"/>
      <c r="T464" s="918"/>
      <c r="U464" s="918"/>
      <c r="V464" s="918"/>
      <c r="W464" s="918"/>
      <c r="X464" s="918"/>
      <c r="Y464" s="921"/>
      <c r="Z464" s="921"/>
      <c r="AA464" s="921"/>
      <c r="AC464" s="919"/>
    </row>
    <row r="465" spans="5:29" x14ac:dyDescent="0.2">
      <c r="E465" s="918"/>
      <c r="M465" s="919"/>
      <c r="N465" s="918"/>
      <c r="O465" s="918"/>
      <c r="P465" s="918"/>
      <c r="Q465" s="920"/>
      <c r="R465" s="918"/>
      <c r="S465" s="918"/>
      <c r="T465" s="918"/>
      <c r="U465" s="918"/>
      <c r="V465" s="918"/>
      <c r="W465" s="918"/>
      <c r="X465" s="918"/>
      <c r="Y465" s="921"/>
      <c r="Z465" s="921"/>
      <c r="AA465" s="921"/>
      <c r="AC465" s="919"/>
    </row>
    <row r="466" spans="5:29" x14ac:dyDescent="0.2">
      <c r="E466" s="918"/>
      <c r="M466" s="919"/>
      <c r="N466" s="918"/>
      <c r="O466" s="918"/>
      <c r="P466" s="918"/>
      <c r="Q466" s="920"/>
      <c r="R466" s="918"/>
      <c r="S466" s="918"/>
      <c r="T466" s="918"/>
      <c r="U466" s="918"/>
      <c r="V466" s="918"/>
      <c r="W466" s="918"/>
      <c r="X466" s="918"/>
      <c r="Y466" s="921"/>
      <c r="Z466" s="921"/>
      <c r="AA466" s="921"/>
      <c r="AC466" s="919"/>
    </row>
    <row r="467" spans="5:29" x14ac:dyDescent="0.2">
      <c r="E467" s="918"/>
      <c r="M467" s="919"/>
      <c r="N467" s="918"/>
      <c r="O467" s="918"/>
      <c r="P467" s="918"/>
      <c r="Q467" s="920"/>
      <c r="R467" s="918"/>
      <c r="S467" s="918"/>
      <c r="T467" s="918"/>
      <c r="U467" s="918"/>
      <c r="V467" s="918"/>
      <c r="W467" s="918"/>
      <c r="X467" s="918"/>
      <c r="Y467" s="921"/>
      <c r="Z467" s="921"/>
      <c r="AA467" s="921"/>
      <c r="AC467" s="919"/>
    </row>
    <row r="468" spans="5:29" x14ac:dyDescent="0.2">
      <c r="E468" s="918"/>
      <c r="M468" s="919"/>
      <c r="N468" s="918"/>
      <c r="O468" s="918"/>
      <c r="P468" s="918"/>
      <c r="Q468" s="920"/>
      <c r="R468" s="918"/>
      <c r="S468" s="918"/>
      <c r="T468" s="918"/>
      <c r="U468" s="918"/>
      <c r="V468" s="918"/>
      <c r="W468" s="918"/>
      <c r="X468" s="918"/>
      <c r="Y468" s="921"/>
      <c r="Z468" s="921"/>
      <c r="AA468" s="921"/>
      <c r="AC468" s="919"/>
    </row>
    <row r="469" spans="5:29" x14ac:dyDescent="0.2">
      <c r="E469" s="918"/>
      <c r="M469" s="919"/>
      <c r="N469" s="918"/>
      <c r="O469" s="918"/>
      <c r="P469" s="918"/>
      <c r="Q469" s="920"/>
      <c r="R469" s="918"/>
      <c r="S469" s="918"/>
      <c r="T469" s="918"/>
      <c r="U469" s="918"/>
      <c r="V469" s="918"/>
      <c r="W469" s="918"/>
      <c r="X469" s="918"/>
      <c r="Y469" s="921"/>
      <c r="Z469" s="921"/>
      <c r="AA469" s="921"/>
      <c r="AC469" s="919"/>
    </row>
    <row r="470" spans="5:29" x14ac:dyDescent="0.2">
      <c r="E470" s="918"/>
      <c r="M470" s="919"/>
      <c r="N470" s="918"/>
      <c r="O470" s="918"/>
      <c r="P470" s="918"/>
      <c r="Q470" s="920"/>
      <c r="R470" s="918"/>
      <c r="S470" s="918"/>
      <c r="T470" s="918"/>
      <c r="U470" s="918"/>
      <c r="V470" s="918"/>
      <c r="W470" s="918"/>
      <c r="X470" s="918"/>
      <c r="Y470" s="921"/>
      <c r="Z470" s="921"/>
      <c r="AA470" s="921"/>
      <c r="AC470" s="919"/>
    </row>
    <row r="471" spans="5:29" x14ac:dyDescent="0.2">
      <c r="E471" s="918"/>
      <c r="M471" s="919"/>
      <c r="N471" s="918"/>
      <c r="O471" s="918"/>
      <c r="P471" s="918"/>
      <c r="Q471" s="920"/>
      <c r="R471" s="918"/>
      <c r="S471" s="918"/>
      <c r="T471" s="918"/>
      <c r="U471" s="918"/>
      <c r="V471" s="918"/>
      <c r="W471" s="918"/>
      <c r="X471" s="918"/>
      <c r="Y471" s="921"/>
      <c r="Z471" s="921"/>
      <c r="AA471" s="921"/>
      <c r="AC471" s="919"/>
    </row>
    <row r="472" spans="5:29" x14ac:dyDescent="0.2">
      <c r="E472" s="918"/>
      <c r="M472" s="919"/>
      <c r="N472" s="918"/>
      <c r="O472" s="918"/>
      <c r="P472" s="918"/>
      <c r="Q472" s="920"/>
      <c r="R472" s="918"/>
      <c r="S472" s="918"/>
      <c r="T472" s="918"/>
      <c r="U472" s="918"/>
      <c r="V472" s="918"/>
      <c r="W472" s="918"/>
      <c r="X472" s="918"/>
      <c r="Y472" s="921"/>
      <c r="Z472" s="921"/>
      <c r="AA472" s="921"/>
      <c r="AC472" s="919"/>
    </row>
    <row r="473" spans="5:29" x14ac:dyDescent="0.2">
      <c r="E473" s="918"/>
      <c r="M473" s="919"/>
      <c r="N473" s="918"/>
      <c r="O473" s="918"/>
      <c r="P473" s="918"/>
      <c r="Q473" s="920"/>
      <c r="R473" s="918"/>
      <c r="S473" s="918"/>
      <c r="T473" s="918"/>
      <c r="U473" s="918"/>
      <c r="V473" s="918"/>
      <c r="W473" s="918"/>
      <c r="X473" s="918"/>
      <c r="Y473" s="921"/>
      <c r="Z473" s="921"/>
      <c r="AA473" s="921"/>
      <c r="AC473" s="919"/>
    </row>
    <row r="474" spans="5:29" x14ac:dyDescent="0.2">
      <c r="E474" s="918"/>
      <c r="M474" s="919"/>
      <c r="N474" s="918"/>
      <c r="O474" s="918"/>
      <c r="P474" s="918"/>
      <c r="Q474" s="920"/>
      <c r="R474" s="918"/>
      <c r="S474" s="918"/>
      <c r="T474" s="918"/>
      <c r="U474" s="918"/>
      <c r="V474" s="918"/>
      <c r="W474" s="918"/>
      <c r="X474" s="918"/>
      <c r="Y474" s="921"/>
      <c r="Z474" s="921"/>
      <c r="AA474" s="921"/>
      <c r="AC474" s="919"/>
    </row>
    <row r="475" spans="5:29" x14ac:dyDescent="0.2">
      <c r="E475" s="918"/>
      <c r="M475" s="919"/>
      <c r="N475" s="918"/>
      <c r="O475" s="918"/>
      <c r="P475" s="918"/>
      <c r="Q475" s="920"/>
      <c r="R475" s="918"/>
      <c r="S475" s="918"/>
      <c r="T475" s="918"/>
      <c r="U475" s="918"/>
      <c r="V475" s="918"/>
      <c r="W475" s="918"/>
      <c r="X475" s="918"/>
      <c r="Y475" s="921"/>
      <c r="Z475" s="921"/>
      <c r="AA475" s="921"/>
      <c r="AC475" s="919"/>
    </row>
    <row r="476" spans="5:29" x14ac:dyDescent="0.2">
      <c r="E476" s="918"/>
      <c r="M476" s="919"/>
      <c r="N476" s="918"/>
      <c r="O476" s="918"/>
      <c r="P476" s="918"/>
      <c r="Q476" s="920"/>
      <c r="R476" s="918"/>
      <c r="S476" s="918"/>
      <c r="T476" s="918"/>
      <c r="U476" s="918"/>
      <c r="V476" s="918"/>
      <c r="W476" s="918"/>
      <c r="X476" s="918"/>
      <c r="Y476" s="921"/>
      <c r="Z476" s="921"/>
      <c r="AA476" s="921"/>
      <c r="AC476" s="919"/>
    </row>
    <row r="477" spans="5:29" x14ac:dyDescent="0.2">
      <c r="E477" s="918"/>
      <c r="M477" s="919"/>
      <c r="N477" s="918"/>
      <c r="O477" s="918"/>
      <c r="P477" s="918"/>
      <c r="Q477" s="920"/>
      <c r="R477" s="918"/>
      <c r="S477" s="918"/>
      <c r="T477" s="918"/>
      <c r="U477" s="918"/>
      <c r="V477" s="918"/>
      <c r="W477" s="918"/>
      <c r="X477" s="918"/>
      <c r="Y477" s="921"/>
      <c r="Z477" s="921"/>
      <c r="AA477" s="921"/>
      <c r="AC477" s="919"/>
    </row>
    <row r="478" spans="5:29" x14ac:dyDescent="0.2">
      <c r="E478" s="918"/>
      <c r="M478" s="919"/>
      <c r="N478" s="918"/>
      <c r="O478" s="918"/>
      <c r="P478" s="918"/>
      <c r="Q478" s="920"/>
      <c r="R478" s="918"/>
      <c r="S478" s="918"/>
      <c r="T478" s="918"/>
      <c r="U478" s="918"/>
      <c r="V478" s="918"/>
      <c r="W478" s="918"/>
      <c r="X478" s="918"/>
      <c r="Y478" s="921"/>
      <c r="Z478" s="921"/>
      <c r="AA478" s="921"/>
      <c r="AC478" s="919"/>
    </row>
    <row r="479" spans="5:29" x14ac:dyDescent="0.2">
      <c r="E479" s="918"/>
      <c r="M479" s="919"/>
      <c r="N479" s="918"/>
      <c r="O479" s="918"/>
      <c r="P479" s="918"/>
      <c r="Q479" s="920"/>
      <c r="R479" s="918"/>
      <c r="S479" s="918"/>
      <c r="T479" s="918"/>
      <c r="U479" s="918"/>
      <c r="V479" s="918"/>
      <c r="W479" s="918"/>
      <c r="X479" s="918"/>
      <c r="Y479" s="921"/>
      <c r="Z479" s="921"/>
      <c r="AA479" s="921"/>
      <c r="AC479" s="919"/>
    </row>
    <row r="480" spans="5:29" x14ac:dyDescent="0.2">
      <c r="E480" s="918"/>
      <c r="M480" s="919"/>
      <c r="N480" s="918"/>
      <c r="O480" s="918"/>
      <c r="P480" s="918"/>
      <c r="Q480" s="920"/>
      <c r="R480" s="918"/>
      <c r="S480" s="918"/>
      <c r="T480" s="918"/>
      <c r="U480" s="918"/>
      <c r="V480" s="918"/>
      <c r="W480" s="918"/>
      <c r="X480" s="918"/>
      <c r="Y480" s="921"/>
      <c r="Z480" s="921"/>
      <c r="AA480" s="921"/>
      <c r="AC480" s="9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Core Assumptions</vt:lpstr>
      <vt:lpstr>Pricing Calculator</vt:lpstr>
      <vt:lpstr>Pricing Summary</vt:lpstr>
      <vt:lpstr>outputs recap</vt:lpstr>
      <vt:lpstr>service recap</vt:lpstr>
      <vt:lpstr>onboarding template</vt:lpstr>
      <vt:lpstr>project profitability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 Palani</dc:creator>
  <cp:lastModifiedBy>Dhan Palani</cp:lastModifiedBy>
  <dcterms:created xsi:type="dcterms:W3CDTF">2026-04-15T15:26:32Z</dcterms:created>
  <dcterms:modified xsi:type="dcterms:W3CDTF">2026-04-15T15:36:40Z</dcterms:modified>
</cp:coreProperties>
</file>